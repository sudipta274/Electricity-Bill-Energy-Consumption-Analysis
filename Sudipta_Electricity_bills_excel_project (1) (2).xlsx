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suraj\Downloads\"/>
    </mc:Choice>
  </mc:AlternateContent>
  <xr:revisionPtr revIDLastSave="0" documentId="13_ncr:1_{21C69438-A0B3-42DC-A1F6-CE9CC11B6F72}" xr6:coauthVersionLast="47" xr6:coauthVersionMax="47" xr10:uidLastSave="{00000000-0000-0000-0000-000000000000}"/>
  <bookViews>
    <workbookView xWindow="-108" yWindow="-108" windowWidth="23256" windowHeight="12456" xr2:uid="{00000000-000D-0000-FFFF-FFFF00000000}"/>
  </bookViews>
  <sheets>
    <sheet name="Instructions" sheetId="2" r:id="rId1"/>
    <sheet name="Raw Data" sheetId="1" r:id="rId2"/>
    <sheet name="Cleaning task" sheetId="3" r:id="rId3"/>
    <sheet name="Cleaned Data" sheetId="4" r:id="rId4"/>
    <sheet name="Pivot_Table" sheetId="14" r:id="rId5"/>
    <sheet name="Dashboard" sheetId="12" r:id="rId6"/>
    <sheet name="Summary" sheetId="16" r:id="rId7"/>
    <sheet name="Solution" sheetId="17" r:id="rId8"/>
  </sheets>
  <definedNames>
    <definedName name="Slicer_City">#N/A</definedName>
    <definedName name="Slicer_Company">#N/A</definedName>
    <definedName name="Slicer_Month">#N/A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4" i="12" l="1"/>
  <c r="T13" i="12"/>
  <c r="T12" i="12"/>
  <c r="T10" i="12"/>
  <c r="T11" i="12"/>
  <c r="T9" i="12"/>
  <c r="T8" i="12"/>
  <c r="T7" i="12"/>
  <c r="H25" i="14"/>
  <c r="H26" i="14"/>
  <c r="H27" i="14"/>
  <c r="H28" i="14"/>
  <c r="H29" i="14"/>
</calcChain>
</file>

<file path=xl/sharedStrings.xml><?xml version="1.0" encoding="utf-8"?>
<sst xmlns="http://schemas.openxmlformats.org/spreadsheetml/2006/main" count="8622" uniqueCount="456">
  <si>
    <t>Fan</t>
  </si>
  <si>
    <t>Refrigerator</t>
  </si>
  <si>
    <t>AirConditioner</t>
  </si>
  <si>
    <t>Television</t>
  </si>
  <si>
    <t>Monitor</t>
  </si>
  <si>
    <t>MotorPump</t>
  </si>
  <si>
    <t>Month</t>
  </si>
  <si>
    <t>City</t>
  </si>
  <si>
    <t>Company</t>
  </si>
  <si>
    <t>MonthlyHours</t>
  </si>
  <si>
    <t>TariffRate</t>
  </si>
  <si>
    <t>ElectricityBill</t>
  </si>
  <si>
    <t>FARIDABAD</t>
  </si>
  <si>
    <t>GURGAON</t>
  </si>
  <si>
    <t xml:space="preserve"> Nagpur </t>
  </si>
  <si>
    <t>Gurgaon</t>
  </si>
  <si>
    <t>Nagpur</t>
  </si>
  <si>
    <t>KOLKATA</t>
  </si>
  <si>
    <t>Shimla</t>
  </si>
  <si>
    <t>NAGPUR</t>
  </si>
  <si>
    <t>Pune</t>
  </si>
  <si>
    <t>Kolkata</t>
  </si>
  <si>
    <t>Vadodara</t>
  </si>
  <si>
    <t>Hyderabad</t>
  </si>
  <si>
    <t>Ahmedabad</t>
  </si>
  <si>
    <t>Faridabad</t>
  </si>
  <si>
    <t>New Delhi</t>
  </si>
  <si>
    <t xml:space="preserve"> Hyderabad </t>
  </si>
  <si>
    <t>SHIMLA</t>
  </si>
  <si>
    <t xml:space="preserve"> KOLKATA </t>
  </si>
  <si>
    <t>Mumbai</t>
  </si>
  <si>
    <t>AHMEDABAD</t>
  </si>
  <si>
    <t>Dahej</t>
  </si>
  <si>
    <t>Navi Mumbai</t>
  </si>
  <si>
    <t>DAHEJ</t>
  </si>
  <si>
    <t>Noida</t>
  </si>
  <si>
    <t>Chennai</t>
  </si>
  <si>
    <t xml:space="preserve"> Gurgaon </t>
  </si>
  <si>
    <t>Ratnagiri</t>
  </si>
  <si>
    <t>CHENNAI</t>
  </si>
  <si>
    <t xml:space="preserve"> Ratnagiri </t>
  </si>
  <si>
    <t xml:space="preserve"> nan </t>
  </si>
  <si>
    <t xml:space="preserve"> Vadodara </t>
  </si>
  <si>
    <t xml:space="preserve"> Dahej </t>
  </si>
  <si>
    <t xml:space="preserve"> Noida </t>
  </si>
  <si>
    <t xml:space="preserve"> Ahmedabad </t>
  </si>
  <si>
    <t>NAN</t>
  </si>
  <si>
    <t>PUNE</t>
  </si>
  <si>
    <t xml:space="preserve"> Kolkata </t>
  </si>
  <si>
    <t>NEW DELHI</t>
  </si>
  <si>
    <t>NAVI MUMBAI</t>
  </si>
  <si>
    <t xml:space="preserve"> Chennai </t>
  </si>
  <si>
    <t xml:space="preserve"> Navi Mumbai </t>
  </si>
  <si>
    <t xml:space="preserve"> Shimla </t>
  </si>
  <si>
    <t>MUMBAI</t>
  </si>
  <si>
    <t>VADODARA</t>
  </si>
  <si>
    <t xml:space="preserve"> NEW DELHI </t>
  </si>
  <si>
    <t xml:space="preserve"> Mumbai </t>
  </si>
  <si>
    <t>HYDERABAD</t>
  </si>
  <si>
    <t xml:space="preserve"> Faridabad </t>
  </si>
  <si>
    <t xml:space="preserve"> Pune </t>
  </si>
  <si>
    <t>RATNAGIRI</t>
  </si>
  <si>
    <t xml:space="preserve"> New Delhi </t>
  </si>
  <si>
    <t xml:space="preserve"> SHIMLA </t>
  </si>
  <si>
    <t>NOIDA</t>
  </si>
  <si>
    <t xml:space="preserve"> NAN </t>
  </si>
  <si>
    <t xml:space="preserve"> PUNE </t>
  </si>
  <si>
    <t xml:space="preserve"> GURGAON </t>
  </si>
  <si>
    <t xml:space="preserve"> FARIDABAD </t>
  </si>
  <si>
    <t xml:space="preserve"> AHMEDABAD </t>
  </si>
  <si>
    <t>Maha Transco â€“ Maharashtra State Electricity Transmission Co, Ltd.</t>
  </si>
  <si>
    <t>KEC International</t>
  </si>
  <si>
    <t>Ringfeder Power Transmission India Pvt. Ltd.</t>
  </si>
  <si>
    <t>Neueon Towers / Sujana Towers Ltd.</t>
  </si>
  <si>
    <t>Toshiba Transmission &amp; Distribution Systems (India) Pvt. Ltd.</t>
  </si>
  <si>
    <t>Optibelt Power Transmission India Private Limited</t>
  </si>
  <si>
    <t>Tata Power Company Ltd.</t>
  </si>
  <si>
    <t>CESC</t>
  </si>
  <si>
    <t>Jyoti Structure</t>
  </si>
  <si>
    <t>Jaiprakash Power</t>
  </si>
  <si>
    <t>Power Grid Corp</t>
  </si>
  <si>
    <t>SJVN Ltd.</t>
  </si>
  <si>
    <t>TransRail Lighting</t>
  </si>
  <si>
    <t>JSW Energy Ltd.</t>
  </si>
  <si>
    <t>L&amp;T Transmission &amp; Distribution</t>
  </si>
  <si>
    <t>Sterlite Power Transmission Ltd</t>
  </si>
  <si>
    <t>neueon towers / sujana towers ltd.</t>
  </si>
  <si>
    <t>Orient Green</t>
  </si>
  <si>
    <t>Reliance Power</t>
  </si>
  <si>
    <t>NLC India</t>
  </si>
  <si>
    <t>Unitech Power Transmission Ltd.</t>
  </si>
  <si>
    <t>Indowind Energy</t>
  </si>
  <si>
    <t>NHPC</t>
  </si>
  <si>
    <t>Guj Ind Power</t>
  </si>
  <si>
    <t>Torrent Power Ltd.</t>
  </si>
  <si>
    <t>Reliance Energy</t>
  </si>
  <si>
    <t>Kalpataru Power</t>
  </si>
  <si>
    <t>NTPC Pvt. Ltd.</t>
  </si>
  <si>
    <t>kec international</t>
  </si>
  <si>
    <t>ntpc pvt. ltd.</t>
  </si>
  <si>
    <t>guj ind power</t>
  </si>
  <si>
    <t>nlc india</t>
  </si>
  <si>
    <t>indowind energy</t>
  </si>
  <si>
    <t>unitech power transmission ltd.</t>
  </si>
  <si>
    <t>Adani Power Ltd.</t>
  </si>
  <si>
    <t>Bonfiglioli Transmission Pvt. Ltd.</t>
  </si>
  <si>
    <t>Sunil Hitech Eng</t>
  </si>
  <si>
    <t>GE T&amp;D India Limited</t>
  </si>
  <si>
    <t>adani power ltd.</t>
  </si>
  <si>
    <t>Ratnagiri Gas and Power Pvt. Ltd. (RGPPL)</t>
  </si>
  <si>
    <t>reliance power</t>
  </si>
  <si>
    <t>sterlite power transmission ltd</t>
  </si>
  <si>
    <t>torrent power ltd.</t>
  </si>
  <si>
    <t>ge t&amp;d india limited</t>
  </si>
  <si>
    <t>reliance energy</t>
  </si>
  <si>
    <t>ratnagiri gas and power pvt. ltd. (rgppl)</t>
  </si>
  <si>
    <t>orient green</t>
  </si>
  <si>
    <t>cesc</t>
  </si>
  <si>
    <t>jaiprakash power</t>
  </si>
  <si>
    <t>bonfiglioli transmission pvt. ltd.</t>
  </si>
  <si>
    <t>l&amp;t transmission &amp; distribution</t>
  </si>
  <si>
    <t>maha transco â€“ maharashtra state electricity transmission co, ltd.</t>
  </si>
  <si>
    <t>optibelt power transmission india private limited</t>
  </si>
  <si>
    <t>nan</t>
  </si>
  <si>
    <t>sunil hitech eng</t>
  </si>
  <si>
    <t>tata power company ltd.</t>
  </si>
  <si>
    <t>sjvn ltd.</t>
  </si>
  <si>
    <t>jsw energy ltd.</t>
  </si>
  <si>
    <t>ringfeder power transmission india pvt. ltd.</t>
  </si>
  <si>
    <t>nhpc</t>
  </si>
  <si>
    <t>kalpataru power</t>
  </si>
  <si>
    <t>toshiba transmission &amp; distribution systems (india) pvt. ltd.</t>
  </si>
  <si>
    <t>transrail lighting</t>
  </si>
  <si>
    <t>jyoti structure</t>
  </si>
  <si>
    <t>power grid corp</t>
  </si>
  <si>
    <t xml:space="preserve">417.0 </t>
  </si>
  <si>
    <t xml:space="preserve">585.0 </t>
  </si>
  <si>
    <t xml:space="preserve">584.0 </t>
  </si>
  <si>
    <t xml:space="preserve">520.0 </t>
  </si>
  <si>
    <t xml:space="preserve">544.0 </t>
  </si>
  <si>
    <t xml:space="preserve">562.0 </t>
  </si>
  <si>
    <t xml:space="preserve">599.0 </t>
  </si>
  <si>
    <t xml:space="preserve">662.0 </t>
  </si>
  <si>
    <t xml:space="preserve">nan </t>
  </si>
  <si>
    <t xml:space="preserve">780.0 </t>
  </si>
  <si>
    <t xml:space="preserve">591.0 </t>
  </si>
  <si>
    <t xml:space="preserve">403.0 </t>
  </si>
  <si>
    <t xml:space="preserve">485.0 </t>
  </si>
  <si>
    <t xml:space="preserve">688.0 </t>
  </si>
  <si>
    <t xml:space="preserve">466.0 </t>
  </si>
  <si>
    <t xml:space="preserve">752.0 </t>
  </si>
  <si>
    <t xml:space="preserve">502.0 </t>
  </si>
  <si>
    <t xml:space="preserve">525.0 </t>
  </si>
  <si>
    <t xml:space="preserve">531.0 </t>
  </si>
  <si>
    <t xml:space="preserve">477.0 </t>
  </si>
  <si>
    <t xml:space="preserve">651.0 </t>
  </si>
  <si>
    <t xml:space="preserve">552.0 </t>
  </si>
  <si>
    <t xml:space="preserve">492.0 </t>
  </si>
  <si>
    <t xml:space="preserve">418.0 </t>
  </si>
  <si>
    <t xml:space="preserve">819.0 </t>
  </si>
  <si>
    <t xml:space="preserve">574.0 </t>
  </si>
  <si>
    <t xml:space="preserve">506.0 </t>
  </si>
  <si>
    <t xml:space="preserve">311.0 </t>
  </si>
  <si>
    <t xml:space="preserve">516.0 </t>
  </si>
  <si>
    <t xml:space="preserve">358.0 </t>
  </si>
  <si>
    <t xml:space="preserve">362.0 </t>
  </si>
  <si>
    <t xml:space="preserve">597.0 </t>
  </si>
  <si>
    <t xml:space="preserve">702.0 </t>
  </si>
  <si>
    <t xml:space="preserve">413.0 </t>
  </si>
  <si>
    <t xml:space="preserve">633.0 </t>
  </si>
  <si>
    <t xml:space="preserve">563.0 </t>
  </si>
  <si>
    <t xml:space="preserve">582.0 </t>
  </si>
  <si>
    <t xml:space="preserve">608.0 </t>
  </si>
  <si>
    <t xml:space="preserve">700.0 </t>
  </si>
  <si>
    <t xml:space="preserve">566.0 </t>
  </si>
  <si>
    <t xml:space="preserve">596.0 </t>
  </si>
  <si>
    <t xml:space="preserve">490.0 </t>
  </si>
  <si>
    <t xml:space="preserve">541.0 </t>
  </si>
  <si>
    <t xml:space="preserve">625.0 </t>
  </si>
  <si>
    <t xml:space="preserve">727.0 </t>
  </si>
  <si>
    <t xml:space="preserve">589.0 </t>
  </si>
  <si>
    <t xml:space="preserve">513.0 </t>
  </si>
  <si>
    <t xml:space="preserve">504.0 </t>
  </si>
  <si>
    <t xml:space="preserve">480.0 </t>
  </si>
  <si>
    <t xml:space="preserve">634.0 </t>
  </si>
  <si>
    <t xml:space="preserve">521.0 </t>
  </si>
  <si>
    <t xml:space="preserve">501.0 </t>
  </si>
  <si>
    <t xml:space="preserve">258.0 </t>
  </si>
  <si>
    <t xml:space="preserve">556.0 </t>
  </si>
  <si>
    <t xml:space="preserve">460.0 </t>
  </si>
  <si>
    <t xml:space="preserve">600.0 </t>
  </si>
  <si>
    <t xml:space="preserve">586.0 </t>
  </si>
  <si>
    <t xml:space="preserve">631.0 </t>
  </si>
  <si>
    <t xml:space="preserve">452.0 </t>
  </si>
  <si>
    <t xml:space="preserve">471.0 </t>
  </si>
  <si>
    <t xml:space="preserve">458.0 </t>
  </si>
  <si>
    <t xml:space="preserve">704.0 </t>
  </si>
  <si>
    <t xml:space="preserve">419.0 </t>
  </si>
  <si>
    <t xml:space="preserve">569.0 </t>
  </si>
  <si>
    <t xml:space="preserve">321.0 </t>
  </si>
  <si>
    <t xml:space="preserve">678.0 </t>
  </si>
  <si>
    <t xml:space="preserve">428.0 </t>
  </si>
  <si>
    <t xml:space="preserve">438.0 </t>
  </si>
  <si>
    <t xml:space="preserve">227.0 </t>
  </si>
  <si>
    <t xml:space="preserve">605.0 </t>
  </si>
  <si>
    <t xml:space="preserve">674.0 </t>
  </si>
  <si>
    <t xml:space="preserve">588.0 </t>
  </si>
  <si>
    <t xml:space="preserve">314.0 </t>
  </si>
  <si>
    <t xml:space="preserve">451.0 </t>
  </si>
  <si>
    <t xml:space="preserve">404.0 </t>
  </si>
  <si>
    <t xml:space="preserve">623.0 </t>
  </si>
  <si>
    <t xml:space="preserve">636.0 </t>
  </si>
  <si>
    <t xml:space="preserve">454.0 </t>
  </si>
  <si>
    <t xml:space="preserve">372.0 </t>
  </si>
  <si>
    <t xml:space="preserve">626.0 </t>
  </si>
  <si>
    <t xml:space="preserve">535.0 </t>
  </si>
  <si>
    <t xml:space="preserve">366.0 </t>
  </si>
  <si>
    <t xml:space="preserve">217.0 </t>
  </si>
  <si>
    <t xml:space="preserve">650.0 </t>
  </si>
  <si>
    <t xml:space="preserve">529.0 </t>
  </si>
  <si>
    <t xml:space="preserve">545.0 </t>
  </si>
  <si>
    <t xml:space="preserve">411.0 </t>
  </si>
  <si>
    <t xml:space="preserve">712.0 </t>
  </si>
  <si>
    <t xml:space="preserve">560.0 </t>
  </si>
  <si>
    <t xml:space="preserve">479.0 </t>
  </si>
  <si>
    <t xml:space="preserve">604.0 </t>
  </si>
  <si>
    <t xml:space="preserve">653.0 </t>
  </si>
  <si>
    <t xml:space="preserve">498.0 </t>
  </si>
  <si>
    <t xml:space="preserve">666.0 </t>
  </si>
  <si>
    <t xml:space="preserve">741.0 </t>
  </si>
  <si>
    <t xml:space="preserve">341.0 </t>
  </si>
  <si>
    <t xml:space="preserve">726.0 </t>
  </si>
  <si>
    <t xml:space="preserve">494.0 </t>
  </si>
  <si>
    <t xml:space="preserve">565.0 </t>
  </si>
  <si>
    <t xml:space="preserve">476.0 </t>
  </si>
  <si>
    <t xml:space="preserve">462.0 </t>
  </si>
  <si>
    <t xml:space="preserve">8.9 </t>
  </si>
  <si>
    <t xml:space="preserve">9.1 </t>
  </si>
  <si>
    <t xml:space="preserve">8.4 </t>
  </si>
  <si>
    <t xml:space="preserve">9.2 </t>
  </si>
  <si>
    <t xml:space="preserve">7.8 </t>
  </si>
  <si>
    <t xml:space="preserve">7.9 </t>
  </si>
  <si>
    <t xml:space="preserve">8.7 </t>
  </si>
  <si>
    <t xml:space="preserve">8.1 </t>
  </si>
  <si>
    <t xml:space="preserve">8.8 </t>
  </si>
  <si>
    <t xml:space="preserve">8.5 </t>
  </si>
  <si>
    <t xml:space="preserve">7.7 </t>
  </si>
  <si>
    <t xml:space="preserve">9.3 </t>
  </si>
  <si>
    <t xml:space="preserve">8.3 </t>
  </si>
  <si>
    <t xml:space="preserve">8.2 </t>
  </si>
  <si>
    <t xml:space="preserve">7.6 </t>
  </si>
  <si>
    <t xml:space="preserve">7.4 </t>
  </si>
  <si>
    <t xml:space="preserve">3411.3 </t>
  </si>
  <si>
    <t xml:space="preserve">5945.4 </t>
  </si>
  <si>
    <t xml:space="preserve">3361.6 </t>
  </si>
  <si>
    <t xml:space="preserve">5769.4 </t>
  </si>
  <si>
    <t xml:space="preserve">5515.79999999999 </t>
  </si>
  <si>
    <t xml:space="preserve">4180.0 </t>
  </si>
  <si>
    <t xml:space="preserve">5066.6 </t>
  </si>
  <si>
    <t xml:space="preserve">5009.8 </t>
  </si>
  <si>
    <t xml:space="preserve">3845.4 </t>
  </si>
  <si>
    <t xml:space="preserve">3102.5 </t>
  </si>
  <si>
    <t xml:space="preserve">5833.09999999999 </t>
  </si>
  <si>
    <t xml:space="preserve">3599.1 </t>
  </si>
  <si>
    <t xml:space="preserve">5452.99999999999 </t>
  </si>
  <si>
    <t xml:space="preserve">2857.6 </t>
  </si>
  <si>
    <t xml:space="preserve">4993.79999999999 </t>
  </si>
  <si>
    <t xml:space="preserve">4462.2 </t>
  </si>
  <si>
    <t xml:space="preserve">3525.6 </t>
  </si>
  <si>
    <t xml:space="preserve">5384.7 </t>
  </si>
  <si>
    <t xml:space="preserve">4050.79999999999 </t>
  </si>
  <si>
    <t xml:space="preserve">4658.0 </t>
  </si>
  <si>
    <t xml:space="preserve">5135.4 </t>
  </si>
  <si>
    <t xml:space="preserve">7012.2 </t>
  </si>
  <si>
    <t xml:space="preserve">4028.09999999999 </t>
  </si>
  <si>
    <t xml:space="preserve">3954.6 </t>
  </si>
  <si>
    <t xml:space="preserve">4158.59999999999 </t>
  </si>
  <si>
    <t xml:space="preserve">3840.9 </t>
  </si>
  <si>
    <t xml:space="preserve">3847.3 </t>
  </si>
  <si>
    <t xml:space="preserve">4984.9 </t>
  </si>
  <si>
    <t xml:space="preserve">5888.4 </t>
  </si>
  <si>
    <t xml:space="preserve">5108.5 </t>
  </si>
  <si>
    <t xml:space="preserve">4402.2 </t>
  </si>
  <si>
    <t xml:space="preserve">3215.7 </t>
  </si>
  <si>
    <t xml:space="preserve">2982.2 </t>
  </si>
  <si>
    <t xml:space="preserve">3610.0 </t>
  </si>
  <si>
    <t xml:space="preserve">4930.6 </t>
  </si>
  <si>
    <t xml:space="preserve">5007.59999999999 </t>
  </si>
  <si>
    <t xml:space="preserve">4043.2 </t>
  </si>
  <si>
    <t xml:space="preserve">4329.59999999999 </t>
  </si>
  <si>
    <t xml:space="preserve">3700.0 </t>
  </si>
  <si>
    <t xml:space="preserve">5106.9 </t>
  </si>
  <si>
    <t xml:space="preserve">4516.2 </t>
  </si>
  <si>
    <t xml:space="preserve">5087.1 </t>
  </si>
  <si>
    <t xml:space="preserve">3960.59999999999 </t>
  </si>
  <si>
    <t xml:space="preserve">4391.4 </t>
  </si>
  <si>
    <t xml:space="preserve">4074.29999999999 </t>
  </si>
  <si>
    <t xml:space="preserve">5561.4 </t>
  </si>
  <si>
    <t xml:space="preserve">3784.49999999999 </t>
  </si>
  <si>
    <t xml:space="preserve">6652.09999999999 </t>
  </si>
  <si>
    <t xml:space="preserve">4029.0 </t>
  </si>
  <si>
    <t xml:space="preserve">3381.2 </t>
  </si>
  <si>
    <t xml:space="preserve">7779.2 </t>
  </si>
  <si>
    <t xml:space="preserve">5998.4 </t>
  </si>
  <si>
    <t xml:space="preserve">3969.0 </t>
  </si>
  <si>
    <t xml:space="preserve">5014.09999999999 </t>
  </si>
  <si>
    <t xml:space="preserve">5500.0 </t>
  </si>
  <si>
    <t xml:space="preserve">3586.6 </t>
  </si>
  <si>
    <t xml:space="preserve">6688.4 </t>
  </si>
  <si>
    <t xml:space="preserve">4999.8 </t>
  </si>
  <si>
    <t xml:space="preserve">3765.5 </t>
  </si>
  <si>
    <t xml:space="preserve">3591.6 </t>
  </si>
  <si>
    <t xml:space="preserve">3894.79999999999 </t>
  </si>
  <si>
    <t xml:space="preserve">4108.2 </t>
  </si>
  <si>
    <t xml:space="preserve">1930.39999999999 </t>
  </si>
  <si>
    <t xml:space="preserve">6740.8 </t>
  </si>
  <si>
    <t xml:space="preserve">2731.79999999999 </t>
  </si>
  <si>
    <t xml:space="preserve">5489.7 </t>
  </si>
  <si>
    <t xml:space="preserve">6679.2 </t>
  </si>
  <si>
    <t xml:space="preserve">5553.6 </t>
  </si>
  <si>
    <t xml:space="preserve">5860.8 </t>
  </si>
  <si>
    <t xml:space="preserve">2739.1 </t>
  </si>
  <si>
    <t xml:space="preserve">3476.0 </t>
  </si>
  <si>
    <t xml:space="preserve">5846.4 </t>
  </si>
  <si>
    <t xml:space="preserve">2823.6 </t>
  </si>
  <si>
    <t xml:space="preserve">5428.0 </t>
  </si>
  <si>
    <t xml:space="preserve">4664.4 </t>
  </si>
  <si>
    <t xml:space="preserve">5288.4 </t>
  </si>
  <si>
    <t xml:space="preserve">4985.59999999999 </t>
  </si>
  <si>
    <t xml:space="preserve">4787.2 </t>
  </si>
  <si>
    <t xml:space="preserve">3156.99999999999 </t>
  </si>
  <si>
    <t xml:space="preserve">4700.5 </t>
  </si>
  <si>
    <t xml:space="preserve">3296.7 </t>
  </si>
  <si>
    <t xml:space="preserve">6494.0 </t>
  </si>
  <si>
    <t xml:space="preserve">2511.6 </t>
  </si>
  <si>
    <t xml:space="preserve">3225.6 </t>
  </si>
  <si>
    <t xml:space="preserve">3137.6 </t>
  </si>
  <si>
    <t xml:space="preserve">5143.6 </t>
  </si>
  <si>
    <t xml:space="preserve">2168.4 </t>
  </si>
  <si>
    <t xml:space="preserve">4882.5 </t>
  </si>
  <si>
    <t xml:space="preserve">3604.0 </t>
  </si>
  <si>
    <t xml:space="preserve">2063.6 </t>
  </si>
  <si>
    <t xml:space="preserve">5491.0 </t>
  </si>
  <si>
    <t xml:space="preserve">4071.5 </t>
  </si>
  <si>
    <t xml:space="preserve">5744.2 </t>
  </si>
  <si>
    <t xml:space="preserve">5250.7 </t>
  </si>
  <si>
    <t xml:space="preserve">5015.4 </t>
  </si>
  <si>
    <t xml:space="preserve">3519.6 </t>
  </si>
  <si>
    <t xml:space="preserve">4699.0 </t>
  </si>
  <si>
    <t xml:space="preserve">6383.3 </t>
  </si>
  <si>
    <t xml:space="preserve">4147.2 </t>
  </si>
  <si>
    <t xml:space="preserve">3617.6 </t>
  </si>
  <si>
    <t xml:space="preserve">4155.4 </t>
  </si>
  <si>
    <t xml:space="preserve">3812.89999999999 </t>
  </si>
  <si>
    <t xml:space="preserve">4156.3 </t>
  </si>
  <si>
    <t xml:space="preserve">4286.4 </t>
  </si>
  <si>
    <t xml:space="preserve">4461.2 </t>
  </si>
  <si>
    <t xml:space="preserve">3394.79999999999 </t>
  </si>
  <si>
    <t xml:space="preserve">4929.59999999999 </t>
  </si>
  <si>
    <t xml:space="preserve">1645.6 </t>
  </si>
  <si>
    <t xml:space="preserve">3519.2 </t>
  </si>
  <si>
    <t xml:space="preserve">1990.8 </t>
  </si>
  <si>
    <t xml:space="preserve">5733.29999999999 </t>
  </si>
  <si>
    <t xml:space="preserve">5505.5 </t>
  </si>
  <si>
    <t xml:space="preserve">3599.2 </t>
  </si>
  <si>
    <t xml:space="preserve">6461.4 </t>
  </si>
  <si>
    <t xml:space="preserve">4379.2 </t>
  </si>
  <si>
    <t xml:space="preserve">4912.8 </t>
  </si>
  <si>
    <t>unknown</t>
  </si>
  <si>
    <t>unknown_city</t>
  </si>
  <si>
    <t>Row Labels</t>
  </si>
  <si>
    <t>Grand Total</t>
  </si>
  <si>
    <t>(blank)</t>
  </si>
  <si>
    <t>fan</t>
  </si>
  <si>
    <t>refrigerator</t>
  </si>
  <si>
    <t>aircondition</t>
  </si>
  <si>
    <t>television</t>
  </si>
  <si>
    <t>monitor</t>
  </si>
  <si>
    <t>Appliances</t>
  </si>
  <si>
    <t>Total Usage</t>
  </si>
  <si>
    <t>Average of ElectricityBill</t>
  </si>
  <si>
    <t>Project Title</t>
  </si>
  <si>
    <t>Objective</t>
  </si>
  <si>
    <t>Tools Used:</t>
  </si>
  <si>
    <t xml:space="preserve">MS EXCEL </t>
  </si>
  <si>
    <t>Pivot Tables</t>
  </si>
  <si>
    <t>Charts</t>
  </si>
  <si>
    <t>Dash Board</t>
  </si>
  <si>
    <t>Analyze electricity consumption patterns, tariff rates,appliance usage, and electricity bills using excel dashboards and Pivot Analyisis</t>
  </si>
  <si>
    <t>KPI</t>
  </si>
  <si>
    <t>Dashboard</t>
  </si>
  <si>
    <t>Pivot Table</t>
  </si>
  <si>
    <t>LINKS</t>
  </si>
  <si>
    <t>Cleaned Data</t>
  </si>
  <si>
    <t>Total Bill</t>
  </si>
  <si>
    <t>Average Bill</t>
  </si>
  <si>
    <t>Highest Bill</t>
  </si>
  <si>
    <t>Lowest Bill</t>
  </si>
  <si>
    <t>Total Cities</t>
  </si>
  <si>
    <t>Average Tariff Rate</t>
  </si>
  <si>
    <t>KEY PERFORMANCE INDICATOR</t>
  </si>
  <si>
    <t>By:Sudipta Samanta</t>
  </si>
  <si>
    <t>Raw Data</t>
  </si>
  <si>
    <t>#</t>
  </si>
  <si>
    <t>Technique</t>
  </si>
  <si>
    <t>Common Problem</t>
  </si>
  <si>
    <t>Excel Functions</t>
  </si>
  <si>
    <t>Remove Duplicates</t>
  </si>
  <si>
    <t>Repeated rows inflate totals in PivotTables</t>
  </si>
  <si>
    <t>COUNTIF, Remove Duplicates</t>
  </si>
  <si>
    <t>Trim Extra Spaces</t>
  </si>
  <si>
    <t>Spaces cause VLOOKUP mismatches</t>
  </si>
  <si>
    <t>TRIM, CLEAN</t>
  </si>
  <si>
    <t>Handle Missing Values</t>
  </si>
  <si>
    <t>Blanks cause formula errors</t>
  </si>
  <si>
    <t>IF, ISBLANK, IFERROR</t>
  </si>
  <si>
    <t>Validate Data Ranges</t>
  </si>
  <si>
    <t>IF, AND, MIN, MAX</t>
  </si>
  <si>
    <t>Fill Missing Values</t>
  </si>
  <si>
    <t>Empty cells create incomplete records</t>
  </si>
  <si>
    <t>IF</t>
  </si>
  <si>
    <t>Standardize Number format</t>
  </si>
  <si>
    <t>Numbers stored as text affect calculations</t>
  </si>
  <si>
    <t>VALUE, Convert to Number</t>
  </si>
  <si>
    <t>Out-of-range values distort KPI results</t>
  </si>
  <si>
    <t>Company with max bill</t>
  </si>
  <si>
    <t>Company with min bill</t>
  </si>
  <si>
    <t>Electricity Bill Analysis Dashboard</t>
  </si>
  <si>
    <t>Analysis Area</t>
  </si>
  <si>
    <t>Observation</t>
  </si>
  <si>
    <t>Highest Consumption City</t>
  </si>
  <si>
    <t>Most Used Appliance</t>
  </si>
  <si>
    <t>Lowest Electricity Bill</t>
  </si>
  <si>
    <t>Highest Electricity Bill</t>
  </si>
  <si>
    <t>Consumption Pattern</t>
  </si>
  <si>
    <t>Chennai rercorded the highest electricity consumption</t>
  </si>
  <si>
    <t>Refrigerator was the most frequently used Appliance</t>
  </si>
  <si>
    <t>Certain companies showed significantly high electricity bills</t>
  </si>
  <si>
    <t>Some cities/companies maintained lower electricity usage</t>
  </si>
  <si>
    <t>Tariff rates varied across different regions</t>
  </si>
  <si>
    <t>Urban areas showed higher Electricity dependency</t>
  </si>
  <si>
    <t>Problem Identified</t>
  </si>
  <si>
    <t>Suggested Solutions</t>
  </si>
  <si>
    <t>High electricity consumption</t>
  </si>
  <si>
    <t>Excessive appliance usage</t>
  </si>
  <si>
    <t>High electricity bills</t>
  </si>
  <si>
    <t>Energy wastage</t>
  </si>
  <si>
    <t>Lack of monitoring</t>
  </si>
  <si>
    <t>Appliance inefficiency</t>
  </si>
  <si>
    <t>Use energy-efficient appliances</t>
  </si>
  <si>
    <t>Reduce unnecessary power usage</t>
  </si>
  <si>
    <t>Monitor monthly consumption regularly</t>
  </si>
  <si>
    <t>Promote smart electricity management</t>
  </si>
  <si>
    <t>Use smart meters and automated tracking</t>
  </si>
  <si>
    <t>Perform regular maintenance of devices</t>
  </si>
  <si>
    <t>Electricity Bill &amp; Energy Consumption Analyzer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</si>
</sst>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24"/>
      <color theme="1"/>
      <name val="Calibri"/>
      <family val="2"/>
      <scheme val="minor"/>
    </font>
    <font>
      <sz val="24"/>
      <color theme="1"/>
      <name val="Algerian"/>
      <family val="5"/>
    </font>
    <font>
      <sz val="24"/>
      <color theme="3" tint="0.39997558519241921"/>
      <name val="Calibri"/>
      <family val="2"/>
      <scheme val="minor"/>
    </font>
    <font>
      <sz val="24"/>
      <color theme="5"/>
      <name val="Calibri"/>
      <family val="2"/>
      <scheme val="minor"/>
    </font>
    <font>
      <sz val="24"/>
      <color theme="5" tint="-0.249977111117893"/>
      <name val="Calibri"/>
      <family val="2"/>
      <scheme val="minor"/>
    </font>
    <font>
      <u/>
      <sz val="11"/>
      <color theme="10"/>
      <name val="Calibri"/>
      <family val="2"/>
      <scheme val="minor"/>
    </font>
    <font>
      <u/>
      <sz val="22"/>
      <color theme="10"/>
      <name val="Calibri"/>
      <family val="2"/>
      <scheme val="minor"/>
    </font>
    <font>
      <u/>
      <sz val="24"/>
      <color theme="10"/>
      <name val="Calibri"/>
      <family val="2"/>
      <scheme val="minor"/>
    </font>
    <font>
      <sz val="18"/>
      <color theme="1"/>
      <name val="Calibri"/>
      <family val="2"/>
      <scheme val="minor"/>
    </font>
    <font>
      <b/>
      <sz val="24"/>
      <color theme="1"/>
      <name val="Calibri"/>
      <family val="2"/>
      <scheme val="minor"/>
    </font>
    <font>
      <sz val="10"/>
      <color rgb="FF1A1A1A"/>
      <name val="Arial"/>
      <family val="2"/>
    </font>
    <font>
      <b/>
      <sz val="10"/>
      <color rgb="FFFFFFFF"/>
      <name val="Arial"/>
      <family val="2"/>
    </font>
    <font>
      <sz val="9.5"/>
      <color rgb="FF1A1A1A"/>
      <name val="Arial"/>
      <family val="2"/>
    </font>
    <font>
      <b/>
      <sz val="16"/>
      <color theme="1"/>
      <name val="Calibri"/>
      <family val="2"/>
      <scheme val="minor"/>
    </font>
    <font>
      <sz val="12"/>
      <color theme="1"/>
      <name val="Calibri"/>
      <family val="2"/>
      <scheme val="minor"/>
    </font>
    <font>
      <b/>
      <sz val="20"/>
      <color theme="1"/>
      <name val="Calibri"/>
      <family val="2"/>
      <scheme val="minor"/>
    </font>
    <font>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1F3864"/>
        <bgColor indexed="64"/>
      </patternFill>
    </fill>
    <fill>
      <patternFill patternType="solid">
        <fgColor rgb="FFFFFFFF"/>
        <bgColor indexed="64"/>
      </patternFill>
    </fill>
    <fill>
      <patternFill patternType="solid">
        <fgColor rgb="FFF2F2F2"/>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2E75B6"/>
      </left>
      <right style="medium">
        <color rgb="FF2E75B6"/>
      </right>
      <top style="medium">
        <color rgb="FF2E75B6"/>
      </top>
      <bottom style="medium">
        <color rgb="FF2E75B6"/>
      </bottom>
      <diagonal/>
    </border>
    <border>
      <left/>
      <right style="medium">
        <color rgb="FF2E75B6"/>
      </right>
      <top style="medium">
        <color rgb="FF2E75B6"/>
      </top>
      <bottom style="medium">
        <color rgb="FF2E75B6"/>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2">
    <xf numFmtId="0" fontId="0" fillId="0" borderId="0"/>
    <xf numFmtId="0" fontId="7" fillId="0" borderId="0" applyNumberFormat="0" applyFill="0" applyBorder="0" applyAlignment="0" applyProtection="0"/>
  </cellStyleXfs>
  <cellXfs count="39">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applyAlignment="1">
      <alignment horizontal="center"/>
    </xf>
    <xf numFmtId="0" fontId="8" fillId="0" borderId="0" xfId="1" applyFont="1"/>
    <xf numFmtId="0" fontId="9" fillId="0" borderId="0" xfId="1" applyFont="1"/>
    <xf numFmtId="0" fontId="6" fillId="0" borderId="0" xfId="0" applyFont="1"/>
    <xf numFmtId="0" fontId="10" fillId="0" borderId="1" xfId="0" applyFont="1" applyBorder="1"/>
    <xf numFmtId="2" fontId="10" fillId="0" borderId="1" xfId="0" applyNumberFormat="1" applyFont="1" applyBorder="1"/>
    <xf numFmtId="0" fontId="11" fillId="2" borderId="0" xfId="0" applyFont="1" applyFill="1" applyAlignment="1">
      <alignment vertical="center"/>
    </xf>
    <xf numFmtId="0" fontId="2" fillId="2" borderId="0" xfId="0" applyFont="1" applyFill="1"/>
    <xf numFmtId="0" fontId="0" fillId="2" borderId="0" xfId="0" applyFill="1"/>
    <xf numFmtId="0" fontId="2" fillId="2" borderId="0" xfId="0" applyFont="1" applyFill="1" applyAlignment="1">
      <alignment horizontal="left" vertical="center" indent="1"/>
    </xf>
    <xf numFmtId="0" fontId="11" fillId="2" borderId="0" xfId="0" applyFont="1" applyFill="1" applyAlignment="1">
      <alignment horizontal="left" vertical="center" indent="1"/>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left" vertical="center" wrapText="1" indent="1"/>
    </xf>
    <xf numFmtId="0" fontId="14" fillId="4" borderId="5" xfId="0" applyFont="1" applyFill="1" applyBorder="1" applyAlignment="1">
      <alignment horizontal="left" vertical="center" wrapText="1" indent="1"/>
    </xf>
    <xf numFmtId="0" fontId="14" fillId="5" borderId="4" xfId="0" applyFont="1" applyFill="1" applyBorder="1" applyAlignment="1">
      <alignment horizontal="left" vertical="center" wrapText="1" indent="1"/>
    </xf>
    <xf numFmtId="0" fontId="14" fillId="5" borderId="5" xfId="0" applyFont="1" applyFill="1" applyBorder="1" applyAlignment="1">
      <alignment horizontal="left" vertical="center" wrapText="1" indent="1"/>
    </xf>
    <xf numFmtId="0" fontId="14" fillId="4" borderId="5" xfId="0" applyFont="1" applyFill="1" applyBorder="1" applyAlignment="1">
      <alignment horizontal="left" vertical="center" indent="1"/>
    </xf>
    <xf numFmtId="0" fontId="12" fillId="2" borderId="0" xfId="0" applyFont="1" applyFill="1" applyAlignment="1">
      <alignment vertical="center"/>
    </xf>
    <xf numFmtId="0" fontId="11"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8" fillId="0" borderId="0" xfId="1" applyFont="1" applyFill="1"/>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wrapText="1"/>
    </xf>
    <xf numFmtId="0" fontId="2" fillId="0" borderId="0" xfId="0" applyFont="1" applyAlignment="1">
      <alignment horizontal="center"/>
    </xf>
    <xf numFmtId="0" fontId="6" fillId="0" borderId="0" xfId="0" applyFont="1" applyAlignment="1">
      <alignment horizontal="center"/>
    </xf>
    <xf numFmtId="0" fontId="10" fillId="0" borderId="1" xfId="0" applyFont="1" applyBorder="1" applyAlignment="1">
      <alignment horizontal="center"/>
    </xf>
    <xf numFmtId="0" fontId="10" fillId="0" borderId="0" xfId="0" applyFont="1" applyAlignment="1">
      <alignment horizontal="center"/>
    </xf>
  </cellXfs>
  <cellStyles count="2">
    <cellStyle name="Hyperlink" xfId="1" builtinId="8"/>
    <cellStyle name="Normal" xfId="0" builtinId="0"/>
  </cellStyles>
  <dxfs count="10">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6"/>
        <color theme="1"/>
        <name val="Calibri"/>
        <family val="2"/>
        <scheme val="minor"/>
      </font>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1F-45AA-A1F0-CB2D919182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1F-45AA-A1F0-CB2D919182F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11F-45AA-A1F0-CB2D919182F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11F-45AA-A1F0-CB2D919182F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11F-45AA-A1F0-CB2D919182F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Pivot_Table!$G$25:$G$29</c:f>
              <c:strCache>
                <c:ptCount val="5"/>
                <c:pt idx="0">
                  <c:v>fan</c:v>
                </c:pt>
                <c:pt idx="1">
                  <c:v>refrigerator</c:v>
                </c:pt>
                <c:pt idx="2">
                  <c:v>aircondition</c:v>
                </c:pt>
                <c:pt idx="3">
                  <c:v>television</c:v>
                </c:pt>
                <c:pt idx="4">
                  <c:v>monitor</c:v>
                </c:pt>
              </c:strCache>
            </c:strRef>
          </c:cat>
          <c:val>
            <c:numRef>
              <c:f>Pivot_Table!$H$25:$H$29</c:f>
              <c:numCache>
                <c:formatCode>General</c:formatCode>
                <c:ptCount val="5"/>
                <c:pt idx="0">
                  <c:v>27112</c:v>
                </c:pt>
                <c:pt idx="1">
                  <c:v>41928</c:v>
                </c:pt>
                <c:pt idx="2">
                  <c:v>2952</c:v>
                </c:pt>
                <c:pt idx="3">
                  <c:v>23820</c:v>
                </c:pt>
                <c:pt idx="4">
                  <c:v>5622</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A-A11F-45AA-A1F0-CB2D919182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[Sudipta_Electricity_bills_excel_project (1) (2).xlsx]Pivot_Table!PivotTable2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Pivot_Table!$D$4:$D$39</c:f>
              <c:strCache>
                <c:ptCount val="35"/>
                <c:pt idx="0">
                  <c:v> Ahmedabad </c:v>
                </c:pt>
                <c:pt idx="1">
                  <c:v> Chennai </c:v>
                </c:pt>
                <c:pt idx="2">
                  <c:v> Dahej </c:v>
                </c:pt>
                <c:pt idx="3">
                  <c:v> Faridabad </c:v>
                </c:pt>
                <c:pt idx="4">
                  <c:v> Gurgaon </c:v>
                </c:pt>
                <c:pt idx="5">
                  <c:v> Hyderabad </c:v>
                </c:pt>
                <c:pt idx="6">
                  <c:v> KOLKATA </c:v>
                </c:pt>
                <c:pt idx="7">
                  <c:v> Mumbai </c:v>
                </c:pt>
                <c:pt idx="8">
                  <c:v> Nagpur </c:v>
                </c:pt>
                <c:pt idx="9">
                  <c:v> nan </c:v>
                </c:pt>
                <c:pt idx="10">
                  <c:v> Navi Mumbai </c:v>
                </c:pt>
                <c:pt idx="11">
                  <c:v> NEW DELHI </c:v>
                </c:pt>
                <c:pt idx="12">
                  <c:v> Noida </c:v>
                </c:pt>
                <c:pt idx="13">
                  <c:v> Pune </c:v>
                </c:pt>
                <c:pt idx="14">
                  <c:v> Ratnagiri </c:v>
                </c:pt>
                <c:pt idx="15">
                  <c:v> Shimla </c:v>
                </c:pt>
                <c:pt idx="16">
                  <c:v> Vadodara </c:v>
                </c:pt>
                <c:pt idx="17">
                  <c:v>Ahmedabad</c:v>
                </c:pt>
                <c:pt idx="18">
                  <c:v>Chennai</c:v>
                </c:pt>
                <c:pt idx="19">
                  <c:v>Dahej</c:v>
                </c:pt>
                <c:pt idx="20">
                  <c:v>FARIDABAD</c:v>
                </c:pt>
                <c:pt idx="21">
                  <c:v>GURGAON</c:v>
                </c:pt>
                <c:pt idx="22">
                  <c:v>Hyderabad</c:v>
                </c:pt>
                <c:pt idx="23">
                  <c:v>KOLKATA</c:v>
                </c:pt>
                <c:pt idx="24">
                  <c:v>Mumbai</c:v>
                </c:pt>
                <c:pt idx="25">
                  <c:v>Nagpur</c:v>
                </c:pt>
                <c:pt idx="26">
                  <c:v>NAN</c:v>
                </c:pt>
                <c:pt idx="27">
                  <c:v>Navi Mumbai</c:v>
                </c:pt>
                <c:pt idx="28">
                  <c:v>New Delhi</c:v>
                </c:pt>
                <c:pt idx="29">
                  <c:v>Noida</c:v>
                </c:pt>
                <c:pt idx="30">
                  <c:v>Pune</c:v>
                </c:pt>
                <c:pt idx="31">
                  <c:v>Ratnagiri</c:v>
                </c:pt>
                <c:pt idx="32">
                  <c:v>Shimla</c:v>
                </c:pt>
                <c:pt idx="33">
                  <c:v>unknown_city</c:v>
                </c:pt>
                <c:pt idx="34">
                  <c:v>Vadodara</c:v>
                </c:pt>
              </c:strCache>
            </c:strRef>
          </c:cat>
          <c:val>
            <c:numRef>
              <c:f>Pivot_Table!$E$4:$E$39</c:f>
              <c:numCache>
                <c:formatCode>General</c:formatCode>
                <c:ptCount val="35"/>
                <c:pt idx="0">
                  <c:v>3682.2777777777778</c:v>
                </c:pt>
                <c:pt idx="1">
                  <c:v>9218.0095238095237</c:v>
                </c:pt>
                <c:pt idx="2">
                  <c:v>3429.6727272727276</c:v>
                </c:pt>
                <c:pt idx="3">
                  <c:v>3882.2142857142831</c:v>
                </c:pt>
                <c:pt idx="4">
                  <c:v>4257.9000000000005</c:v>
                </c:pt>
                <c:pt idx="5">
                  <c:v>4001.9</c:v>
                </c:pt>
                <c:pt idx="6">
                  <c:v>4265.6769230769169</c:v>
                </c:pt>
                <c:pt idx="7">
                  <c:v>5012.4666666666644</c:v>
                </c:pt>
                <c:pt idx="8">
                  <c:v>4610.8846153846152</c:v>
                </c:pt>
                <c:pt idx="9">
                  <c:v>3855.246153846153</c:v>
                </c:pt>
                <c:pt idx="10">
                  <c:v>4187.9368421052623</c:v>
                </c:pt>
                <c:pt idx="11">
                  <c:v>3749.35</c:v>
                </c:pt>
                <c:pt idx="12">
                  <c:v>4313.1999999999935</c:v>
                </c:pt>
                <c:pt idx="13">
                  <c:v>4532.6272727272681</c:v>
                </c:pt>
                <c:pt idx="14">
                  <c:v>3506.12</c:v>
                </c:pt>
                <c:pt idx="15">
                  <c:v>3334.1000000000008</c:v>
                </c:pt>
                <c:pt idx="16">
                  <c:v>4296.9333333333298</c:v>
                </c:pt>
                <c:pt idx="17">
                  <c:v>4717.9273504273497</c:v>
                </c:pt>
                <c:pt idx="18">
                  <c:v>4367.7871559633031</c:v>
                </c:pt>
                <c:pt idx="19">
                  <c:v>3569.9009523809477</c:v>
                </c:pt>
                <c:pt idx="20">
                  <c:v>4920.7932692307668</c:v>
                </c:pt>
                <c:pt idx="21">
                  <c:v>4903.1017699115046</c:v>
                </c:pt>
                <c:pt idx="22">
                  <c:v>5531.7580645161288</c:v>
                </c:pt>
                <c:pt idx="23">
                  <c:v>4313.894999999995</c:v>
                </c:pt>
                <c:pt idx="24">
                  <c:v>5421.4186915887822</c:v>
                </c:pt>
                <c:pt idx="25">
                  <c:v>4371.7078125000016</c:v>
                </c:pt>
                <c:pt idx="26">
                  <c:v>4322.7142857142844</c:v>
                </c:pt>
                <c:pt idx="27">
                  <c:v>4838.1882352941193</c:v>
                </c:pt>
                <c:pt idx="28">
                  <c:v>4285.5044247787609</c:v>
                </c:pt>
                <c:pt idx="29">
                  <c:v>3914.3549549549493</c:v>
                </c:pt>
                <c:pt idx="30">
                  <c:v>4555.0959999999977</c:v>
                </c:pt>
                <c:pt idx="31">
                  <c:v>4843.0282352941167</c:v>
                </c:pt>
                <c:pt idx="32">
                  <c:v>3903.5333333333338</c:v>
                </c:pt>
                <c:pt idx="33">
                  <c:v>4163.3756097560954</c:v>
                </c:pt>
                <c:pt idx="34">
                  <c:v>3891.8517857142847</c:v>
                </c:pt>
              </c:numCache>
            </c:numRef>
          </c:val>
          <c:extLst>
            <c:ext xmlns:c16="http://schemas.microsoft.com/office/drawing/2014/chart" uri="{C3380CC4-5D6E-409C-BE32-E72D297353CC}">
              <c16:uniqueId val="{00000000-CE5F-49FF-BA29-8C9D4135EFCB}"/>
            </c:ext>
          </c:extLst>
        </c:ser>
        <c:dLbls>
          <c:showLegendKey val="0"/>
          <c:showVal val="0"/>
          <c:showCatName val="0"/>
          <c:showSerName val="0"/>
          <c:showPercent val="0"/>
          <c:showBubbleSize val="0"/>
        </c:dLbls>
        <c:gapWidth val="219"/>
        <c:overlap val="-27"/>
        <c:axId val="1450536288"/>
        <c:axId val="1450519968"/>
      </c:barChart>
      <c:catAx>
        <c:axId val="14505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19968"/>
        <c:crosses val="autoZero"/>
        <c:auto val="1"/>
        <c:lblAlgn val="ctr"/>
        <c:lblOffset val="100"/>
        <c:noMultiLvlLbl val="0"/>
      </c:catAx>
      <c:valAx>
        <c:axId val="145051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3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[Sudipta_Electricity_bills_excel_project (1) (2).xlsx]Pivot_Table!PivotTable3</c:name>
    <c:fmtId val="4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Pivot_Table!$G$6:$G$19</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Pivot_Table!$H$6:$H$19</c:f>
              <c:numCache>
                <c:formatCode>General</c:formatCode>
                <c:ptCount val="13"/>
                <c:pt idx="0">
                  <c:v>4386.0156862745071</c:v>
                </c:pt>
                <c:pt idx="1">
                  <c:v>3959.5181249999978</c:v>
                </c:pt>
                <c:pt idx="2">
                  <c:v>4512.1254901960765</c:v>
                </c:pt>
                <c:pt idx="3">
                  <c:v>4991.3</c:v>
                </c:pt>
                <c:pt idx="4">
                  <c:v>4656.3437125748496</c:v>
                </c:pt>
                <c:pt idx="5">
                  <c:v>4263.431446540877</c:v>
                </c:pt>
                <c:pt idx="6">
                  <c:v>4098.1846153846127</c:v>
                </c:pt>
                <c:pt idx="7">
                  <c:v>4819.360377358491</c:v>
                </c:pt>
                <c:pt idx="8">
                  <c:v>5784.2046511627896</c:v>
                </c:pt>
                <c:pt idx="9">
                  <c:v>4101.8597560975604</c:v>
                </c:pt>
                <c:pt idx="10">
                  <c:v>5090.7550724637676</c:v>
                </c:pt>
                <c:pt idx="11">
                  <c:v>4054.6291208791222</c:v>
                </c:pt>
                <c:pt idx="12">
                  <c:v>4071.9284090909064</c:v>
                </c:pt>
              </c:numCache>
            </c:numRef>
          </c:val>
          <c:smooth val="0"/>
          <c:extLst>
            <c:ext xmlns:c16="http://schemas.microsoft.com/office/drawing/2014/chart" uri="{C3380CC4-5D6E-409C-BE32-E72D297353CC}">
              <c16:uniqueId val="{00000000-3C1C-4C39-80FE-8C3BAB0A3451}"/>
            </c:ext>
          </c:extLst>
        </c:ser>
        <c:dLbls>
          <c:showLegendKey val="0"/>
          <c:showVal val="0"/>
          <c:showCatName val="0"/>
          <c:showSerName val="0"/>
          <c:showPercent val="0"/>
          <c:showBubbleSize val="0"/>
        </c:dLbls>
        <c:marker val="1"/>
        <c:smooth val="0"/>
        <c:axId val="1450540608"/>
        <c:axId val="1450524288"/>
      </c:lineChart>
      <c:catAx>
        <c:axId val="14505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24288"/>
        <c:crosses val="autoZero"/>
        <c:auto val="1"/>
        <c:lblAlgn val="ctr"/>
        <c:lblOffset val="100"/>
        <c:noMultiLvlLbl val="0"/>
      </c:catAx>
      <c:valAx>
        <c:axId val="145052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4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34"/>
              <c:pt idx="0">
                <c:v>Adani Power Ltd.</c:v>
              </c:pt>
              <c:pt idx="1">
                <c:v>Bonfiglioli Transmission Pvt. Ltd.</c:v>
              </c:pt>
              <c:pt idx="2">
                <c:v>CESC</c:v>
              </c:pt>
              <c:pt idx="3">
                <c:v>GE T&amp;D India Limited</c:v>
              </c:pt>
              <c:pt idx="4">
                <c:v>Guj Ind Power</c:v>
              </c:pt>
              <c:pt idx="5">
                <c:v>Indowind Energy</c:v>
              </c:pt>
              <c:pt idx="6">
                <c:v>Jaiprakash Power</c:v>
              </c:pt>
              <c:pt idx="7">
                <c:v>JSW Energy Ltd.</c:v>
              </c:pt>
              <c:pt idx="8">
                <c:v>Jyoti Structure</c:v>
              </c:pt>
              <c:pt idx="9">
                <c:v>Kalpataru Power</c:v>
              </c:pt>
              <c:pt idx="10">
                <c:v>KEC International</c:v>
              </c:pt>
              <c:pt idx="11">
                <c:v>L&amp;T Transmission &amp; Distribution</c:v>
              </c:pt>
              <c:pt idx="12">
                <c:v>Maha Transco â€“ Maharashtra State Electricity Transmission Co, Ltd.</c:v>
              </c:pt>
              <c:pt idx="13">
                <c:v>nan</c:v>
              </c:pt>
              <c:pt idx="14">
                <c:v>Neueon Towers / Sujana Towers Ltd.</c:v>
              </c:pt>
              <c:pt idx="15">
                <c:v>NHPC</c:v>
              </c:pt>
              <c:pt idx="16">
                <c:v>NLC India</c:v>
              </c:pt>
              <c:pt idx="17">
                <c:v>NTPC Pvt. Ltd.</c:v>
              </c:pt>
              <c:pt idx="18">
                <c:v>Optibelt Power Transmission India Private Limited</c:v>
              </c:pt>
              <c:pt idx="19">
                <c:v>Orient Green</c:v>
              </c:pt>
              <c:pt idx="20">
                <c:v>Power Grid Corp</c:v>
              </c:pt>
              <c:pt idx="21">
                <c:v>Ratnagiri Gas and Power Pvt. Ltd. (RGPPL)</c:v>
              </c:pt>
              <c:pt idx="22">
                <c:v>Reliance Energy</c:v>
              </c:pt>
              <c:pt idx="23">
                <c:v>Reliance Power</c:v>
              </c:pt>
              <c:pt idx="24">
                <c:v>Ringfeder Power Transmission India Pvt. Ltd.</c:v>
              </c:pt>
              <c:pt idx="25">
                <c:v>SJVN Ltd.</c:v>
              </c:pt>
              <c:pt idx="26">
                <c:v>Sterlite Power Transmission Ltd</c:v>
              </c:pt>
              <c:pt idx="27">
                <c:v>Sunil Hitech Eng</c:v>
              </c:pt>
              <c:pt idx="28">
                <c:v>Tata Power Company Ltd.</c:v>
              </c:pt>
              <c:pt idx="29">
                <c:v>Torrent Power Ltd.</c:v>
              </c:pt>
              <c:pt idx="30">
                <c:v>Toshiba Transmission &amp; Distribution Systems (India) Pvt. Ltd.</c:v>
              </c:pt>
              <c:pt idx="31">
                <c:v>TransRail Lighting</c:v>
              </c:pt>
              <c:pt idx="32">
                <c:v>Unitech Power Transmission Ltd.</c:v>
              </c:pt>
              <c:pt idx="33">
                <c:v>unknown</c:v>
              </c:pt>
            </c:strLit>
          </c:cat>
          <c:val>
            <c:numLit>
              <c:formatCode>General</c:formatCode>
              <c:ptCount val="34"/>
              <c:pt idx="0">
                <c:v>58</c:v>
              </c:pt>
              <c:pt idx="1">
                <c:v>51</c:v>
              </c:pt>
              <c:pt idx="2">
                <c:v>51</c:v>
              </c:pt>
              <c:pt idx="3">
                <c:v>54</c:v>
              </c:pt>
              <c:pt idx="4">
                <c:v>60</c:v>
              </c:pt>
              <c:pt idx="5">
                <c:v>55</c:v>
              </c:pt>
              <c:pt idx="6">
                <c:v>56</c:v>
              </c:pt>
              <c:pt idx="7">
                <c:v>59</c:v>
              </c:pt>
              <c:pt idx="8">
                <c:v>65</c:v>
              </c:pt>
              <c:pt idx="9">
                <c:v>67</c:v>
              </c:pt>
              <c:pt idx="10">
                <c:v>69</c:v>
              </c:pt>
              <c:pt idx="11">
                <c:v>68</c:v>
              </c:pt>
              <c:pt idx="12">
                <c:v>68</c:v>
              </c:pt>
              <c:pt idx="13">
                <c:v>7</c:v>
              </c:pt>
              <c:pt idx="14">
                <c:v>65</c:v>
              </c:pt>
              <c:pt idx="15">
                <c:v>60</c:v>
              </c:pt>
              <c:pt idx="16">
                <c:v>50</c:v>
              </c:pt>
              <c:pt idx="17">
                <c:v>53</c:v>
              </c:pt>
              <c:pt idx="18">
                <c:v>54</c:v>
              </c:pt>
              <c:pt idx="19">
                <c:v>74</c:v>
              </c:pt>
              <c:pt idx="20">
                <c:v>61</c:v>
              </c:pt>
              <c:pt idx="21">
                <c:v>58</c:v>
              </c:pt>
              <c:pt idx="22">
                <c:v>59</c:v>
              </c:pt>
              <c:pt idx="23">
                <c:v>54</c:v>
              </c:pt>
              <c:pt idx="24">
                <c:v>78</c:v>
              </c:pt>
              <c:pt idx="25">
                <c:v>49</c:v>
              </c:pt>
              <c:pt idx="26">
                <c:v>64</c:v>
              </c:pt>
              <c:pt idx="27">
                <c:v>69</c:v>
              </c:pt>
              <c:pt idx="28">
                <c:v>56</c:v>
              </c:pt>
              <c:pt idx="29">
                <c:v>57</c:v>
              </c:pt>
              <c:pt idx="30">
                <c:v>69</c:v>
              </c:pt>
              <c:pt idx="31">
                <c:v>64</c:v>
              </c:pt>
              <c:pt idx="32">
                <c:v>60</c:v>
              </c:pt>
              <c:pt idx="33">
                <c:v>94</c:v>
              </c:pt>
            </c:numLit>
          </c:val>
          <c:extLst>
            <c:ext xmlns:c16="http://schemas.microsoft.com/office/drawing/2014/chart" uri="{C3380CC4-5D6E-409C-BE32-E72D297353CC}">
              <c16:uniqueId val="{00000000-E831-40C6-9365-69717A03721F}"/>
            </c:ext>
          </c:extLst>
        </c:ser>
        <c:dLbls>
          <c:showLegendKey val="0"/>
          <c:showVal val="0"/>
          <c:showCatName val="0"/>
          <c:showSerName val="0"/>
          <c:showPercent val="0"/>
          <c:showBubbleSize val="0"/>
        </c:dLbls>
        <c:gapWidth val="182"/>
        <c:axId val="1450552608"/>
        <c:axId val="1450560288"/>
      </c:barChart>
      <c:catAx>
        <c:axId val="145055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60288"/>
        <c:crosses val="autoZero"/>
        <c:auto val="1"/>
        <c:lblAlgn val="ctr"/>
        <c:lblOffset val="100"/>
        <c:noMultiLvlLbl val="0"/>
      </c:catAx>
      <c:valAx>
        <c:axId val="1450560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55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281418</xdr:colOff>
      <xdr:row>6</xdr:row>
      <xdr:rowOff>23266</xdr:rowOff>
    </xdr:from>
    <xdr:to>
      <xdr:col>9</xdr:col>
      <xdr:colOff>213757</xdr:colOff>
      <xdr:row>14</xdr:row>
      <xdr:rowOff>7620</xdr:rowOff>
    </xdr:to>
    <xdr:pic>
      <xdr:nvPicPr>
        <xdr:cNvPr id="2" name="Picture 1">
          <a:extLst>
            <a:ext uri="{FF2B5EF4-FFF2-40B4-BE49-F238E27FC236}">
              <a16:creationId xmlns:a16="http://schemas.microsoft.com/office/drawing/2014/main" id="{D1957B21-2472-59B6-AE99-82D5920018AE}"/>
            </a:ext>
          </a:extLst>
        </xdr:cNvPr>
        <xdr:cNvPicPr>
          <a:picLocks noChangeAspect="1"/>
        </xdr:cNvPicPr>
      </xdr:nvPicPr>
      <xdr:blipFill>
        <a:blip xmlns:r="http://schemas.openxmlformats.org/officeDocument/2006/relationships" r:embed="rId1"/>
        <a:stretch>
          <a:fillRect/>
        </a:stretch>
      </xdr:blipFill>
      <xdr:spPr>
        <a:xfrm>
          <a:off x="891018" y="2461666"/>
          <a:ext cx="4809139" cy="3184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4</xdr:row>
      <xdr:rowOff>85725</xdr:rowOff>
    </xdr:from>
    <xdr:to>
      <xdr:col>7</xdr:col>
      <xdr:colOff>213360</xdr:colOff>
      <xdr:row>16</xdr:row>
      <xdr:rowOff>125730</xdr:rowOff>
    </xdr:to>
    <xdr:graphicFrame macro="">
      <xdr:nvGraphicFramePr>
        <xdr:cNvPr id="2" name="Chart 1">
          <a:extLst>
            <a:ext uri="{FF2B5EF4-FFF2-40B4-BE49-F238E27FC236}">
              <a16:creationId xmlns:a16="http://schemas.microsoft.com/office/drawing/2014/main" id="{7F65C294-796A-45D8-8EC2-E60BBC153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1224562</xdr:colOff>
      <xdr:row>18</xdr:row>
      <xdr:rowOff>180764</xdr:rowOff>
    </xdr:from>
    <xdr:to>
      <xdr:col>17</xdr:col>
      <xdr:colOff>409222</xdr:colOff>
      <xdr:row>38</xdr:row>
      <xdr:rowOff>28223</xdr:rowOff>
    </xdr:to>
    <xdr:graphicFrame macro="">
      <xdr:nvGraphicFramePr>
        <xdr:cNvPr id="3" name="Chart 2">
          <a:extLst>
            <a:ext uri="{FF2B5EF4-FFF2-40B4-BE49-F238E27FC236}">
              <a16:creationId xmlns:a16="http://schemas.microsoft.com/office/drawing/2014/main" id="{76E10BFC-30FF-4C68-884A-384EF718E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790223</xdr:colOff>
      <xdr:row>5</xdr:row>
      <xdr:rowOff>14112</xdr:rowOff>
    </xdr:from>
    <xdr:to>
      <xdr:col>16</xdr:col>
      <xdr:colOff>340925</xdr:colOff>
      <xdr:row>15</xdr:row>
      <xdr:rowOff>78176</xdr:rowOff>
    </xdr:to>
    <xdr:graphicFrame macro="">
      <xdr:nvGraphicFramePr>
        <xdr:cNvPr id="4" name="Chart 3">
          <a:extLst>
            <a:ext uri="{FF2B5EF4-FFF2-40B4-BE49-F238E27FC236}">
              <a16:creationId xmlns:a16="http://schemas.microsoft.com/office/drawing/2014/main" id="{D3D5CA97-E483-4F79-8858-08EEF96DD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182598</xdr:colOff>
      <xdr:row>20</xdr:row>
      <xdr:rowOff>125447</xdr:rowOff>
    </xdr:from>
    <xdr:to>
      <xdr:col>7</xdr:col>
      <xdr:colOff>0</xdr:colOff>
      <xdr:row>42</xdr:row>
      <xdr:rowOff>42333</xdr:rowOff>
    </xdr:to>
    <xdr:graphicFrame macro="">
      <xdr:nvGraphicFramePr>
        <xdr:cNvPr id="5" name="Chart 4">
          <a:extLst>
            <a:ext uri="{FF2B5EF4-FFF2-40B4-BE49-F238E27FC236}">
              <a16:creationId xmlns:a16="http://schemas.microsoft.com/office/drawing/2014/main" id="{F45E69E5-9B95-4A6E-AB76-1BAD82B44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169332</xdr:colOff>
      <xdr:row>20</xdr:row>
      <xdr:rowOff>155222</xdr:rowOff>
    </xdr:from>
    <xdr:to>
      <xdr:col>9</xdr:col>
      <xdr:colOff>516466</xdr:colOff>
      <xdr:row>34</xdr:row>
      <xdr:rowOff>53975</xdr:rowOff>
    </xdr:to>
    <mc:AlternateContent xmlns:mc="http://schemas.openxmlformats.org/markup-compatibility/2006" xmlns:a14="http://schemas.microsoft.com/office/drawing/2010/main">
      <mc:Choice Requires="a14">
        <xdr:graphicFrame macro="">
          <xdr:nvGraphicFramePr>
            <xdr:cNvPr id="6" name="Company">
              <a:extLst>
                <a:ext uri="{FF2B5EF4-FFF2-40B4-BE49-F238E27FC236}">
                  <a16:creationId xmlns:a16="http://schemas.microsoft.com/office/drawing/2014/main" id="{853FBA3E-5324-4CD7-8E3C-E6C15C811124}"/>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5954888" y="505177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776110</xdr:colOff>
      <xdr:row>19</xdr:row>
      <xdr:rowOff>56444</xdr:rowOff>
    </xdr:from>
    <xdr:to>
      <xdr:col>18</xdr:col>
      <xdr:colOff>587022</xdr:colOff>
      <xdr:row>32</xdr:row>
      <xdr:rowOff>138641</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C5E347E-731F-413E-94F2-75CB55AF34F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356666" y="47695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663223</xdr:colOff>
      <xdr:row>5</xdr:row>
      <xdr:rowOff>268112</xdr:rowOff>
    </xdr:from>
    <xdr:to>
      <xdr:col>16</xdr:col>
      <xdr:colOff>2492023</xdr:colOff>
      <xdr:row>14</xdr:row>
      <xdr:rowOff>68087</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E95B1C71-29D2-4590-AC19-DC47029663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153445" y="139700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161.015395023147" createdVersion="8" refreshedVersion="8" minRefreshableVersion="3" recordCount="2036" xr:uid="{4C43C1E1-E4CE-4C51-83FA-39527EE4E78A}">
  <cacheSource type="worksheet">
    <worksheetSource ref="D3:E39" sheet="Dashboard"/>
  </cacheSource>
  <cacheFields count="12">
    <cacheField name="Fan" numFmtId="0">
      <sharedItems containsSemiMixedTypes="0" containsString="0" containsNumber="1" containsInteger="1" minValue="0" maxValue="23"/>
    </cacheField>
    <cacheField name="Refrigerator" numFmtId="0">
      <sharedItems containsSemiMixedTypes="0" containsString="0" containsNumber="1" containsInteger="1" minValue="0" maxValue="23"/>
    </cacheField>
    <cacheField name="AirConditioner" numFmtId="0">
      <sharedItems containsSemiMixedTypes="0" containsString="0" containsNumber="1" containsInteger="1" minValue="0" maxValue="3"/>
    </cacheField>
    <cacheField name="Television" numFmtId="0">
      <sharedItems containsSemiMixedTypes="0" containsString="0" containsNumber="1" containsInteger="1" minValue="0" maxValue="22"/>
    </cacheField>
    <cacheField name="Monitor" numFmtId="0">
      <sharedItems containsSemiMixedTypes="0" containsString="0" containsNumber="1" containsInteger="1" minValue="0" maxValue="12"/>
    </cacheField>
    <cacheField name="MotorPump" numFmtId="0">
      <sharedItems containsSemiMixedTypes="0" containsString="0" containsNumber="1" containsInteger="1" minValue="0" maxValue="0"/>
    </cacheField>
    <cacheField name="Month" numFmtId="0">
      <sharedItems containsSemiMixedTypes="0" containsString="0" containsNumber="1" containsInteger="1" minValue="0" maxValue="12" count="13">
        <n v="2"/>
        <n v="8"/>
        <n v="11"/>
        <n v="1"/>
        <n v="3"/>
        <n v="5"/>
        <n v="9"/>
        <n v="6"/>
        <n v="12"/>
        <n v="7"/>
        <n v="0"/>
        <n v="4"/>
        <n v="10"/>
      </sharedItems>
    </cacheField>
    <cacheField name="City" numFmtId="0">
      <sharedItems count="35">
        <s v="FARIDABAD"/>
        <s v="GURGAON"/>
        <s v=" Nagpur "/>
        <s v="Nagpur"/>
        <s v="KOLKATA"/>
        <s v="Shimla"/>
        <s v="Pune"/>
        <s v="Vadodara"/>
        <s v="Hyderabad"/>
        <s v="Ahmedabad"/>
        <s v="New Delhi"/>
        <s v=" Hyderabad "/>
        <s v=" KOLKATA "/>
        <s v="Mumbai"/>
        <s v="Dahej"/>
        <s v="Navi Mumbai"/>
        <s v="Noida"/>
        <s v="Chennai"/>
        <s v=" Gurgaon "/>
        <s v="Ratnagiri"/>
        <s v="unknown_city"/>
        <s v=" Ratnagiri "/>
        <s v=" nan "/>
        <s v=" Vadodara "/>
        <s v=" Dahej "/>
        <s v=" Noida "/>
        <s v=" Ahmedabad "/>
        <s v="NAN"/>
        <s v=" Chennai "/>
        <s v=" Navi Mumbai "/>
        <s v=" Shimla "/>
        <s v=" NEW DELHI "/>
        <s v=" Mumbai "/>
        <s v=" Faridabad "/>
        <s v=" Pune "/>
      </sharedItems>
    </cacheField>
    <cacheField name="Company" numFmtId="0">
      <sharedItems/>
    </cacheField>
    <cacheField name="MonthlyHours" numFmtId="0">
      <sharedItems containsMixedTypes="1" containsNumber="1" containsInteger="1" minValue="0" maxValue="913"/>
    </cacheField>
    <cacheField name="TariffRate" numFmtId="0">
      <sharedItems containsMixedTypes="1" containsNumber="1" minValue="0" maxValue="9.3000000000000007"/>
    </cacheField>
    <cacheField name="ElectricityBill" numFmtId="0">
      <sharedItems containsMixedTypes="1" containsNumber="1" minValue="0" maxValue="99999" count="1645">
        <n v="3726"/>
        <n v="4357.5"/>
        <n v="4450"/>
        <n v="3411.3"/>
        <n v="5019.6000000000004"/>
        <n v="3062.3999999999901"/>
        <n v="5901.3"/>
        <n v="5066.6000000000004"/>
        <n v="2278.4"/>
        <n v="6160.7"/>
        <n v="5610.8"/>
        <n v="4654.5"/>
        <n v="3174.6"/>
        <n v="4267.2"/>
        <n v="2883.5"/>
        <n v="4503.5999999999904"/>
        <n v="5618.5"/>
        <n v="2710.4"/>
        <n v="4275.6000000000004"/>
        <n v="4015.2"/>
        <n v="3072.3"/>
        <n v="3736.2"/>
        <n v="2891.4"/>
        <n v="5259.1"/>
        <n v="0"/>
        <n v="5811.5999999999904"/>
        <n v="4912.6000000000004"/>
        <n v="3985.7999999999902"/>
        <n v="2097.6"/>
        <n v="5064.1000000000004"/>
        <n v="4174.1000000000004"/>
        <n v="4035.6"/>
        <n v="4374.1000000000004"/>
        <n v="5291.7"/>
        <n v="3800"/>
        <n v="4280.3999999999996"/>
        <n v="3923.4"/>
        <n v="5924.7"/>
        <n v="3558.7999999999902"/>
        <n v="3502.8"/>
        <n v="3400.7999999999902"/>
        <n v="4621.5"/>
        <n v="6292"/>
        <n v="2514.9"/>
        <n v="4321.6000000000004"/>
        <n v="3901"/>
        <n v="3729.6"/>
        <n v="4233.2"/>
        <n v="5720"/>
        <n v="5945.4"/>
        <n v="5059.5999999999904"/>
        <n v="4576"/>
        <n v="4416"/>
        <n v="2101.6"/>
        <n v="3382"/>
        <n v="4668.3"/>
        <n v="5499.9"/>
        <n v="1802"/>
        <n v="6596.4"/>
        <n v="3957.9"/>
        <n v="4292.3999999999996"/>
        <n v="4067"/>
        <n v="6345.7"/>
        <n v="4637.6000000000004"/>
        <n v="4504.5"/>
        <n v="3000.8"/>
        <n v="2587.1999999999998"/>
        <n v="3556.7999999999902"/>
        <n v="5516.0999999999904"/>
        <n v="5059.2"/>
        <n v="4889.5"/>
        <n v="4720.8"/>
        <n v="3984"/>
        <n v="2738"/>
        <n v="2386.7999999999902"/>
        <n v="5226.6000000000004"/>
        <n v="3377.7"/>
        <n v="4603.5"/>
        <n v="3708.7999999999902"/>
        <n v="2047.5"/>
        <n v="3711.3"/>
        <n v="5695"/>
        <n v="3310.8"/>
        <n v="3247.6"/>
        <n v="2937.8"/>
        <n v="3462.1"/>
        <n v="4368"/>
        <n v="5904.5999999999904"/>
        <n v="3471"/>
        <n v="4672.5"/>
        <n v="3507.6"/>
        <n v="5175.8999999999996"/>
        <n v="3004.4"/>
        <n v="3891.2"/>
        <n v="4410.3999999999996"/>
        <n v="5579.2"/>
        <n v="3361.6"/>
        <n v="2516"/>
        <n v="4082.3999999999901"/>
        <n v="3604.5"/>
        <n v="4289.8"/>
        <n v="4924.8"/>
        <n v="6482.1"/>
        <n v="4846.2"/>
        <n v="4362.3999999999996"/>
        <n v="4743.7"/>
        <n v="3389.1"/>
        <n v="3894.7"/>
        <n v="4888.7"/>
        <n v="4508"/>
        <n v="3625.6"/>
        <n v="5700.9"/>
        <n v="4985.0999999999904"/>
        <n v="4084.7999999999902"/>
        <n v="4271.7"/>
        <n v="5556.5999999999904"/>
        <n v="3922.1"/>
        <n v="6787.7999999999902"/>
        <n v="5077.8"/>
        <n v="3086.1"/>
        <n v="4203.8999999999996"/>
        <n v="4813.3999999999996"/>
        <n v="2618.6999999999998"/>
        <n v="3126.6"/>
        <n v="4732.1000000000004"/>
        <n v="5296.2"/>
        <n v="2628.6"/>
        <n v="5229.8"/>
        <n v="4497.8999999999996"/>
        <n v="3619.2"/>
        <n v="2822"/>
        <n v="3636.3"/>
        <n v="5726.7"/>
        <n v="4050"/>
        <n v="3115.5"/>
        <n v="5328.9"/>
        <n v="3781.4"/>
        <n v="5856.5"/>
        <n v="4561.2"/>
        <n v="4268.7"/>
        <n v="5769.4"/>
        <n v="5119.2"/>
        <n v="5724.5999999999904"/>
        <n v="4558.3999999999996"/>
        <n v="4931.2"/>
        <n v="4325.3999999999996"/>
        <n v="1911.6"/>
        <n v="7254"/>
        <n v="3467.2"/>
        <n v="3056.2"/>
        <n v="3593.1"/>
        <n v="3134.1"/>
        <n v="4531.8"/>
        <n v="3966.4"/>
        <n v="2125.1999999999998"/>
        <n v="4336.8"/>
        <n v="4032"/>
        <n v="5865"/>
        <n v="3830.3999999999901"/>
        <n v="3560.7"/>
        <n v="3936.8"/>
        <n v="4964"/>
        <n v="5332.5"/>
        <n v="5722.7"/>
        <n v="4750.2"/>
        <n v="5124.5999999999904"/>
        <n v="6422"/>
        <n v="2987.6"/>
        <n v="5127.1000000000004"/>
        <n v="3701.4"/>
        <n v="5135.3999999999996"/>
        <n v="4704.7"/>
        <n v="5378.0999999999904"/>
        <n v="5439"/>
        <n v="3906.2999999999902"/>
        <n v="3524.4"/>
        <n v="3402"/>
        <n v="4617.5999999999904"/>
        <n v="3199.5"/>
        <n v="4854.6000000000004"/>
        <n v="3103.1"/>
        <n v="5515.7999999999902"/>
        <n v="4180"/>
        <n v="4243.2"/>
        <n v="2493.8000000000002"/>
        <n v="5245.2"/>
        <n v="5678.2"/>
        <n v="4268"/>
        <n v="3612.5"/>
        <n v="2267.3000000000002"/>
        <n v="5091.2"/>
        <n v="5586"/>
        <n v="6463.5"/>
        <n v="4754.3999999999996"/>
        <n v="5024.6000000000004"/>
        <n v="4519.8"/>
        <n v="2907.2"/>
        <n v="4460.7999999999902"/>
        <n v="3293"/>
        <n v="5009.8"/>
        <n v="3619"/>
        <n v="4173.7999999999902"/>
        <n v="5598.6"/>
        <n v="3361.5"/>
        <n v="3108"/>
        <n v="4165"/>
        <n v="5174.3999999999996"/>
        <n v="3845.4"/>
        <n v="3782.7"/>
        <n v="5426.4"/>
        <n v="3102.5"/>
        <n v="4113.2"/>
        <n v="3765.3"/>
        <n v="5833.0999999999904"/>
        <n v="2435.3999999999901"/>
        <n v="5167.7999999999902"/>
        <n v="5341.7"/>
        <n v="4290"/>
        <n v="2418"/>
        <n v="4228.2"/>
        <n v="4149.8999999999996"/>
        <n v="4400.3"/>
        <n v="5297.2"/>
        <n v="3944.7"/>
        <n v="4479.5"/>
        <n v="3861"/>
        <n v="4198.3999999999996"/>
        <n v="4557"/>
        <n v="3974.3999999999901"/>
        <n v="5372"/>
        <n v="2996.3"/>
        <n v="3292.2"/>
        <n v="3996.3"/>
        <n v="3825.8"/>
        <n v="4459"/>
        <n v="5888"/>
        <n v="3838"/>
        <n v="2859.8"/>
        <n v="4435.2"/>
        <n v="3599.1"/>
        <n v="2538.4"/>
        <n v="3744.6"/>
        <n v="4722.7"/>
        <n v="3738"/>
        <n v="5584.4"/>
        <n v="3776.2"/>
        <n v="4104.1000000000004"/>
        <n v="5666.2"/>
        <n v="4358.7"/>
        <n v="3882.3999999999901"/>
        <n v="3783"/>
        <n v="5452.99999999999"/>
        <n v="6327.2"/>
        <n v="5366.1"/>
        <n v="4984.8"/>
        <n v="4622.1000000000004"/>
        <n v="4901.6000000000004"/>
        <n v="3322.7999999999902"/>
        <n v="4265.8"/>
        <n v="5459.1"/>
        <n v="2830.1"/>
        <n v="3474.8999999999901"/>
        <n v="2857.6"/>
        <n v="4993.7999999999902"/>
        <n v="4770.8999999999996"/>
        <n v="5619.6"/>
        <n v="6784.8"/>
        <n v="4436.1000000000004"/>
        <n v="6603.8"/>
        <n v="4258.1000000000004"/>
        <n v="4757.5999999999904"/>
        <n v="5738.1"/>
        <n v="5685.5999999999904"/>
        <n v="3836.7"/>
        <n v="6890.7999999999902"/>
        <n v="4609.2"/>
        <n v="3758.2999999999902"/>
        <n v="3477.6"/>
        <n v="4462.2"/>
        <n v="4484"/>
        <n v="3021.2"/>
        <n v="3525.6"/>
        <n v="3889.3"/>
        <n v="3449.6"/>
        <n v="6542.4"/>
        <n v="4505.6000000000004"/>
        <n v="5397.5"/>
        <n v="4584.5999999999904"/>
        <n v="3175.2"/>
        <n v="4494"/>
        <n v="6034.2"/>
        <n v="5032.3"/>
        <n v="4216.8"/>
        <n v="4941.5999999999904"/>
        <n v="3790.7999999999902"/>
        <n v="4204.2"/>
        <n v="4386"/>
        <n v="5953.5"/>
        <n v="4845.3"/>
        <n v="2556.4"/>
        <n v="3863.2"/>
        <n v="6325.2"/>
        <n v="4206.5999999999904"/>
        <n v="5529.2"/>
        <n v="3032.3999999999901"/>
        <n v="5384.7"/>
        <n v="4491.5999999999904"/>
        <n v="2730"/>
        <n v="2410.1"/>
        <n v="3917.6"/>
        <n v="5922.4"/>
        <n v="3743.3"/>
        <n v="5924.0999999999904"/>
        <n v="5446.8"/>
        <n v="3523.49999999999"/>
        <n v="4167.2999999999902"/>
        <n v="3731"/>
        <n v="3725.99999999999"/>
        <n v="4968.5999999999904"/>
        <n v="2971.6"/>
        <n v="2370"/>
        <n v="4050.7999999999902"/>
        <n v="2515.6"/>
        <n v="5754"/>
        <n v="4847"/>
        <n v="3863.7"/>
        <n v="3898.7999999999902"/>
        <n v="2722.4"/>
        <n v="3385.2"/>
        <n v="4960.8"/>
        <n v="5144.2"/>
        <n v="3549.2"/>
        <n v="4779.3"/>
        <n v="4315.2"/>
        <n v="3412.8"/>
        <n v="4741.5"/>
        <n v="4343.8"/>
        <n v="3642.1"/>
        <n v="5217.3"/>
        <n v="5468.6"/>
        <n v="7101.6"/>
        <n v="3792.3999999999901"/>
        <n v="4737.6000000000004"/>
        <n v="4912.7999999999902"/>
        <n v="5429"/>
        <n v="5755.2"/>
        <n v="5142.8999999999996"/>
        <n v="4633"/>
        <n v="4088.7999999999902"/>
        <n v="4658"/>
        <n v="5227.5"/>
        <n v="4930"/>
        <n v="3707.4"/>
        <n v="2124.8000000000002"/>
        <n v="2566.8000000000002"/>
        <n v="4859.3999999999996"/>
        <n v="3581.6"/>
        <n v="5198.2"/>
        <n v="4468.0999999999904"/>
        <n v="3868.7999999999902"/>
        <n v="4508.3999999999996"/>
        <n v="4437"/>
        <n v="7012.2"/>
        <n v="4312"/>
        <n v="4957.3"/>
        <n v="3519"/>
        <n v="3952.7999999999902"/>
        <n v="3369.6"/>
        <n v="4692"/>
        <n v="4672.8999999999996"/>
        <n v="5881.2"/>
        <n v="3684.6"/>
        <n v="4335.1000000000004"/>
        <n v="2379.3000000000002"/>
        <n v="5150.5999999999904"/>
        <n v="4821.5999999999904"/>
        <n v="4028.0999999999899"/>
        <n v="3025.7999999999902"/>
        <n v="5768.4"/>
        <n v="5787.5999999999904"/>
        <n v="4384.8"/>
        <n v="3973.7"/>
        <n v="3374.4"/>
        <n v="4365.8999999999996"/>
        <n v="3997.6"/>
        <n v="6256"/>
        <n v="4818.3999999999996"/>
        <n v="5280.9"/>
        <n v="4841.6000000000004"/>
        <n v="5914.8"/>
        <n v="4318"/>
        <n v="4663.6000000000004"/>
        <n v="4378.7999999999902"/>
        <n v="3493.6"/>
        <n v="6360.9"/>
        <n v="4408.2"/>
        <n v="2979.9"/>
        <n v="3960.5999999999899"/>
        <n v="4034.3999999999901"/>
        <n v="5244.8"/>
        <n v="2687.8"/>
        <n v="4158"/>
        <n v="4696.8"/>
        <n v="5120.5"/>
        <n v="4589.8999999999996"/>
        <n v="4094"/>
        <n v="99999"/>
        <n v="4442.8999999999996"/>
        <n v="5980.8"/>
        <n v="5031.6000000000004"/>
        <n v="5348.3"/>
        <n v="4625"/>
        <n v="5822.3"/>
        <n v="3066.7999999999902"/>
        <n v="3636.6"/>
        <n v="6955.2"/>
        <n v="3034.9"/>
        <n v="6936.7999999999902"/>
        <n v="2916.3999999999901"/>
        <n v="5104"/>
        <n v="4131.7"/>
        <n v="2503.1999999999998"/>
        <n v="5811.7"/>
        <n v="4247.5999999999904"/>
        <n v="2324.4"/>
        <n v="2784.6"/>
        <n v="4358.2"/>
        <n v="4945.6000000000004"/>
        <n v="3566.99999999999"/>
        <n v="3170.5"/>
        <n v="4690.3999999999996"/>
        <n v="3954.6"/>
        <n v="5530"/>
        <n v="4305.5999999999904"/>
        <n v="3180.1"/>
        <n v="4480.3999999999996"/>
        <n v="3696"/>
        <n v="4765.8"/>
        <n v="2975.7"/>
        <n v="3751.8"/>
        <n v="4876.2"/>
        <n v="2888.7999999999902"/>
        <n v="2945.9"/>
        <n v="3559.4"/>
        <n v="3106.2"/>
        <n v="4361"/>
        <n v="4611.2"/>
        <n v="3990"/>
        <n v="5254.7999999999902"/>
        <n v="3578.4"/>
        <n v="5073"/>
        <n v="3854.1"/>
        <n v="3355.3"/>
        <n v="5198"/>
        <n v="5461.2"/>
        <n v="2523.4"/>
        <n v="3096.8"/>
        <n v="4054.5"/>
        <n v="4158.5999999999904"/>
        <n v="4850.3"/>
        <n v="3902.6"/>
        <n v="2921.1"/>
        <n v="4627.5999999999904"/>
        <n v="6297.2"/>
        <n v="4142"/>
        <n v="4519.8999999999996"/>
        <n v="3393.6"/>
        <n v="3182.4"/>
        <n v="6142.5"/>
        <n v="3840.9"/>
        <n v="4921.8"/>
        <n v="4352"/>
        <n v="4414.5"/>
        <n v="3203.2"/>
        <n v="3542.3999999999901"/>
        <n v="5208"/>
        <n v="5915"/>
        <n v="3634"/>
        <n v="4167.8"/>
        <n v="3847.3"/>
        <n v="4173.5"/>
        <n v="3626.1"/>
        <n v="4567.5"/>
        <n v="4984.8999999999996"/>
        <n v="2216.1"/>
        <n v="5750.7"/>
        <n v="5888.4"/>
        <n v="3110.8"/>
        <n v="4653.1000000000004"/>
        <n v="3097.6"/>
        <n v="5616.99999999999"/>
        <n v="5108.5"/>
        <n v="4836.5"/>
        <n v="3418.8"/>
        <n v="5483.2"/>
        <n v="7452.9"/>
        <n v="5518.5999999999904"/>
        <n v="4764.2"/>
        <n v="3889.2"/>
        <n v="5639.2"/>
        <n v="5308.4"/>
        <n v="4402.2"/>
        <n v="3215.7"/>
        <n v="4190.5"/>
        <n v="4276.8"/>
        <n v="2425.7999999999902"/>
        <n v="5798.6"/>
        <n v="5218.2"/>
        <n v="2930.9"/>
        <n v="5081.8999999999996"/>
        <n v="4727.8"/>
        <n v="5124"/>
        <n v="4132.8"/>
        <n v="3826.9"/>
        <n v="5287.0999999999904"/>
        <n v="5286.6"/>
        <n v="6648.3"/>
        <n v="3248.1"/>
        <n v="5106"/>
        <n v="3417.6"/>
        <n v="2604.8000000000002"/>
        <n v="5137.7"/>
        <n v="3223.7999999999902"/>
        <n v="5790.7"/>
        <n v="4540.8"/>
        <n v="3308.8"/>
        <n v="2441.4"/>
        <n v="2971.4"/>
        <n v="2982.2"/>
        <n v="5051.2"/>
        <n v="3432"/>
        <n v="5124.2999999999902"/>
        <n v="3187.8"/>
        <n v="5071.8"/>
        <n v="5224.5"/>
        <n v="3610"/>
        <n v="3185.6"/>
        <n v="4443.6000000000004"/>
        <n v="4909.5999999999904"/>
        <n v="2601.2999999999902"/>
        <n v="4677.8999999999996"/>
        <n v="4452"/>
        <n v="4930.6000000000004"/>
        <n v="4955.1000000000004"/>
        <n v="2269.5"/>
        <n v="2664"/>
        <n v="5967"/>
        <n v="4427.5"/>
        <n v="3262.7"/>
        <n v="4937.3999999999996"/>
        <s v="nan "/>
        <n v="5007.5999999999904"/>
        <n v="5681.0999999999904"/>
        <n v="3871"/>
        <n v="4126.2"/>
        <n v="6006"/>
        <n v="3620.7"/>
        <n v="5369"/>
        <n v="4043.2"/>
        <n v="5501.5999999999904"/>
        <n v="2637.6"/>
        <n v="3731.5"/>
        <n v="2306.8000000000002"/>
        <n v="3330.6"/>
        <n v="4329.5999999999904"/>
        <n v="5100"/>
        <n v="2948.7999999999902"/>
        <n v="5601.5"/>
        <n v="7691.1"/>
        <n v="5100.3999999999996"/>
        <n v="5449.2"/>
        <n v="3700"/>
        <n v="2869.99999999999"/>
        <n v="5251.4"/>
        <n v="6807.6"/>
        <n v="4717.5"/>
        <n v="6381.3"/>
        <n v="4395.3"/>
        <n v="5106.8999999999996"/>
        <n v="3293.6"/>
        <n v="2284.1"/>
        <n v="5271.2"/>
        <n v="4516.2"/>
        <n v="4075.6"/>
        <n v="3878.5999999999899"/>
        <n v="3850.5"/>
        <n v="5221.8999999999996"/>
        <n v="4208.3999999999996"/>
        <n v="3403.8"/>
        <n v="6361.2"/>
        <n v="3510.9"/>
        <n v="4998.3999999999996"/>
        <n v="5146"/>
        <n v="5038.1000000000004"/>
        <n v="2795.1"/>
        <n v="5459.3"/>
        <n v="5242.1000000000004"/>
        <n v="5569.2"/>
        <n v="3477.7"/>
        <n v="3767.4"/>
        <n v="4197.6000000000004"/>
        <n v="4249.6000000000004"/>
        <n v="5087.1000000000004"/>
        <n v="4303.2"/>
        <n v="4391.3999999999996"/>
        <n v="6670.3"/>
        <n v="4448.8"/>
        <n v="3586.8"/>
        <n v="7430.7"/>
        <n v="2711.5"/>
        <n v="6630.9"/>
        <n v="4350.5"/>
        <n v="4947"/>
        <n v="4872.1000000000004"/>
        <n v="3624.3999999999901"/>
        <n v="6154.2"/>
        <n v="2365.1999999999998"/>
        <n v="4289.7"/>
        <n v="5262.4"/>
        <n v="4915.5"/>
        <n v="6043.4"/>
        <n v="4074.2999999999902"/>
        <n v="3201.6"/>
        <n v="3804.7999999999902"/>
        <n v="3918.5"/>
        <n v="4620.8"/>
        <n v="5950"/>
        <n v="4752.3"/>
        <n v="6274.4"/>
        <n v="5561.4"/>
        <n v="4657.5999999999904"/>
        <n v="2259.9"/>
        <n v="4464"/>
        <n v="4219.8"/>
        <n v="6781.8"/>
        <n v="2892.3"/>
        <n v="6363.5"/>
        <n v="4998"/>
        <n v="4416.1000000000004"/>
        <n v="5034.7999999999902"/>
        <n v="4445.5"/>
        <n v="4725.6000000000004"/>
        <n v="3154"/>
        <n v="6417.5"/>
        <n v="4758.8999999999996"/>
        <n v="6380"/>
        <n v="4213.3"/>
        <n v="3855.6"/>
        <n v="4220.0999999999904"/>
        <n v="3012.1"/>
        <n v="6017.1"/>
        <n v="4369.8999999999996"/>
        <n v="5576"/>
        <n v="4573.8"/>
        <n v="2972.2"/>
        <n v="3784.49999999999"/>
        <n v="5220"/>
        <n v="6652.0999999999904"/>
        <n v="4029"/>
        <n v="2427.1999999999998"/>
        <n v="3657.9"/>
        <n v="5185.2"/>
        <n v="3341.7"/>
        <n v="4388.3999999999996"/>
        <n v="3808.7999999999902"/>
        <n v="3723"/>
        <n v="1347.5"/>
        <n v="4780.8"/>
        <n v="4020.3999999999901"/>
        <n v="4488"/>
        <n v="2115.6"/>
        <n v="4001.4"/>
        <n v="3544.5"/>
        <n v="3536.4"/>
        <n v="2416.7999999999902"/>
        <n v="5002"/>
        <n v="2875.6"/>
        <n v="5979.9"/>
        <n v="3773"/>
        <n v="4025.5"/>
        <n v="3492.8"/>
        <n v="3488.8"/>
        <n v="4586.3999999999996"/>
        <n v="5598.1"/>
        <n v="5346.5"/>
        <n v="3969.5"/>
        <n v="4966.2"/>
        <n v="3441"/>
        <n v="3159.8"/>
        <n v="4739.3"/>
        <n v="4314.7999999999902"/>
        <n v="3594.7999999999902"/>
        <n v="3381.2"/>
        <n v="7779.2"/>
        <n v="3790.3999999999901"/>
        <n v="2472.8000000000002"/>
        <n v="4045.49999999999"/>
        <n v="3140.6"/>
        <n v="2612.7999999999902"/>
        <n v="4324.3"/>
        <n v="5040.5"/>
        <n v="4905.6000000000004"/>
        <n v="6069"/>
        <n v="4019.3999999999901"/>
        <n v="2874.7"/>
        <n v="2841.3"/>
        <n v="2892.5"/>
        <n v="4116"/>
        <n v="3594.5"/>
        <n v="3788.8"/>
        <n v="4351.5999999999904"/>
        <n v="5998.4"/>
        <n v="4317.3"/>
        <n v="5040.6000000000004"/>
        <n v="4400"/>
        <n v="4670.3999999999996"/>
        <n v="3221.4"/>
        <n v="3555.8999999999901"/>
        <n v="2197.6"/>
        <n v="3834.6"/>
        <n v="4225.3999999999996"/>
        <n v="3767.3999999999901"/>
        <n v="4906.7999999999902"/>
        <n v="4405.5"/>
        <n v="5801.7"/>
        <n v="6230"/>
        <n v="3493.5"/>
        <n v="1770.8"/>
        <n v="4084.3"/>
        <n v="5402.3"/>
        <n v="5505.5"/>
        <n v="4529.1000000000004"/>
        <n v="3726.7"/>
        <n v="3257.1"/>
        <n v="3922"/>
        <n v="3596.3999999999901"/>
        <n v="7057.7"/>
        <n v="3735"/>
        <n v="3969"/>
        <n v="3855.4"/>
        <n v="4046"/>
        <n v="4242"/>
        <n v="4543"/>
        <n v="2614.4"/>
        <n v="4295.2"/>
        <n v="3204.5"/>
        <n v="3019.2"/>
        <n v="3444.5"/>
        <n v="3958.49999999999"/>
        <n v="5148"/>
        <n v="4296.6000000000004"/>
        <n v="4111.5999999999904"/>
        <n v="4289.0999999999904"/>
        <n v="3408.6"/>
        <n v="4426.8"/>
        <n v="3544.1"/>
        <n v="3143.4"/>
        <n v="2889.6"/>
        <n v="4681.6000000000004"/>
        <n v="4034.8"/>
        <n v="5193.8999999999996"/>
        <n v="3510.5"/>
        <n v="4419.5999999999904"/>
        <n v="4959.5"/>
        <n v="2981.5"/>
        <n v="3838.8"/>
        <n v="6470.0999999999904"/>
        <n v="3420"/>
        <n v="5646.8"/>
        <n v="2910.9"/>
        <n v="3435.4"/>
        <n v="1998.8"/>
        <n v="5313.3"/>
        <n v="3734.1"/>
        <n v="4659.3"/>
        <n v="2667.6"/>
        <n v="3872.4"/>
        <n v="4787.2"/>
        <n v="3142.7999999999902"/>
        <n v="4085.8999999999901"/>
        <n v="5014.0999999999904"/>
        <n v="5636.4"/>
        <n v="4490.3"/>
        <n v="5553.5999999999904"/>
        <n v="5345.2"/>
        <n v="5500"/>
        <n v="3586.6"/>
        <n v="4321.3999999999996"/>
        <n v="3876"/>
        <n v="6688.4"/>
        <n v="1574.3999999999901"/>
        <n v="3985.2"/>
        <n v="5998.6"/>
        <n v="6251.7"/>
        <n v="4423.8999999999996"/>
        <n v="4255.7999999999902"/>
        <n v="4024.7999999999902"/>
        <n v="5196.0999999999904"/>
        <n v="2968.3999999999901"/>
        <n v="3217.2"/>
        <n v="5108.6000000000004"/>
        <n v="3803.8"/>
        <n v="2433.1999999999998"/>
        <n v="4182"/>
        <n v="2072"/>
        <n v="4111.8"/>
        <n v="3859.5"/>
        <n v="4108"/>
        <n v="4174.8"/>
        <n v="4428"/>
        <n v="4947.6000000000004"/>
        <n v="3863.1"/>
        <n v="7577.9"/>
        <n v="3935.99999999999"/>
        <n v="2636.4"/>
        <n v="1980.9"/>
        <n v="5767.2"/>
        <n v="6052"/>
        <n v="3735.2"/>
        <n v="4819.5"/>
        <n v="5096"/>
        <n v="4225.2"/>
        <n v="5239.7999999999902"/>
        <n v="3547.1"/>
        <n v="4479.3"/>
        <n v="5653.8"/>
        <n v="6042.4"/>
        <n v="4430.7"/>
        <n v="5410.8"/>
        <n v="3584.3999999999901"/>
        <n v="3207.2"/>
        <n v="3360"/>
        <n v="4013.2"/>
        <n v="5678.0999999999904"/>
        <n v="4999.8"/>
        <n v="3192.8999999999901"/>
        <n v="4188.8"/>
        <n v="4463.0999999999904"/>
        <n v="6026.5"/>
        <n v="4233.6000000000004"/>
        <n v="5728.8"/>
        <n v="4648.8"/>
        <n v="3094"/>
        <n v="3765.5"/>
        <n v="5627"/>
        <n v="4605.5999999999904"/>
        <n v="4324.3999999999996"/>
        <n v="4919.7"/>
        <n v="3591.6"/>
        <n v="4056"/>
        <n v="3357.2"/>
        <n v="4233"/>
        <n v="2570.4"/>
        <n v="5126.3999999999996"/>
        <n v="4633.2"/>
        <n v="3907.2"/>
        <n v="5846.4"/>
        <n v="2520"/>
        <n v="3195.5"/>
        <n v="3986.5"/>
        <n v="2506.6"/>
        <n v="5896.2"/>
        <n v="4058.4"/>
        <n v="4115.8999999999996"/>
        <n v="4084.8"/>
        <n v="4895.3999999999996"/>
        <n v="5718.7"/>
        <n v="3618.2"/>
        <n v="4342.3999999999996"/>
        <n v="3961.8"/>
        <n v="2930.4"/>
        <n v="3071.2"/>
        <n v="5459.4"/>
        <n v="4171.5"/>
        <n v="3351.6"/>
        <n v="3894.7999999999902"/>
        <n v="4941.3"/>
        <n v="3478.7999999999902"/>
        <n v="4761.6000000000004"/>
        <n v="2399.4"/>
        <n v="4919.2"/>
        <n v="4108.2"/>
        <n v="3903.9"/>
        <n v="1930.3999999999901"/>
        <n v="2925"/>
        <n v="2952.6"/>
        <n v="5168.8"/>
        <n v="4778.3999999999996"/>
        <n v="4368.7"/>
        <n v="6740.8"/>
        <n v="7142.4"/>
        <n v="6614.7999999999902"/>
        <n v="3566.8"/>
        <n v="5775"/>
        <n v="4390.7"/>
        <n v="4989.6000000000004"/>
        <n v="4049.5"/>
        <n v="4911.7999999999902"/>
        <n v="4521.2"/>
        <n v="3357.9"/>
        <n v="5393.4"/>
        <n v="3577.3"/>
        <n v="3924.6"/>
        <n v="2842.7999999999902"/>
        <n v="4410"/>
        <n v="5695.2"/>
        <n v="2440.9"/>
        <n v="5440.5"/>
        <n v="6347.99999999999"/>
        <n v="4278"/>
        <n v="4584.8"/>
        <n v="5635.5"/>
        <n v="4747.8999999999996"/>
        <n v="3589.8"/>
        <n v="4370"/>
        <n v="4676.8"/>
        <n v="5715.4"/>
        <n v="3485.4"/>
        <n v="3663.5"/>
        <n v="4538.3999999999996"/>
        <n v="6739.6"/>
        <n v="4183.2"/>
        <n v="7380.0999999999904"/>
        <n v="3643.2"/>
        <n v="5409.6"/>
        <n v="5593.5999999999904"/>
        <n v="4224.5"/>
        <n v="2899.3"/>
        <n v="4444.3999999999996"/>
        <n v="5237.3999999999996"/>
        <n v="4773"/>
        <n v="2193"/>
        <n v="7725.5999999999904"/>
        <n v="5538.4"/>
        <n v="5879.4"/>
        <n v="4903.5999999999904"/>
        <n v="2905.7999999999902"/>
        <n v="2131.1999999999998"/>
        <n v="5429.6"/>
        <n v="3488.1"/>
        <n v="4225.5999999999904"/>
        <n v="3962.4"/>
        <n v="3673.5999999999899"/>
        <n v="4352.1000000000004"/>
        <n v="3259.2"/>
        <n v="4188.3999999999996"/>
        <n v="4048"/>
        <n v="4210.7"/>
        <n v="5040"/>
        <n v="3572.8"/>
        <n v="4392.3999999999996"/>
        <n v="2731.7999999999902"/>
        <n v="1554"/>
        <n v="4343.2"/>
        <n v="3187.2"/>
        <n v="4664.3999999999996"/>
        <n v="4200"/>
        <n v="4583.5"/>
        <n v="1722.2"/>
        <n v="5489.7"/>
        <n v="2625.5"/>
        <n v="6679.2"/>
        <n v="3896.1"/>
        <n v="4141"/>
        <n v="3303.3"/>
        <n v="3278.5"/>
        <n v="4158.3999999999996"/>
        <n v="2736"/>
        <n v="5223.3999999999996"/>
        <n v="5272.5999999999904"/>
        <n v="5017.2"/>
        <n v="4149.2"/>
        <n v="3617.7"/>
        <n v="3267.6"/>
        <n v="3199.2"/>
        <n v="5713.2"/>
        <n v="3822"/>
        <n v="5114.8"/>
        <n v="6069.8"/>
        <n v="2851.9"/>
        <n v="5177.8999999999996"/>
        <n v="3831.6"/>
        <n v="4001.99999999999"/>
        <n v="2662.2"/>
        <n v="3744.4"/>
        <n v="4286.0999999999904"/>
        <n v="5832.7999999999902"/>
        <n v="3847.2"/>
        <n v="5821.8"/>
        <n v="5777.5999999999904"/>
        <n v="4033.7999999999902"/>
        <n v="2041.8"/>
        <n v="5086.3999999999996"/>
        <n v="2971.7999999999902"/>
        <n v="4980.2"/>
        <n v="5984"/>
        <n v="6359.5"/>
        <n v="6265.2"/>
        <n v="2828.99999999999"/>
        <n v="4724.0999999999904"/>
        <n v="3303.4"/>
        <n v="4323.8999999999996"/>
        <n v="4157.3999999999996"/>
        <n v="5553.6"/>
        <n v="2501"/>
        <n v="5056.8"/>
        <n v="3394.2999999999902"/>
        <n v="6393.99999999999"/>
        <n v="6843.2"/>
        <n v="6435.6"/>
        <n v="3904.2"/>
        <n v="3181.6"/>
        <n v="5860.8"/>
        <n v="3687.2"/>
        <n v="4099.2"/>
        <n v="3906.3999999999901"/>
        <n v="3150.8999999999901"/>
        <n v="6316.2"/>
        <n v="3580.2"/>
        <n v="4768.5"/>
        <n v="3837.5999999999899"/>
        <n v="2377.9"/>
        <n v="4040.4"/>
        <n v="4921.7"/>
        <n v="2263.1999999999998"/>
        <n v="4593.6000000000004"/>
        <n v="2328.7999999999902"/>
        <n v="5411.2"/>
        <n v="2953.2"/>
        <n v="6166.9"/>
        <n v="4306.8"/>
        <n v="3845.6"/>
        <n v="3570"/>
        <n v="3932.3999999999901"/>
        <n v="4487.3999999999996"/>
        <n v="5992.6"/>
        <n v="2581.3000000000002"/>
        <n v="5082"/>
        <n v="3839.3999999999901"/>
        <n v="4107.6000000000004"/>
        <n v="4241.3"/>
        <n v="3275.2"/>
        <n v="3281"/>
        <n v="4251"/>
        <n v="4066.2"/>
        <n v="2841.6"/>
        <n v="5187.5"/>
        <n v="2917.2"/>
        <n v="4118.3999999999996"/>
        <n v="5237.7"/>
        <n v="3914"/>
        <n v="4655.2"/>
        <n v="2739.1"/>
        <n v="4120.7"/>
        <n v="3218.6"/>
        <n v="4730.3999999999996"/>
        <n v="3621.7999999999902"/>
        <n v="3476"/>
        <n v="3862.8"/>
        <n v="3830.4"/>
        <n v="3673.5"/>
        <n v="5600.5999999999904"/>
        <n v="3672"/>
        <n v="3499.2"/>
        <n v="2823.6"/>
        <n v="2999.2"/>
        <n v="3285.6"/>
        <n v="3604"/>
        <n v="5772.7999999999902"/>
        <n v="4392.8"/>
        <n v="3607.99999999999"/>
        <n v="3515.5"/>
        <n v="5214.3"/>
        <n v="4645.7999999999902"/>
        <n v="6899.99999999999"/>
        <n v="4495.3999999999996"/>
        <n v="5428"/>
        <n v="3144.2"/>
        <n v="3377.4"/>
        <n v="4700.5"/>
        <n v="4005.2"/>
        <n v="3801.6"/>
        <n v="4358.8999999999996"/>
        <n v="5507.0999999999904"/>
        <n v="3663"/>
        <n v="5332.8"/>
        <n v="4333.8"/>
        <n v="2397.6"/>
        <n v="2758.7999999999902"/>
        <n v="4556.7"/>
        <n v="4631.3999999999996"/>
        <n v="5288.4"/>
        <n v="4194.3"/>
        <n v="4985.5999999999904"/>
        <n v="3393"/>
        <n v="4410.8999999999996"/>
        <n v="4623.1000000000004"/>
        <n v="4332.6000000000004"/>
        <n v="3681.7999999999902"/>
        <n v="3212.1"/>
        <n v="4976.3999999999996"/>
        <n v="4938.5"/>
        <n v="5834.9"/>
        <n v="3295.6"/>
        <n v="3755.5999999999899"/>
        <n v="5029.8"/>
        <n v="3627.1"/>
        <n v="4743.2"/>
        <n v="3156.99999999999"/>
        <n v="2836.2"/>
        <n v="4454"/>
        <n v="7262.4"/>
        <n v="5496.3"/>
        <n v="3823.6"/>
        <n v="3044.8"/>
        <n v="4501.7999999999902"/>
        <n v="4349.7"/>
        <n v="4013.9"/>
        <n v="3270.6"/>
        <n v="1918.4"/>
        <n v="2842.4"/>
        <n v="6835.5999999999904"/>
        <n v="3384.2999999999902"/>
        <n v="4962.8"/>
        <n v="2693.6"/>
        <n v="6063.2"/>
        <n v="5050.5"/>
        <n v="4808.1000000000004"/>
        <n v="4376.0999999999904"/>
        <n v="4231.5"/>
        <n v="4746"/>
        <n v="3296.7"/>
        <n v="5174.2"/>
        <n v="4876"/>
        <n v="3724"/>
        <n v="4188.5999999999904"/>
        <n v="5215.2"/>
        <n v="3115"/>
        <n v="5079.6000000000004"/>
        <n v="4139.6000000000004"/>
        <n v="4122.8999999999996"/>
        <n v="3879.8999999999901"/>
        <n v="4235.3999999999996"/>
        <n v="6494"/>
        <n v="3078.3"/>
        <n v="1877.9"/>
        <n v="3762"/>
        <n v="5802.8"/>
        <n v="3011.8"/>
        <n v="1793.3"/>
        <n v="3301.2"/>
        <n v="4658.5"/>
        <n v="4042.1"/>
        <n v="4575.5999999999904"/>
        <n v="5750"/>
        <n v="2511.6"/>
        <n v="4971.7"/>
        <n v="4286.3999999999996"/>
        <n v="6652.8"/>
        <n v="4468.8"/>
        <n v="3933.8"/>
        <n v="4687.8"/>
        <n v="4795.2"/>
        <n v="4445.3999999999996"/>
        <n v="6010.4"/>
        <n v="2333.1999999999998"/>
        <n v="4914"/>
        <n v="3231.1"/>
        <n v="5818.3"/>
        <n v="1895.19999999999"/>
        <n v="4813.8999999999996"/>
        <n v="4675"/>
        <n v="2671.9"/>
        <n v="4755.8999999999996"/>
        <n v="3689.3"/>
        <n v="4898.0999999999904"/>
        <n v="5478"/>
        <n v="5157.7999999999902"/>
        <n v="3225.6"/>
        <n v="3246.9"/>
        <n v="5289.5999999999904"/>
        <n v="4854.3999999999996"/>
        <n v="6133.4"/>
        <n v="6072.9"/>
        <n v="5046.3999999999996"/>
        <n v="5602.5"/>
        <n v="6080.8"/>
        <n v="7313.99999999999"/>
        <n v="5446.2"/>
        <n v="1941.19999999999"/>
        <n v="3668.6"/>
        <n v="4673.7"/>
        <n v="3435.7999999999902"/>
        <n v="4127.2"/>
        <n v="5710.4"/>
        <n v="3627"/>
        <n v="3501.3999999999901"/>
        <n v="3198"/>
        <n v="5115.5999999999904"/>
        <n v="4512.3"/>
        <n v="3280.2"/>
        <n v="5854.8"/>
        <n v="2310"/>
        <n v="5452.2"/>
        <n v="5359.2"/>
        <n v="5202"/>
        <n v="5768.0999999999904"/>
        <n v="2669"/>
        <n v="2291"/>
        <n v="4758.6000000000004"/>
        <n v="3974.7999999999902"/>
        <n v="4945.3999999999996"/>
        <n v="4880.3999999999996"/>
        <n v="3754.8"/>
        <n v="4165.7"/>
        <n v="3748.5"/>
        <n v="3491.8"/>
        <n v="4285.6000000000004"/>
        <n v="2641.1"/>
        <n v="4535.5999999999904"/>
        <n v="4913.6000000000004"/>
        <n v="3137.6"/>
        <n v="5960.5"/>
        <n v="5149.5999999999904"/>
        <n v="5343"/>
        <n v="4687.2"/>
        <n v="5821.99999999999"/>
        <n v="3968.8"/>
        <n v="4172.3999999999996"/>
        <n v="2631.2"/>
        <n v="4293"/>
        <n v="3071"/>
        <n v="5542.6"/>
        <n v="3686"/>
        <n v="4851"/>
        <n v="3079.4"/>
        <n v="2207.8000000000002"/>
        <n v="5838.4"/>
        <n v="5412.6"/>
        <n v="3827.2"/>
        <n v="5111.0999999999904"/>
        <n v="4338.3999999999996"/>
        <n v="5143.6000000000004"/>
        <n v="3960.5"/>
        <n v="6007.8"/>
        <n v="5235.8999999999996"/>
        <n v="4431.8999999999996"/>
        <n v="2168.4"/>
        <n v="3815.1"/>
        <n v="4134.3999999999996"/>
        <n v="5188.7"/>
        <n v="3049.2"/>
        <n v="4592"/>
        <n v="4882.5"/>
        <n v="4266.5999999999904"/>
        <n v="4811.0999999999904"/>
        <n v="2431.9"/>
        <n v="2648.8"/>
        <n v="3876.6"/>
        <n v="2332.1999999999998"/>
        <n v="2065.5"/>
        <n v="4678.8"/>
        <n v="3587"/>
        <n v="4920.3"/>
        <n v="6002.99999999999"/>
        <n v="2912"/>
        <n v="3679.2"/>
        <n v="5270.5"/>
        <n v="4712.3999999999996"/>
        <n v="4811.1000000000004"/>
        <n v="4003.5"/>
        <n v="5182.1000000000004"/>
        <n v="5394"/>
        <n v="2493.4"/>
        <n v="5298.4"/>
        <n v="2872.1"/>
        <n v="4316.5"/>
        <n v="2063.6"/>
        <n v="6035.7"/>
        <n v="5197.5"/>
        <n v="6626.4"/>
        <n v="5463.5999999999904"/>
        <n v="3978.3"/>
        <n v="4897"/>
        <n v="5733"/>
        <n v="4156.5"/>
        <n v="2696.4"/>
        <n v="3272.3999999999901"/>
        <n v="4324"/>
        <n v="4646.3999999999996"/>
        <n v="1953.19999999999"/>
        <n v="3488.7"/>
        <n v="6078.7"/>
        <n v="4393.5"/>
        <n v="6168.2999999999902"/>
        <n v="3907.7999999999902"/>
        <n v="4673.8999999999996"/>
        <n v="4204.3999999999996"/>
        <n v="5236.3999999999996"/>
        <n v="5170.8999999999996"/>
        <n v="4826.8999999999996"/>
        <n v="3283.2"/>
        <n v="3309.6"/>
        <n v="6468"/>
        <n v="3478"/>
        <n v="3977.6"/>
        <n v="4142.6000000000004"/>
        <n v="6212.8"/>
        <n v="3812.8999999999901"/>
        <n v="4064.1"/>
        <n v="4399"/>
        <n v="5717.4"/>
        <n v="5720.5"/>
        <n v="5099.5999999999904"/>
        <n v="3850"/>
        <n v="4681.8"/>
        <n v="3729.3"/>
        <n v="7488.7999999999902"/>
        <n v="4009.7999999999902"/>
        <n v="4048.8"/>
        <n v="4173.3999999999996"/>
        <n v="5491"/>
        <n v="4071.5"/>
        <n v="3068.5"/>
        <n v="4833.5999999999904"/>
        <n v="3634.4"/>
        <n v="4514.3999999999996"/>
        <n v="4725.8999999999996"/>
        <n v="3768.2"/>
        <n v="4424"/>
        <n v="4788.7999999999902"/>
        <n v="2976.6"/>
        <n v="4369"/>
        <n v="5874"/>
        <n v="5744.2"/>
        <n v="5467"/>
        <n v="4403.3999999999996"/>
        <n v="4313.3999999999996"/>
        <n v="4207.5"/>
        <n v="5568"/>
        <n v="4863.8999999999996"/>
        <n v="5190.3"/>
        <n v="4708.1000000000004"/>
        <n v="2698"/>
        <n v="3484.99999999999"/>
        <n v="4123.8"/>
        <n v="3334.8"/>
        <n v="5250.7"/>
        <n v="5654.4"/>
        <n v="4316.8"/>
        <n v="5266.8"/>
        <n v="4396.6000000000004"/>
        <n v="3655"/>
        <n v="5366.7"/>
        <n v="4797"/>
        <n v="5434"/>
        <n v="3434"/>
        <n v="5824"/>
        <n v="3803.7999999999902"/>
        <n v="3555.2"/>
        <n v="4477.2"/>
        <n v="4114.8"/>
        <n v="3506.1"/>
        <n v="4684.7"/>
        <n v="5150.8"/>
        <n v="3666.8"/>
        <n v="3396.6"/>
        <n v="4784"/>
        <n v="3001.49999999999"/>
        <n v="4686.5"/>
        <n v="5015.3999999999996"/>
        <n v="5468.4"/>
        <n v="4294.3999999999996"/>
        <n v="5378.4"/>
        <n v="3580.5"/>
        <n v="2622.8"/>
        <n v="4850.6000000000004"/>
        <n v="2517.3999999999901"/>
        <n v="4485"/>
        <n v="3877.6"/>
        <n v="2264.4"/>
        <n v="5745.6"/>
        <n v="2538.9"/>
        <n v="6324.9"/>
        <n v="5159.5"/>
        <n v="4226.5"/>
        <n v="3519.6"/>
        <n v="2354.1999999999998"/>
        <n v="4779.6000000000004"/>
        <n v="5046.8"/>
        <n v="2781.6"/>
        <n v="4699"/>
        <n v="4810"/>
        <n v="3002"/>
        <n v="3064.6"/>
        <n v="6383.3"/>
        <n v="5653.2"/>
        <n v="5700"/>
        <n v="2681.3999999999901"/>
        <n v="4211.8999999999996"/>
        <n v="4551"/>
        <n v="3041.1"/>
        <n v="5068.5"/>
        <n v="4164.8"/>
        <n v="3844.8"/>
        <n v="3776.5"/>
        <n v="4583.7999999999902"/>
        <n v="6370"/>
        <n v="5183.2"/>
        <n v="4277"/>
        <n v="4641"/>
        <n v="3780.7"/>
        <n v="5031.3"/>
        <n v="3612.7"/>
        <n v="4213.5999999999904"/>
        <n v="5659.5"/>
        <n v="4506.8999999999996"/>
        <n v="5714.8"/>
        <n v="3335.2"/>
        <n v="5869.5999999999904"/>
        <n v="5158.7"/>
        <n v="4147.2"/>
        <n v="6115.2"/>
        <n v="4829.7999999999902"/>
        <n v="3722.4"/>
        <n v="6184.5"/>
        <n v="3728.4"/>
        <n v="4096.3999999999996"/>
        <n v="7328.4"/>
        <n v="4033"/>
        <n v="5010.2"/>
        <n v="5139.2"/>
        <n v="5917.1"/>
        <n v="5712"/>
        <n v="5690.3"/>
        <n v="4789.2"/>
        <n v="3079.3"/>
        <n v="2963.1"/>
        <n v="2861.7999999999902"/>
        <n v="1867.5"/>
        <n v="3697.5"/>
        <n v="3617.6"/>
        <n v="4104.0999999999904"/>
        <n v="6461.4"/>
        <n v="3693.5"/>
        <n v="3948"/>
        <n v="6363.2"/>
        <n v="5087.6000000000004"/>
        <n v="2640.3999999999901"/>
        <n v="4155.3999999999996"/>
        <n v="4250.2"/>
        <n v="3255.5"/>
        <n v="6524.7"/>
        <n v="3164.7"/>
        <n v="3286.8"/>
        <n v="5594.4"/>
        <n v="3175.49999999999"/>
        <n v="5375.6"/>
        <n v="5631.5999999999904"/>
        <n v="5054.3999999999996"/>
        <n v="3241.7"/>
        <n v="3074.4"/>
        <n v="4489.5999999999904"/>
        <n v="6863.2"/>
        <n v="4063"/>
        <n v="4156.3"/>
        <n v="5533.5"/>
        <n v="4760"/>
        <n v="3322.6"/>
        <n v="3806.4"/>
        <n v="3352.8"/>
        <n v="4166.3999999999996"/>
        <n v="3321"/>
        <n v="4021.6"/>
        <n v="6587.5"/>
        <n v="5121.6000000000004"/>
        <n v="4092.2"/>
        <n v="3540.8999999999901"/>
        <n v="3537.2"/>
        <n v="4422.5999999999904"/>
        <n v="3533.3"/>
        <n v="4281.8"/>
        <n v="5197.6000000000004"/>
        <n v="2582.6"/>
        <n v="5941.5"/>
        <n v="4716.8"/>
        <n v="3304.6"/>
        <n v="3987.2"/>
        <n v="2748.9"/>
        <n v="4862"/>
        <n v="3527.5"/>
        <n v="5861.8"/>
        <n v="6909.9"/>
        <n v="6344.8"/>
        <n v="4461.2"/>
        <n v="5506.8"/>
        <n v="4641.3"/>
        <n v="6415.5"/>
        <n v="5336.1"/>
        <n v="4462.5"/>
        <n v="3942.4"/>
        <n v="5569.5"/>
        <n v="3034"/>
        <n v="3085.5"/>
        <n v="3466.7999999999902"/>
        <n v="5794.2"/>
        <n v="3394.7999999999902"/>
        <n v="4743"/>
        <n v="3717.8999999999901"/>
        <n v="5241.5999999999904"/>
        <n v="4510.8"/>
        <n v="4057.2"/>
        <n v="5966.4"/>
        <n v="5092"/>
        <n v="4832.0999999999904"/>
        <n v="3329.1"/>
        <n v="2184"/>
        <n v="4560"/>
        <n v="6311.2"/>
        <n v="4506.8"/>
        <n v="2919.2"/>
        <n v="4202.0999999999904"/>
        <n v="2794.6"/>
        <n v="4929.5999999999904"/>
        <n v="4387.7"/>
        <n v="1768.6"/>
        <n v="3378.3999999999901"/>
        <n v="5289.3"/>
        <n v="4083.5999999999899"/>
        <n v="1645.6"/>
        <n v="4719.5999999999904"/>
        <n v="3915.6"/>
        <n v="2779.7"/>
        <n v="5520"/>
        <n v="3532.7999999999902"/>
        <n v="5913.6"/>
        <n v="2921.6"/>
        <n v="6090.4"/>
        <n v="4088.5"/>
        <n v="4797.1000000000004"/>
        <n v="3610.3"/>
        <n v="3423.2"/>
        <n v="4640.7"/>
        <n v="5394.5999999999904"/>
        <n v="3850.2"/>
        <n v="3719.1"/>
        <n v="5069.2"/>
        <n v="3697.2"/>
        <n v="5464.7999999999902"/>
        <n v="1663.2"/>
        <n v="6550.4"/>
        <n v="4611.6000000000004"/>
        <n v="6204"/>
        <n v="4884"/>
        <n v="3026.1"/>
        <n v="3720"/>
        <n v="6443.6"/>
        <n v="4503.3999999999996"/>
        <n v="5767"/>
        <n v="4227.3"/>
        <n v="5882.9"/>
        <n v="4114.3999999999996"/>
        <n v="6582.4"/>
        <n v="4055.2"/>
        <n v="6446.7"/>
        <n v="5263.5"/>
        <n v="3519.2"/>
        <n v="2340.7999999999902"/>
        <n v="3959"/>
        <n v="1990.8"/>
        <n v="3083.2"/>
        <n v="2992.7999999999902"/>
        <n v="6219.2"/>
        <n v="3679.99999999999"/>
        <n v="5733.2999999999902"/>
        <n v="2156.6"/>
        <n v="4379.2"/>
        <n v="3171.3"/>
        <n v="3452.4"/>
        <n v="4636.8999999999996"/>
        <n v="3670.7999999999902"/>
        <n v="2835"/>
        <n v="3599.2"/>
        <n v="5362.2"/>
        <n v="3602.4"/>
        <n v="4403"/>
        <n v="4309.2"/>
        <n v="3192.3999999999901"/>
        <n v="5049.8999999999996"/>
        <n v="2910.7999999999902"/>
        <n v="4680"/>
        <n v="4263"/>
        <n v="3302.2"/>
        <n v="4181.1000000000004"/>
        <n v="5233.2"/>
        <n v="3578.5"/>
        <n v="4093.99999999999"/>
        <n v="2470.7999999999902"/>
        <n v="4890.1000000000004"/>
        <n v="4116.8"/>
        <n v="4294"/>
        <n v="5329.99999999999"/>
        <n v="3033.6"/>
        <n v="4266.2"/>
        <n v="5140.8"/>
        <n v="3941.0999999999899"/>
        <n v="4582"/>
        <n v="4873.2"/>
        <n v="2946.5"/>
        <n v="4067.7"/>
        <n v="3463.2"/>
        <n v="2616.6"/>
        <n v="5135.3"/>
        <n v="4946.8"/>
        <n v="4319.7"/>
        <n v="6737.3"/>
        <n v="5483.4"/>
        <n v="4528.8"/>
        <n v="4463.5"/>
        <n v="3868.3999999999901"/>
        <n v="1793.6"/>
        <n v="5162.6000000000004"/>
        <n v="2989.99999999999"/>
        <n v="5128.2"/>
        <n v="4650.0999999999904"/>
        <n v="3996.1"/>
        <n v="5153.1000000000004"/>
        <n v="4548.3999999999996"/>
        <n v="4305"/>
        <n v="5822.5"/>
        <n v="3541.99999999999"/>
        <n v="5198.7"/>
        <n v="3511.2"/>
        <n v="4423.2"/>
        <n v="4549.6000000000004"/>
        <n v="4876.6000000000004"/>
        <n v="4912.8"/>
        <n v="5264.4"/>
        <n v="3641.9"/>
        <n v="3703.7"/>
        <n v="4581.6000000000004"/>
        <n v="3714.8999999999901"/>
        <n v="3611.2"/>
        <n v="3749.9"/>
        <n v="5508.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161.050835185182" createdVersion="8" refreshedVersion="8" minRefreshableVersion="3" recordCount="2076" xr:uid="{299B1B8E-71FE-486C-92E4-5384606CD1D3}">
  <cacheSource type="worksheet">
    <worksheetSource ref="A1:L1048576" sheet="Cleaned Data"/>
  </cacheSource>
  <cacheFields count="12">
    <cacheField name="Fan" numFmtId="0">
      <sharedItems containsString="0" containsBlank="1" containsNumber="1" containsInteger="1" minValue="0" maxValue="23"/>
    </cacheField>
    <cacheField name="Refrigerator" numFmtId="0">
      <sharedItems containsString="0" containsBlank="1" containsNumber="1" containsInteger="1" minValue="0" maxValue="23"/>
    </cacheField>
    <cacheField name="AirConditioner" numFmtId="0">
      <sharedItems containsString="0" containsBlank="1" containsNumber="1" containsInteger="1" minValue="0" maxValue="3"/>
    </cacheField>
    <cacheField name="Television" numFmtId="0">
      <sharedItems containsString="0" containsBlank="1" containsNumber="1" containsInteger="1" minValue="0" maxValue="22"/>
    </cacheField>
    <cacheField name="Monitor" numFmtId="0">
      <sharedItems containsString="0" containsBlank="1" containsNumber="1" containsInteger="1" minValue="0" maxValue="12"/>
    </cacheField>
    <cacheField name="MotorPump" numFmtId="0">
      <sharedItems containsString="0" containsBlank="1" containsNumber="1" containsInteger="1" minValue="0" maxValue="0"/>
    </cacheField>
    <cacheField name="Month" numFmtId="0">
      <sharedItems containsString="0" containsBlank="1" containsNumber="1" containsInteger="1" minValue="0" maxValue="12" count="14">
        <n v="2"/>
        <n v="8"/>
        <n v="11"/>
        <n v="1"/>
        <n v="3"/>
        <n v="5"/>
        <n v="9"/>
        <n v="6"/>
        <n v="12"/>
        <n v="7"/>
        <n v="0"/>
        <n v="4"/>
        <n v="10"/>
        <m/>
      </sharedItems>
    </cacheField>
    <cacheField name="City" numFmtId="0">
      <sharedItems containsBlank="1" count="36">
        <s v="FARIDABAD"/>
        <s v="GURGAON"/>
        <s v=" Nagpur "/>
        <s v="Nagpur"/>
        <s v="KOLKATA"/>
        <s v="Shimla"/>
        <s v="Pune"/>
        <s v="Vadodara"/>
        <s v="Hyderabad"/>
        <s v="Ahmedabad"/>
        <s v="New Delhi"/>
        <s v=" Hyderabad "/>
        <s v=" KOLKATA "/>
        <s v="Mumbai"/>
        <s v="Dahej"/>
        <s v="Navi Mumbai"/>
        <s v="Noida"/>
        <s v="Chennai"/>
        <s v=" Gurgaon "/>
        <s v="Ratnagiri"/>
        <s v="unknown_city"/>
        <s v=" Ratnagiri "/>
        <s v=" nan "/>
        <s v=" Vadodara "/>
        <s v=" Dahej "/>
        <s v=" Noida "/>
        <s v=" Ahmedabad "/>
        <s v="NAN"/>
        <s v=" Chennai "/>
        <s v=" Navi Mumbai "/>
        <s v=" Shimla "/>
        <s v=" NEW DELHI "/>
        <s v=" Mumbai "/>
        <s v=" Faridabad "/>
        <s v=" Pune "/>
        <m/>
      </sharedItems>
    </cacheField>
    <cacheField name="Company" numFmtId="0">
      <sharedItems containsBlank="1" count="35">
        <s v="Maha Transco â€“ Maharashtra State Electricity Transmission Co, Ltd."/>
        <s v="KEC International"/>
        <s v="unknown"/>
        <s v="Ringfeder Power Transmission India Pvt. Ltd."/>
        <s v="Neueon Towers / Sujana Towers Ltd."/>
        <s v="Toshiba Transmission &amp; Distribution Systems (India) Pvt. Ltd."/>
        <s v="Optibelt Power Transmission India Private Limited"/>
        <s v="Tata Power Company Ltd."/>
        <s v="CESC"/>
        <s v="Jyoti Structure"/>
        <s v="Jaiprakash Power"/>
        <s v="Power Grid Corp"/>
        <s v="SJVN Ltd."/>
        <s v="TransRail Lighting"/>
        <s v="JSW Energy Ltd."/>
        <s v="L&amp;T Transmission &amp; Distribution"/>
        <s v="Sterlite Power Transmission Ltd"/>
        <s v="Orient Green"/>
        <s v="Reliance Power"/>
        <s v="NLC India"/>
        <s v="Unitech Power Transmission Ltd."/>
        <s v="Indowind Energy"/>
        <s v="NHPC"/>
        <s v="Guj Ind Power"/>
        <s v="Torrent Power Ltd."/>
        <s v="Reliance Energy"/>
        <s v="Kalpataru Power"/>
        <s v="NTPC Pvt. Ltd."/>
        <s v="Adani Power Ltd."/>
        <s v="Bonfiglioli Transmission Pvt. Ltd."/>
        <s v="Sunil Hitech Eng"/>
        <s v="GE T&amp;D India Limited"/>
        <s v="Ratnagiri Gas and Power Pvt. Ltd. (RGPPL)"/>
        <s v="nan"/>
        <m/>
      </sharedItems>
    </cacheField>
    <cacheField name="MonthlyHours" numFmtId="0">
      <sharedItems containsBlank="1" containsMixedTypes="1" containsNumber="1" containsInteger="1" minValue="0" maxValue="913"/>
    </cacheField>
    <cacheField name="TariffRate" numFmtId="0">
      <sharedItems containsBlank="1" containsMixedTypes="1" containsNumber="1" minValue="0" maxValue="9.3000000000000007"/>
    </cacheField>
    <cacheField name="ElectricityBill" numFmtId="0">
      <sharedItems containsBlank="1" containsMixedTypes="1" containsNumber="1" minValue="0" maxValue="99999" count="1646">
        <n v="3726"/>
        <n v="4357.5"/>
        <n v="4450"/>
        <n v="3411.3"/>
        <n v="5019.6000000000004"/>
        <n v="3062.3999999999901"/>
        <n v="5901.3"/>
        <n v="5066.6000000000004"/>
        <n v="2278.4"/>
        <n v="6160.7"/>
        <n v="5610.8"/>
        <n v="4654.5"/>
        <n v="3174.6"/>
        <n v="4267.2"/>
        <n v="2883.5"/>
        <n v="4503.5999999999904"/>
        <n v="5618.5"/>
        <n v="2710.4"/>
        <n v="4275.6000000000004"/>
        <n v="4015.2"/>
        <n v="3072.3"/>
        <n v="3736.2"/>
        <n v="2891.4"/>
        <n v="5259.1"/>
        <n v="0"/>
        <n v="5811.5999999999904"/>
        <n v="4912.6000000000004"/>
        <n v="3985.7999999999902"/>
        <n v="2097.6"/>
        <n v="5064.1000000000004"/>
        <n v="4174.1000000000004"/>
        <n v="4035.6"/>
        <n v="4374.1000000000004"/>
        <n v="5291.7"/>
        <n v="3800"/>
        <n v="4280.3999999999996"/>
        <n v="3923.4"/>
        <n v="5924.7"/>
        <n v="3558.7999999999902"/>
        <n v="3502.8"/>
        <n v="3400.7999999999902"/>
        <n v="4621.5"/>
        <n v="6292"/>
        <n v="2514.9"/>
        <n v="4321.6000000000004"/>
        <n v="3901"/>
        <n v="3729.6"/>
        <n v="4233.2"/>
        <n v="5720"/>
        <n v="5945.4"/>
        <n v="5059.5999999999904"/>
        <n v="4576"/>
        <n v="4416"/>
        <n v="2101.6"/>
        <n v="3382"/>
        <n v="4668.3"/>
        <n v="5499.9"/>
        <n v="1802"/>
        <n v="6596.4"/>
        <n v="3957.9"/>
        <n v="4292.3999999999996"/>
        <n v="4067"/>
        <n v="6345.7"/>
        <n v="4637.6000000000004"/>
        <n v="4504.5"/>
        <n v="3000.8"/>
        <n v="2587.1999999999998"/>
        <n v="3556.7999999999902"/>
        <n v="5516.0999999999904"/>
        <n v="5059.2"/>
        <n v="4889.5"/>
        <n v="4720.8"/>
        <n v="3984"/>
        <n v="2738"/>
        <n v="2386.7999999999902"/>
        <n v="5226.6000000000004"/>
        <n v="3377.7"/>
        <n v="4603.5"/>
        <n v="3708.7999999999902"/>
        <n v="2047.5"/>
        <n v="3711.3"/>
        <n v="5695"/>
        <n v="3310.8"/>
        <n v="3247.6"/>
        <n v="2937.8"/>
        <n v="3462.1"/>
        <n v="4368"/>
        <n v="5904.5999999999904"/>
        <n v="3471"/>
        <n v="4672.5"/>
        <n v="3507.6"/>
        <n v="5175.8999999999996"/>
        <n v="3004.4"/>
        <n v="3891.2"/>
        <n v="4410.3999999999996"/>
        <n v="5579.2"/>
        <n v="3361.6"/>
        <n v="2516"/>
        <n v="4082.3999999999901"/>
        <n v="3604.5"/>
        <n v="4289.8"/>
        <n v="4924.8"/>
        <n v="6482.1"/>
        <n v="4846.2"/>
        <n v="4362.3999999999996"/>
        <n v="4743.7"/>
        <n v="3389.1"/>
        <n v="3894.7"/>
        <n v="4888.7"/>
        <n v="4508"/>
        <n v="3625.6"/>
        <n v="5700.9"/>
        <n v="4985.0999999999904"/>
        <n v="4084.7999999999902"/>
        <n v="4271.7"/>
        <n v="5556.5999999999904"/>
        <n v="3922.1"/>
        <n v="6787.7999999999902"/>
        <n v="5077.8"/>
        <n v="3086.1"/>
        <n v="4203.8999999999996"/>
        <n v="4813.3999999999996"/>
        <n v="2618.6999999999998"/>
        <n v="3126.6"/>
        <n v="4732.1000000000004"/>
        <n v="5296.2"/>
        <n v="2628.6"/>
        <n v="5229.8"/>
        <n v="4497.8999999999996"/>
        <n v="3619.2"/>
        <n v="2822"/>
        <n v="3636.3"/>
        <n v="5726.7"/>
        <n v="4050"/>
        <n v="3115.5"/>
        <n v="5328.9"/>
        <n v="3781.4"/>
        <n v="5856.5"/>
        <n v="4561.2"/>
        <n v="4268.7"/>
        <n v="5769.4"/>
        <n v="5119.2"/>
        <n v="5724.5999999999904"/>
        <n v="4558.3999999999996"/>
        <n v="4931.2"/>
        <n v="4325.3999999999996"/>
        <n v="1911.6"/>
        <n v="7254"/>
        <n v="3467.2"/>
        <n v="3056.2"/>
        <n v="3593.1"/>
        <n v="3134.1"/>
        <n v="4531.8"/>
        <n v="3966.4"/>
        <n v="2125.1999999999998"/>
        <n v="4336.8"/>
        <n v="4032"/>
        <n v="5865"/>
        <n v="3830.3999999999901"/>
        <n v="3560.7"/>
        <n v="3936.8"/>
        <n v="4964"/>
        <n v="5332.5"/>
        <n v="5722.7"/>
        <n v="4750.2"/>
        <n v="5124.5999999999904"/>
        <n v="6422"/>
        <n v="2987.6"/>
        <n v="5127.1000000000004"/>
        <n v="3701.4"/>
        <n v="5135.3999999999996"/>
        <n v="4704.7"/>
        <n v="5378.0999999999904"/>
        <n v="5439"/>
        <n v="3906.2999999999902"/>
        <n v="3524.4"/>
        <n v="3402"/>
        <n v="4617.5999999999904"/>
        <n v="3199.5"/>
        <n v="4854.6000000000004"/>
        <n v="3103.1"/>
        <n v="5515.7999999999902"/>
        <n v="4180"/>
        <n v="4243.2"/>
        <n v="2493.8000000000002"/>
        <n v="5245.2"/>
        <n v="5678.2"/>
        <n v="4268"/>
        <n v="3612.5"/>
        <n v="2267.3000000000002"/>
        <n v="5091.2"/>
        <n v="5586"/>
        <n v="6463.5"/>
        <n v="4754.3999999999996"/>
        <n v="5024.6000000000004"/>
        <n v="4519.8"/>
        <n v="2907.2"/>
        <n v="4460.7999999999902"/>
        <n v="3293"/>
        <n v="5009.8"/>
        <n v="3619"/>
        <n v="4173.7999999999902"/>
        <n v="5598.6"/>
        <n v="3361.5"/>
        <n v="3108"/>
        <n v="4165"/>
        <n v="5174.3999999999996"/>
        <n v="3845.4"/>
        <n v="3782.7"/>
        <n v="5426.4"/>
        <n v="3102.5"/>
        <n v="4113.2"/>
        <n v="3765.3"/>
        <n v="5833.0999999999904"/>
        <n v="2435.3999999999901"/>
        <n v="5167.7999999999902"/>
        <n v="5341.7"/>
        <n v="4290"/>
        <n v="2418"/>
        <n v="4228.2"/>
        <n v="4149.8999999999996"/>
        <n v="4400.3"/>
        <n v="5297.2"/>
        <n v="3944.7"/>
        <n v="4479.5"/>
        <n v="3861"/>
        <n v="4198.3999999999996"/>
        <n v="4557"/>
        <n v="3974.3999999999901"/>
        <n v="5372"/>
        <n v="2996.3"/>
        <n v="3292.2"/>
        <n v="3996.3"/>
        <n v="3825.8"/>
        <n v="4459"/>
        <n v="5888"/>
        <n v="3838"/>
        <n v="2859.8"/>
        <n v="4435.2"/>
        <n v="3599.1"/>
        <n v="2538.4"/>
        <n v="3744.6"/>
        <n v="4722.7"/>
        <n v="3738"/>
        <n v="5584.4"/>
        <n v="3776.2"/>
        <n v="4104.1000000000004"/>
        <n v="5666.2"/>
        <n v="4358.7"/>
        <n v="3882.3999999999901"/>
        <n v="3783"/>
        <n v="5452.99999999999"/>
        <n v="6327.2"/>
        <n v="5366.1"/>
        <n v="4984.8"/>
        <n v="4622.1000000000004"/>
        <n v="4901.6000000000004"/>
        <n v="3322.7999999999902"/>
        <n v="4265.8"/>
        <n v="5459.1"/>
        <n v="2830.1"/>
        <n v="3474.8999999999901"/>
        <n v="2857.6"/>
        <n v="4993.7999999999902"/>
        <n v="4770.8999999999996"/>
        <n v="5619.6"/>
        <n v="6784.8"/>
        <n v="4436.1000000000004"/>
        <n v="6603.8"/>
        <n v="4258.1000000000004"/>
        <n v="4757.5999999999904"/>
        <n v="5738.1"/>
        <n v="5685.5999999999904"/>
        <n v="3836.7"/>
        <n v="6890.7999999999902"/>
        <n v="4609.2"/>
        <n v="3758.2999999999902"/>
        <n v="3477.6"/>
        <n v="4462.2"/>
        <n v="4484"/>
        <n v="3021.2"/>
        <n v="3525.6"/>
        <n v="3889.3"/>
        <n v="3449.6"/>
        <n v="6542.4"/>
        <n v="4505.6000000000004"/>
        <n v="5397.5"/>
        <n v="4584.5999999999904"/>
        <n v="3175.2"/>
        <n v="4494"/>
        <n v="6034.2"/>
        <n v="5032.3"/>
        <n v="4216.8"/>
        <n v="4941.5999999999904"/>
        <n v="3790.7999999999902"/>
        <n v="4204.2"/>
        <n v="4386"/>
        <n v="5953.5"/>
        <n v="4845.3"/>
        <n v="2556.4"/>
        <n v="3863.2"/>
        <n v="6325.2"/>
        <n v="4206.5999999999904"/>
        <n v="5529.2"/>
        <n v="3032.3999999999901"/>
        <n v="5384.7"/>
        <n v="4491.5999999999904"/>
        <n v="2730"/>
        <n v="2410.1"/>
        <n v="3917.6"/>
        <n v="5922.4"/>
        <n v="3743.3"/>
        <n v="5924.0999999999904"/>
        <n v="5446.8"/>
        <n v="3523.49999999999"/>
        <n v="4167.2999999999902"/>
        <n v="3731"/>
        <n v="3725.99999999999"/>
        <n v="4968.5999999999904"/>
        <n v="2971.6"/>
        <n v="2370"/>
        <n v="4050.7999999999902"/>
        <n v="2515.6"/>
        <n v="5754"/>
        <n v="4847"/>
        <n v="3863.7"/>
        <n v="3898.7999999999902"/>
        <n v="2722.4"/>
        <n v="3385.2"/>
        <n v="4960.8"/>
        <n v="5144.2"/>
        <n v="3549.2"/>
        <n v="4779.3"/>
        <n v="4315.2"/>
        <n v="3412.8"/>
        <n v="4741.5"/>
        <n v="4343.8"/>
        <n v="3642.1"/>
        <n v="5217.3"/>
        <n v="5468.6"/>
        <n v="7101.6"/>
        <n v="3792.3999999999901"/>
        <n v="4737.6000000000004"/>
        <n v="4912.7999999999902"/>
        <n v="5429"/>
        <n v="5755.2"/>
        <n v="5142.8999999999996"/>
        <n v="4633"/>
        <n v="4088.7999999999902"/>
        <n v="4658"/>
        <n v="5227.5"/>
        <n v="4930"/>
        <n v="3707.4"/>
        <n v="2124.8000000000002"/>
        <n v="2566.8000000000002"/>
        <n v="4859.3999999999996"/>
        <n v="3581.6"/>
        <n v="5198.2"/>
        <n v="4468.0999999999904"/>
        <n v="3868.7999999999902"/>
        <n v="4508.3999999999996"/>
        <n v="4437"/>
        <n v="7012.2"/>
        <n v="4312"/>
        <n v="4957.3"/>
        <n v="3519"/>
        <n v="3952.7999999999902"/>
        <n v="3369.6"/>
        <n v="4692"/>
        <n v="4672.8999999999996"/>
        <n v="5881.2"/>
        <n v="3684.6"/>
        <n v="4335.1000000000004"/>
        <n v="2379.3000000000002"/>
        <n v="5150.5999999999904"/>
        <n v="4821.5999999999904"/>
        <n v="4028.0999999999899"/>
        <n v="3025.7999999999902"/>
        <n v="5768.4"/>
        <n v="5787.5999999999904"/>
        <n v="4384.8"/>
        <n v="3973.7"/>
        <n v="3374.4"/>
        <n v="4365.8999999999996"/>
        <n v="3997.6"/>
        <n v="6256"/>
        <n v="4818.3999999999996"/>
        <n v="5280.9"/>
        <n v="4841.6000000000004"/>
        <n v="5914.8"/>
        <n v="4318"/>
        <n v="4663.6000000000004"/>
        <n v="4378.7999999999902"/>
        <n v="3493.6"/>
        <n v="6360.9"/>
        <n v="4408.2"/>
        <n v="2979.9"/>
        <n v="3960.5999999999899"/>
        <n v="4034.3999999999901"/>
        <n v="5244.8"/>
        <n v="2687.8"/>
        <n v="4158"/>
        <n v="4696.8"/>
        <n v="5120.5"/>
        <n v="4589.8999999999996"/>
        <n v="4094"/>
        <n v="99999"/>
        <n v="4442.8999999999996"/>
        <n v="5980.8"/>
        <n v="5031.6000000000004"/>
        <n v="5348.3"/>
        <n v="4625"/>
        <n v="5822.3"/>
        <n v="3066.7999999999902"/>
        <n v="3636.6"/>
        <n v="6955.2"/>
        <n v="3034.9"/>
        <n v="6936.7999999999902"/>
        <n v="2916.3999999999901"/>
        <n v="5104"/>
        <n v="4131.7"/>
        <n v="2503.1999999999998"/>
        <n v="5811.7"/>
        <n v="4247.5999999999904"/>
        <n v="2324.4"/>
        <n v="2784.6"/>
        <n v="4358.2"/>
        <n v="4945.6000000000004"/>
        <n v="3566.99999999999"/>
        <n v="3170.5"/>
        <n v="4690.3999999999996"/>
        <n v="3954.6"/>
        <n v="5530"/>
        <n v="4305.5999999999904"/>
        <n v="3180.1"/>
        <n v="4480.3999999999996"/>
        <n v="3696"/>
        <n v="4765.8"/>
        <n v="2975.7"/>
        <n v="3751.8"/>
        <n v="4876.2"/>
        <n v="2888.7999999999902"/>
        <n v="2945.9"/>
        <n v="3559.4"/>
        <n v="3106.2"/>
        <n v="4361"/>
        <n v="4611.2"/>
        <n v="3990"/>
        <n v="5254.7999999999902"/>
        <n v="3578.4"/>
        <n v="5073"/>
        <n v="3854.1"/>
        <n v="3355.3"/>
        <n v="5198"/>
        <n v="5461.2"/>
        <n v="2523.4"/>
        <n v="3096.8"/>
        <n v="4054.5"/>
        <n v="4158.5999999999904"/>
        <n v="4850.3"/>
        <n v="3902.6"/>
        <n v="2921.1"/>
        <n v="4627.5999999999904"/>
        <n v="6297.2"/>
        <n v="4142"/>
        <n v="4519.8999999999996"/>
        <n v="3393.6"/>
        <n v="3182.4"/>
        <n v="6142.5"/>
        <n v="3840.9"/>
        <n v="4921.8"/>
        <n v="4352"/>
        <n v="4414.5"/>
        <n v="3203.2"/>
        <n v="3542.3999999999901"/>
        <n v="5208"/>
        <n v="5915"/>
        <n v="3634"/>
        <n v="4167.8"/>
        <n v="3847.3"/>
        <n v="4173.5"/>
        <n v="3626.1"/>
        <n v="4567.5"/>
        <n v="4984.8999999999996"/>
        <n v="2216.1"/>
        <n v="5750.7"/>
        <n v="5888.4"/>
        <n v="3110.8"/>
        <n v="4653.1000000000004"/>
        <n v="3097.6"/>
        <n v="5616.99999999999"/>
        <n v="5108.5"/>
        <n v="4836.5"/>
        <n v="3418.8"/>
        <n v="5483.2"/>
        <n v="7452.9"/>
        <n v="5518.5999999999904"/>
        <n v="4764.2"/>
        <n v="3889.2"/>
        <n v="5639.2"/>
        <n v="5308.4"/>
        <n v="4402.2"/>
        <n v="3215.7"/>
        <n v="4190.5"/>
        <n v="4276.8"/>
        <n v="2425.7999999999902"/>
        <n v="5798.6"/>
        <n v="5218.2"/>
        <n v="2930.9"/>
        <n v="5081.8999999999996"/>
        <n v="4727.8"/>
        <n v="5124"/>
        <n v="4132.8"/>
        <n v="3826.9"/>
        <n v="5287.0999999999904"/>
        <n v="5286.6"/>
        <n v="6648.3"/>
        <n v="3248.1"/>
        <n v="5106"/>
        <n v="3417.6"/>
        <n v="2604.8000000000002"/>
        <n v="5137.7"/>
        <n v="3223.7999999999902"/>
        <n v="5790.7"/>
        <n v="4540.8"/>
        <n v="3308.8"/>
        <n v="2441.4"/>
        <n v="2971.4"/>
        <n v="2982.2"/>
        <n v="5051.2"/>
        <n v="3432"/>
        <n v="5124.2999999999902"/>
        <n v="3187.8"/>
        <n v="5071.8"/>
        <n v="5224.5"/>
        <n v="3610"/>
        <n v="3185.6"/>
        <n v="4443.6000000000004"/>
        <n v="4909.5999999999904"/>
        <n v="2601.2999999999902"/>
        <n v="4677.8999999999996"/>
        <n v="4452"/>
        <n v="4930.6000000000004"/>
        <n v="4955.1000000000004"/>
        <n v="2269.5"/>
        <n v="2664"/>
        <n v="5967"/>
        <n v="4427.5"/>
        <n v="3262.7"/>
        <n v="4937.3999999999996"/>
        <s v="nan "/>
        <n v="5007.5999999999904"/>
        <n v="5681.0999999999904"/>
        <n v="3871"/>
        <n v="4126.2"/>
        <n v="6006"/>
        <n v="3620.7"/>
        <n v="5369"/>
        <n v="4043.2"/>
        <n v="5501.5999999999904"/>
        <n v="2637.6"/>
        <n v="3731.5"/>
        <n v="2306.8000000000002"/>
        <n v="3330.6"/>
        <n v="4329.5999999999904"/>
        <n v="5100"/>
        <n v="2948.7999999999902"/>
        <n v="5601.5"/>
        <n v="7691.1"/>
        <n v="5100.3999999999996"/>
        <n v="5449.2"/>
        <n v="3700"/>
        <n v="2869.99999999999"/>
        <n v="5251.4"/>
        <n v="6807.6"/>
        <n v="4717.5"/>
        <n v="6381.3"/>
        <n v="4395.3"/>
        <n v="5106.8999999999996"/>
        <n v="3293.6"/>
        <n v="2284.1"/>
        <n v="5271.2"/>
        <n v="4516.2"/>
        <n v="4075.6"/>
        <n v="3878.5999999999899"/>
        <n v="3850.5"/>
        <n v="5221.8999999999996"/>
        <n v="4208.3999999999996"/>
        <n v="3403.8"/>
        <n v="6361.2"/>
        <n v="3510.9"/>
        <n v="4998.3999999999996"/>
        <n v="5146"/>
        <n v="5038.1000000000004"/>
        <n v="2795.1"/>
        <n v="5459.3"/>
        <n v="5242.1000000000004"/>
        <n v="5569.2"/>
        <n v="3477.7"/>
        <n v="3767.4"/>
        <n v="4197.6000000000004"/>
        <n v="4249.6000000000004"/>
        <n v="5087.1000000000004"/>
        <n v="4303.2"/>
        <n v="4391.3999999999996"/>
        <n v="6670.3"/>
        <n v="4448.8"/>
        <n v="3586.8"/>
        <n v="7430.7"/>
        <n v="2711.5"/>
        <n v="6630.9"/>
        <n v="4350.5"/>
        <n v="4947"/>
        <n v="4872.1000000000004"/>
        <n v="3624.3999999999901"/>
        <n v="6154.2"/>
        <n v="2365.1999999999998"/>
        <n v="4289.7"/>
        <n v="5262.4"/>
        <n v="4915.5"/>
        <n v="6043.4"/>
        <n v="4074.2999999999902"/>
        <n v="3201.6"/>
        <n v="3804.7999999999902"/>
        <n v="3918.5"/>
        <n v="4620.8"/>
        <n v="5950"/>
        <n v="4752.3"/>
        <n v="6274.4"/>
        <n v="5561.4"/>
        <n v="4657.5999999999904"/>
        <n v="2259.9"/>
        <n v="4464"/>
        <n v="4219.8"/>
        <n v="6781.8"/>
        <n v="2892.3"/>
        <n v="6363.5"/>
        <n v="4998"/>
        <n v="4416.1000000000004"/>
        <n v="5034.7999999999902"/>
        <n v="4445.5"/>
        <n v="4725.6000000000004"/>
        <n v="3154"/>
        <n v="6417.5"/>
        <n v="4758.8999999999996"/>
        <n v="6380"/>
        <n v="4213.3"/>
        <n v="3855.6"/>
        <n v="4220.0999999999904"/>
        <n v="3012.1"/>
        <n v="6017.1"/>
        <n v="4369.8999999999996"/>
        <n v="5576"/>
        <n v="4573.8"/>
        <n v="2972.2"/>
        <n v="3784.49999999999"/>
        <n v="5220"/>
        <n v="6652.0999999999904"/>
        <n v="4029"/>
        <n v="2427.1999999999998"/>
        <n v="3657.9"/>
        <n v="5185.2"/>
        <n v="3341.7"/>
        <n v="4388.3999999999996"/>
        <n v="3808.7999999999902"/>
        <n v="3723"/>
        <n v="1347.5"/>
        <n v="4780.8"/>
        <n v="4020.3999999999901"/>
        <n v="4488"/>
        <n v="2115.6"/>
        <n v="4001.4"/>
        <n v="3544.5"/>
        <n v="3536.4"/>
        <n v="2416.7999999999902"/>
        <n v="5002"/>
        <n v="2875.6"/>
        <n v="5979.9"/>
        <n v="3773"/>
        <n v="4025.5"/>
        <n v="3492.8"/>
        <n v="3488.8"/>
        <n v="4586.3999999999996"/>
        <n v="5598.1"/>
        <n v="5346.5"/>
        <n v="3969.5"/>
        <n v="4966.2"/>
        <n v="3441"/>
        <n v="3159.8"/>
        <n v="4739.3"/>
        <n v="4314.7999999999902"/>
        <n v="3594.7999999999902"/>
        <n v="3381.2"/>
        <n v="7779.2"/>
        <n v="3790.3999999999901"/>
        <n v="2472.8000000000002"/>
        <n v="4045.49999999999"/>
        <n v="3140.6"/>
        <n v="2612.7999999999902"/>
        <n v="4324.3"/>
        <n v="5040.5"/>
        <n v="4905.6000000000004"/>
        <n v="6069"/>
        <n v="4019.3999999999901"/>
        <n v="2874.7"/>
        <n v="2841.3"/>
        <n v="2892.5"/>
        <n v="4116"/>
        <n v="3594.5"/>
        <n v="3788.8"/>
        <n v="4351.5999999999904"/>
        <n v="5998.4"/>
        <n v="4317.3"/>
        <n v="5040.6000000000004"/>
        <n v="4400"/>
        <n v="4670.3999999999996"/>
        <n v="3221.4"/>
        <n v="3555.8999999999901"/>
        <n v="2197.6"/>
        <n v="3834.6"/>
        <n v="4225.3999999999996"/>
        <n v="3767.3999999999901"/>
        <n v="4906.7999999999902"/>
        <n v="4405.5"/>
        <n v="5801.7"/>
        <n v="6230"/>
        <n v="3493.5"/>
        <n v="1770.8"/>
        <n v="4084.3"/>
        <n v="5402.3"/>
        <n v="5505.5"/>
        <n v="4529.1000000000004"/>
        <n v="3726.7"/>
        <n v="3257.1"/>
        <n v="3922"/>
        <n v="3596.3999999999901"/>
        <n v="7057.7"/>
        <n v="3735"/>
        <n v="3969"/>
        <n v="3855.4"/>
        <n v="4046"/>
        <n v="4242"/>
        <n v="4543"/>
        <n v="2614.4"/>
        <n v="4295.2"/>
        <n v="3204.5"/>
        <n v="3019.2"/>
        <n v="3444.5"/>
        <n v="3958.49999999999"/>
        <n v="5148"/>
        <n v="4296.6000000000004"/>
        <n v="4111.5999999999904"/>
        <n v="4289.0999999999904"/>
        <n v="3408.6"/>
        <n v="4426.8"/>
        <n v="3544.1"/>
        <n v="3143.4"/>
        <n v="2889.6"/>
        <n v="4681.6000000000004"/>
        <n v="4034.8"/>
        <n v="5193.8999999999996"/>
        <n v="3510.5"/>
        <n v="4419.5999999999904"/>
        <n v="4959.5"/>
        <n v="2981.5"/>
        <n v="3838.8"/>
        <n v="6470.0999999999904"/>
        <n v="3420"/>
        <n v="5646.8"/>
        <n v="2910.9"/>
        <n v="3435.4"/>
        <n v="1998.8"/>
        <n v="5313.3"/>
        <n v="3734.1"/>
        <n v="4659.3"/>
        <n v="2667.6"/>
        <n v="3872.4"/>
        <n v="4787.2"/>
        <n v="3142.7999999999902"/>
        <n v="4085.8999999999901"/>
        <n v="5014.0999999999904"/>
        <n v="5636.4"/>
        <n v="4490.3"/>
        <n v="5553.5999999999904"/>
        <n v="5345.2"/>
        <n v="5500"/>
        <n v="3586.6"/>
        <n v="4321.3999999999996"/>
        <n v="3876"/>
        <n v="6688.4"/>
        <n v="1574.3999999999901"/>
        <n v="3985.2"/>
        <n v="5998.6"/>
        <n v="6251.7"/>
        <n v="4423.8999999999996"/>
        <n v="4255.7999999999902"/>
        <n v="4024.7999999999902"/>
        <n v="5196.0999999999904"/>
        <n v="2968.3999999999901"/>
        <n v="3217.2"/>
        <n v="5108.6000000000004"/>
        <n v="3803.8"/>
        <n v="2433.1999999999998"/>
        <n v="4182"/>
        <n v="2072"/>
        <n v="4111.8"/>
        <n v="3859.5"/>
        <n v="4108"/>
        <n v="4174.8"/>
        <n v="4428"/>
        <n v="4947.6000000000004"/>
        <n v="3863.1"/>
        <n v="7577.9"/>
        <n v="3935.99999999999"/>
        <n v="2636.4"/>
        <n v="1980.9"/>
        <n v="5767.2"/>
        <n v="6052"/>
        <n v="3735.2"/>
        <n v="4819.5"/>
        <n v="5096"/>
        <n v="4225.2"/>
        <n v="5239.7999999999902"/>
        <n v="3547.1"/>
        <n v="4479.3"/>
        <n v="5653.8"/>
        <n v="6042.4"/>
        <n v="4430.7"/>
        <n v="5410.8"/>
        <n v="3584.3999999999901"/>
        <n v="3207.2"/>
        <n v="3360"/>
        <n v="4013.2"/>
        <n v="5678.0999999999904"/>
        <n v="4999.8"/>
        <n v="3192.8999999999901"/>
        <n v="4188.8"/>
        <n v="4463.0999999999904"/>
        <n v="6026.5"/>
        <n v="4233.6000000000004"/>
        <n v="5728.8"/>
        <n v="4648.8"/>
        <n v="3094"/>
        <n v="3765.5"/>
        <n v="5627"/>
        <n v="4605.5999999999904"/>
        <n v="4324.3999999999996"/>
        <n v="4919.7"/>
        <n v="3591.6"/>
        <n v="4056"/>
        <n v="3357.2"/>
        <n v="4233"/>
        <n v="2570.4"/>
        <n v="5126.3999999999996"/>
        <n v="4633.2"/>
        <n v="3907.2"/>
        <n v="5846.4"/>
        <n v="2520"/>
        <n v="3195.5"/>
        <n v="3986.5"/>
        <n v="2506.6"/>
        <n v="5896.2"/>
        <n v="4058.4"/>
        <n v="4115.8999999999996"/>
        <n v="4084.8"/>
        <n v="4895.3999999999996"/>
        <n v="5718.7"/>
        <n v="3618.2"/>
        <n v="4342.3999999999996"/>
        <n v="3961.8"/>
        <n v="2930.4"/>
        <n v="3071.2"/>
        <n v="5459.4"/>
        <n v="4171.5"/>
        <n v="3351.6"/>
        <n v="3894.7999999999902"/>
        <n v="4941.3"/>
        <n v="3478.7999999999902"/>
        <n v="4761.6000000000004"/>
        <n v="2399.4"/>
        <n v="4919.2"/>
        <n v="4108.2"/>
        <n v="3903.9"/>
        <n v="1930.3999999999901"/>
        <n v="2925"/>
        <n v="2952.6"/>
        <n v="5168.8"/>
        <n v="4778.3999999999996"/>
        <n v="4368.7"/>
        <n v="6740.8"/>
        <n v="7142.4"/>
        <n v="6614.7999999999902"/>
        <n v="3566.8"/>
        <n v="5775"/>
        <n v="4390.7"/>
        <n v="4989.6000000000004"/>
        <n v="4049.5"/>
        <n v="4911.7999999999902"/>
        <n v="4521.2"/>
        <n v="3357.9"/>
        <n v="5393.4"/>
        <n v="3577.3"/>
        <n v="3924.6"/>
        <n v="2842.7999999999902"/>
        <n v="4410"/>
        <n v="5695.2"/>
        <n v="2440.9"/>
        <n v="5440.5"/>
        <n v="6347.99999999999"/>
        <n v="4278"/>
        <n v="4584.8"/>
        <n v="5635.5"/>
        <n v="4747.8999999999996"/>
        <n v="3589.8"/>
        <n v="4370"/>
        <n v="4676.8"/>
        <n v="5715.4"/>
        <n v="3485.4"/>
        <n v="3663.5"/>
        <n v="4538.3999999999996"/>
        <n v="6739.6"/>
        <n v="4183.2"/>
        <n v="7380.0999999999904"/>
        <n v="3643.2"/>
        <n v="5409.6"/>
        <n v="5593.5999999999904"/>
        <n v="4224.5"/>
        <n v="2899.3"/>
        <n v="4444.3999999999996"/>
        <n v="5237.3999999999996"/>
        <n v="4773"/>
        <n v="2193"/>
        <n v="7725.5999999999904"/>
        <n v="5538.4"/>
        <n v="5879.4"/>
        <n v="4903.5999999999904"/>
        <n v="2905.7999999999902"/>
        <n v="2131.1999999999998"/>
        <n v="5429.6"/>
        <n v="3488.1"/>
        <n v="4225.5999999999904"/>
        <n v="3962.4"/>
        <n v="3673.5999999999899"/>
        <n v="4352.1000000000004"/>
        <n v="3259.2"/>
        <n v="4188.3999999999996"/>
        <n v="4048"/>
        <n v="4210.7"/>
        <n v="5040"/>
        <n v="3572.8"/>
        <n v="4392.3999999999996"/>
        <n v="2731.7999999999902"/>
        <n v="1554"/>
        <n v="4343.2"/>
        <n v="3187.2"/>
        <n v="4664.3999999999996"/>
        <n v="4200"/>
        <n v="4583.5"/>
        <n v="1722.2"/>
        <n v="5489.7"/>
        <n v="2625.5"/>
        <n v="6679.2"/>
        <n v="3896.1"/>
        <n v="4141"/>
        <n v="3303.3"/>
        <n v="3278.5"/>
        <n v="4158.3999999999996"/>
        <n v="2736"/>
        <n v="5223.3999999999996"/>
        <n v="5272.5999999999904"/>
        <n v="5017.2"/>
        <n v="4149.2"/>
        <n v="3617.7"/>
        <n v="3267.6"/>
        <n v="3199.2"/>
        <n v="5713.2"/>
        <n v="3822"/>
        <n v="5114.8"/>
        <n v="6069.8"/>
        <n v="2851.9"/>
        <n v="5177.8999999999996"/>
        <n v="3831.6"/>
        <n v="4001.99999999999"/>
        <n v="2662.2"/>
        <n v="3744.4"/>
        <n v="4286.0999999999904"/>
        <n v="5832.7999999999902"/>
        <n v="3847.2"/>
        <n v="5821.8"/>
        <n v="5777.5999999999904"/>
        <n v="4033.7999999999902"/>
        <n v="2041.8"/>
        <n v="5086.3999999999996"/>
        <n v="2971.7999999999902"/>
        <n v="4980.2"/>
        <n v="5984"/>
        <n v="6359.5"/>
        <n v="6265.2"/>
        <n v="2828.99999999999"/>
        <n v="4724.0999999999904"/>
        <n v="3303.4"/>
        <n v="4323.8999999999996"/>
        <n v="4157.3999999999996"/>
        <n v="5553.6"/>
        <n v="2501"/>
        <n v="5056.8"/>
        <n v="3394.2999999999902"/>
        <n v="6393.99999999999"/>
        <n v="6843.2"/>
        <n v="6435.6"/>
        <n v="3904.2"/>
        <n v="3181.6"/>
        <n v="5860.8"/>
        <n v="3687.2"/>
        <n v="4099.2"/>
        <n v="3906.3999999999901"/>
        <n v="3150.8999999999901"/>
        <n v="6316.2"/>
        <n v="3580.2"/>
        <n v="4768.5"/>
        <n v="3837.5999999999899"/>
        <n v="2377.9"/>
        <n v="4040.4"/>
        <n v="4921.7"/>
        <n v="2263.1999999999998"/>
        <n v="4593.6000000000004"/>
        <n v="2328.7999999999902"/>
        <n v="5411.2"/>
        <n v="2953.2"/>
        <n v="6166.9"/>
        <n v="4306.8"/>
        <n v="3845.6"/>
        <n v="3570"/>
        <n v="3932.3999999999901"/>
        <n v="4487.3999999999996"/>
        <n v="5992.6"/>
        <n v="2581.3000000000002"/>
        <n v="5082"/>
        <n v="3839.3999999999901"/>
        <n v="4107.6000000000004"/>
        <n v="4241.3"/>
        <n v="3275.2"/>
        <n v="3281"/>
        <n v="4251"/>
        <n v="4066.2"/>
        <n v="2841.6"/>
        <n v="5187.5"/>
        <n v="2917.2"/>
        <n v="4118.3999999999996"/>
        <n v="5237.7"/>
        <n v="3914"/>
        <n v="4655.2"/>
        <n v="2739.1"/>
        <n v="4120.7"/>
        <n v="3218.6"/>
        <n v="4730.3999999999996"/>
        <n v="3621.7999999999902"/>
        <n v="3476"/>
        <n v="3862.8"/>
        <n v="3830.4"/>
        <n v="3673.5"/>
        <n v="5600.5999999999904"/>
        <n v="3672"/>
        <n v="3499.2"/>
        <n v="2823.6"/>
        <n v="2999.2"/>
        <n v="3285.6"/>
        <n v="3604"/>
        <n v="5772.7999999999902"/>
        <n v="4392.8"/>
        <n v="3607.99999999999"/>
        <n v="3515.5"/>
        <n v="5214.3"/>
        <n v="4645.7999999999902"/>
        <n v="6899.99999999999"/>
        <n v="4495.3999999999996"/>
        <n v="5428"/>
        <n v="3144.2"/>
        <n v="3377.4"/>
        <n v="4700.5"/>
        <n v="4005.2"/>
        <n v="3801.6"/>
        <n v="4358.8999999999996"/>
        <n v="5507.0999999999904"/>
        <n v="3663"/>
        <n v="5332.8"/>
        <n v="4333.8"/>
        <n v="2397.6"/>
        <n v="2758.7999999999902"/>
        <n v="4556.7"/>
        <n v="4631.3999999999996"/>
        <n v="5288.4"/>
        <n v="4194.3"/>
        <n v="4985.5999999999904"/>
        <n v="3393"/>
        <n v="4410.8999999999996"/>
        <n v="4623.1000000000004"/>
        <n v="4332.6000000000004"/>
        <n v="3681.7999999999902"/>
        <n v="3212.1"/>
        <n v="4976.3999999999996"/>
        <n v="4938.5"/>
        <n v="5834.9"/>
        <n v="3295.6"/>
        <n v="3755.5999999999899"/>
        <n v="5029.8"/>
        <n v="3627.1"/>
        <n v="4743.2"/>
        <n v="3156.99999999999"/>
        <n v="2836.2"/>
        <n v="4454"/>
        <n v="7262.4"/>
        <n v="5496.3"/>
        <n v="3823.6"/>
        <n v="3044.8"/>
        <n v="4501.7999999999902"/>
        <n v="4349.7"/>
        <n v="4013.9"/>
        <n v="3270.6"/>
        <n v="1918.4"/>
        <n v="2842.4"/>
        <n v="6835.5999999999904"/>
        <n v="3384.2999999999902"/>
        <n v="4962.8"/>
        <n v="2693.6"/>
        <n v="6063.2"/>
        <n v="5050.5"/>
        <n v="4808.1000000000004"/>
        <n v="4376.0999999999904"/>
        <n v="4231.5"/>
        <n v="4746"/>
        <n v="3296.7"/>
        <n v="5174.2"/>
        <n v="4876"/>
        <n v="3724"/>
        <n v="4188.5999999999904"/>
        <n v="5215.2"/>
        <n v="3115"/>
        <n v="5079.6000000000004"/>
        <n v="4139.6000000000004"/>
        <n v="4122.8999999999996"/>
        <n v="3879.8999999999901"/>
        <n v="4235.3999999999996"/>
        <n v="6494"/>
        <n v="3078.3"/>
        <n v="1877.9"/>
        <n v="3762"/>
        <n v="5802.8"/>
        <n v="3011.8"/>
        <n v="1793.3"/>
        <n v="3301.2"/>
        <n v="4658.5"/>
        <n v="4042.1"/>
        <n v="4575.5999999999904"/>
        <n v="5750"/>
        <n v="2511.6"/>
        <n v="4971.7"/>
        <n v="4286.3999999999996"/>
        <n v="6652.8"/>
        <n v="4468.8"/>
        <n v="3933.8"/>
        <n v="4687.8"/>
        <n v="4795.2"/>
        <n v="4445.3999999999996"/>
        <n v="6010.4"/>
        <n v="2333.1999999999998"/>
        <n v="4914"/>
        <n v="3231.1"/>
        <n v="5818.3"/>
        <n v="1895.19999999999"/>
        <n v="4813.8999999999996"/>
        <n v="4675"/>
        <n v="2671.9"/>
        <n v="4755.8999999999996"/>
        <n v="3689.3"/>
        <n v="4898.0999999999904"/>
        <n v="5478"/>
        <n v="5157.7999999999902"/>
        <n v="3225.6"/>
        <n v="3246.9"/>
        <n v="5289.5999999999904"/>
        <n v="4854.3999999999996"/>
        <n v="6133.4"/>
        <n v="6072.9"/>
        <n v="5046.3999999999996"/>
        <n v="5602.5"/>
        <n v="6080.8"/>
        <n v="7313.99999999999"/>
        <n v="5446.2"/>
        <n v="1941.19999999999"/>
        <n v="3668.6"/>
        <n v="4673.7"/>
        <n v="3435.7999999999902"/>
        <n v="4127.2"/>
        <n v="5710.4"/>
        <n v="3627"/>
        <n v="3501.3999999999901"/>
        <n v="3198"/>
        <n v="5115.5999999999904"/>
        <n v="4512.3"/>
        <n v="3280.2"/>
        <n v="5854.8"/>
        <n v="2310"/>
        <n v="5452.2"/>
        <n v="5359.2"/>
        <n v="5202"/>
        <n v="5768.0999999999904"/>
        <n v="2669"/>
        <n v="2291"/>
        <n v="4758.6000000000004"/>
        <n v="3974.7999999999902"/>
        <n v="4945.3999999999996"/>
        <n v="4880.3999999999996"/>
        <n v="3754.8"/>
        <n v="4165.7"/>
        <n v="3748.5"/>
        <n v="3491.8"/>
        <n v="4285.6000000000004"/>
        <n v="2641.1"/>
        <n v="4535.5999999999904"/>
        <n v="4913.6000000000004"/>
        <n v="3137.6"/>
        <n v="5960.5"/>
        <n v="5149.5999999999904"/>
        <n v="5343"/>
        <n v="4687.2"/>
        <n v="5821.99999999999"/>
        <n v="3968.8"/>
        <n v="4172.3999999999996"/>
        <n v="2631.2"/>
        <n v="4293"/>
        <n v="3071"/>
        <n v="5542.6"/>
        <n v="3686"/>
        <n v="4851"/>
        <n v="3079.4"/>
        <n v="2207.8000000000002"/>
        <n v="5838.4"/>
        <n v="5412.6"/>
        <n v="3827.2"/>
        <n v="5111.0999999999904"/>
        <n v="4338.3999999999996"/>
        <n v="5143.6000000000004"/>
        <n v="3960.5"/>
        <n v="6007.8"/>
        <n v="5235.8999999999996"/>
        <n v="4431.8999999999996"/>
        <n v="2168.4"/>
        <n v="3815.1"/>
        <n v="4134.3999999999996"/>
        <n v="5188.7"/>
        <n v="3049.2"/>
        <n v="4592"/>
        <n v="4882.5"/>
        <n v="4266.5999999999904"/>
        <n v="4811.0999999999904"/>
        <n v="2431.9"/>
        <n v="2648.8"/>
        <n v="3876.6"/>
        <n v="2332.1999999999998"/>
        <n v="2065.5"/>
        <n v="4678.8"/>
        <n v="3587"/>
        <n v="4920.3"/>
        <n v="6002.99999999999"/>
        <n v="2912"/>
        <n v="3679.2"/>
        <n v="5270.5"/>
        <n v="4712.3999999999996"/>
        <n v="4811.1000000000004"/>
        <n v="4003.5"/>
        <n v="5182.1000000000004"/>
        <n v="5394"/>
        <n v="2493.4"/>
        <n v="5298.4"/>
        <n v="2872.1"/>
        <n v="4316.5"/>
        <n v="2063.6"/>
        <n v="6035.7"/>
        <n v="5197.5"/>
        <n v="6626.4"/>
        <n v="5463.5999999999904"/>
        <n v="3978.3"/>
        <n v="4897"/>
        <n v="5733"/>
        <n v="4156.5"/>
        <n v="2696.4"/>
        <n v="3272.3999999999901"/>
        <n v="4324"/>
        <n v="4646.3999999999996"/>
        <n v="1953.19999999999"/>
        <n v="3488.7"/>
        <n v="6078.7"/>
        <n v="4393.5"/>
        <n v="6168.2999999999902"/>
        <n v="3907.7999999999902"/>
        <n v="4673.8999999999996"/>
        <n v="4204.3999999999996"/>
        <n v="5236.3999999999996"/>
        <n v="5170.8999999999996"/>
        <n v="4826.8999999999996"/>
        <n v="3283.2"/>
        <n v="3309.6"/>
        <n v="6468"/>
        <n v="3478"/>
        <n v="3977.6"/>
        <n v="4142.6000000000004"/>
        <n v="6212.8"/>
        <n v="3812.8999999999901"/>
        <n v="4064.1"/>
        <n v="4399"/>
        <n v="5717.4"/>
        <n v="5720.5"/>
        <n v="5099.5999999999904"/>
        <n v="3850"/>
        <n v="4681.8"/>
        <n v="3729.3"/>
        <n v="7488.7999999999902"/>
        <n v="4009.7999999999902"/>
        <n v="4048.8"/>
        <n v="4173.3999999999996"/>
        <n v="5491"/>
        <n v="4071.5"/>
        <n v="3068.5"/>
        <n v="4833.5999999999904"/>
        <n v="3634.4"/>
        <n v="4514.3999999999996"/>
        <n v="4725.8999999999996"/>
        <n v="3768.2"/>
        <n v="4424"/>
        <n v="4788.7999999999902"/>
        <n v="2976.6"/>
        <n v="4369"/>
        <n v="5874"/>
        <n v="5744.2"/>
        <n v="5467"/>
        <n v="4403.3999999999996"/>
        <n v="4313.3999999999996"/>
        <n v="4207.5"/>
        <n v="5568"/>
        <n v="4863.8999999999996"/>
        <n v="5190.3"/>
        <n v="4708.1000000000004"/>
        <n v="2698"/>
        <n v="3484.99999999999"/>
        <n v="4123.8"/>
        <n v="3334.8"/>
        <n v="5250.7"/>
        <n v="5654.4"/>
        <n v="4316.8"/>
        <n v="5266.8"/>
        <n v="4396.6000000000004"/>
        <n v="3655"/>
        <n v="5366.7"/>
        <n v="4797"/>
        <n v="5434"/>
        <n v="3434"/>
        <n v="5824"/>
        <n v="3803.7999999999902"/>
        <n v="3555.2"/>
        <n v="4477.2"/>
        <n v="4114.8"/>
        <n v="3506.1"/>
        <n v="4684.7"/>
        <n v="5150.8"/>
        <n v="3666.8"/>
        <n v="3396.6"/>
        <n v="4784"/>
        <n v="3001.49999999999"/>
        <n v="4686.5"/>
        <n v="5015.3999999999996"/>
        <n v="5468.4"/>
        <n v="4294.3999999999996"/>
        <n v="5378.4"/>
        <n v="3580.5"/>
        <n v="2622.8"/>
        <n v="4850.6000000000004"/>
        <n v="2517.3999999999901"/>
        <n v="4485"/>
        <n v="3877.6"/>
        <n v="2264.4"/>
        <n v="5745.6"/>
        <n v="2538.9"/>
        <n v="6324.9"/>
        <n v="5159.5"/>
        <n v="4226.5"/>
        <n v="3519.6"/>
        <n v="2354.1999999999998"/>
        <n v="4779.6000000000004"/>
        <n v="5046.8"/>
        <n v="2781.6"/>
        <n v="4699"/>
        <n v="4810"/>
        <n v="3002"/>
        <n v="3064.6"/>
        <n v="6383.3"/>
        <n v="5653.2"/>
        <n v="5700"/>
        <n v="2681.3999999999901"/>
        <n v="4211.8999999999996"/>
        <n v="4551"/>
        <n v="3041.1"/>
        <n v="5068.5"/>
        <n v="4164.8"/>
        <n v="3844.8"/>
        <n v="3776.5"/>
        <n v="4583.7999999999902"/>
        <n v="6370"/>
        <n v="5183.2"/>
        <n v="4277"/>
        <n v="4641"/>
        <n v="3780.7"/>
        <n v="5031.3"/>
        <n v="3612.7"/>
        <n v="4213.5999999999904"/>
        <n v="5659.5"/>
        <n v="4506.8999999999996"/>
        <n v="5714.8"/>
        <n v="3335.2"/>
        <n v="5869.5999999999904"/>
        <n v="5158.7"/>
        <n v="4147.2"/>
        <n v="6115.2"/>
        <n v="4829.7999999999902"/>
        <n v="3722.4"/>
        <n v="6184.5"/>
        <n v="3728.4"/>
        <n v="4096.3999999999996"/>
        <n v="7328.4"/>
        <n v="4033"/>
        <n v="5010.2"/>
        <n v="5139.2"/>
        <n v="5917.1"/>
        <n v="5712"/>
        <n v="5690.3"/>
        <n v="4789.2"/>
        <n v="3079.3"/>
        <n v="2963.1"/>
        <n v="2861.7999999999902"/>
        <n v="1867.5"/>
        <n v="3697.5"/>
        <n v="3617.6"/>
        <n v="4104.0999999999904"/>
        <n v="6461.4"/>
        <n v="3693.5"/>
        <n v="3948"/>
        <n v="6363.2"/>
        <n v="5087.6000000000004"/>
        <n v="2640.3999999999901"/>
        <n v="4155.3999999999996"/>
        <n v="4250.2"/>
        <n v="3255.5"/>
        <n v="6524.7"/>
        <n v="3164.7"/>
        <n v="3286.8"/>
        <n v="5594.4"/>
        <n v="3175.49999999999"/>
        <n v="5375.6"/>
        <n v="5631.5999999999904"/>
        <n v="5054.3999999999996"/>
        <n v="3241.7"/>
        <n v="3074.4"/>
        <n v="4489.5999999999904"/>
        <n v="6863.2"/>
        <n v="4063"/>
        <n v="4156.3"/>
        <n v="5533.5"/>
        <n v="4760"/>
        <n v="3322.6"/>
        <n v="3806.4"/>
        <n v="3352.8"/>
        <n v="4166.3999999999996"/>
        <n v="3321"/>
        <n v="4021.6"/>
        <n v="6587.5"/>
        <n v="5121.6000000000004"/>
        <n v="4092.2"/>
        <n v="3540.8999999999901"/>
        <n v="3537.2"/>
        <n v="4422.5999999999904"/>
        <n v="3533.3"/>
        <n v="4281.8"/>
        <n v="5197.6000000000004"/>
        <n v="2582.6"/>
        <n v="5941.5"/>
        <n v="4716.8"/>
        <n v="3304.6"/>
        <n v="3987.2"/>
        <n v="2748.9"/>
        <n v="4862"/>
        <n v="3527.5"/>
        <n v="5861.8"/>
        <n v="6909.9"/>
        <n v="6344.8"/>
        <n v="4461.2"/>
        <n v="5506.8"/>
        <n v="4641.3"/>
        <n v="6415.5"/>
        <n v="5336.1"/>
        <n v="4462.5"/>
        <n v="3942.4"/>
        <n v="5569.5"/>
        <n v="3034"/>
        <n v="3085.5"/>
        <n v="3466.7999999999902"/>
        <n v="5794.2"/>
        <n v="3394.7999999999902"/>
        <n v="4743"/>
        <n v="3717.8999999999901"/>
        <n v="5241.5999999999904"/>
        <n v="4510.8"/>
        <n v="4057.2"/>
        <n v="5966.4"/>
        <n v="5092"/>
        <n v="4832.0999999999904"/>
        <n v="3329.1"/>
        <n v="2184"/>
        <n v="4560"/>
        <n v="6311.2"/>
        <n v="4506.8"/>
        <n v="2919.2"/>
        <n v="4202.0999999999904"/>
        <n v="2794.6"/>
        <n v="4929.5999999999904"/>
        <n v="4387.7"/>
        <n v="1768.6"/>
        <n v="3378.3999999999901"/>
        <n v="5289.3"/>
        <n v="4083.5999999999899"/>
        <n v="1645.6"/>
        <n v="4719.5999999999904"/>
        <n v="3915.6"/>
        <n v="2779.7"/>
        <n v="5520"/>
        <n v="3532.7999999999902"/>
        <n v="5913.6"/>
        <n v="2921.6"/>
        <n v="6090.4"/>
        <n v="4088.5"/>
        <n v="4797.1000000000004"/>
        <n v="3610.3"/>
        <n v="3423.2"/>
        <n v="4640.7"/>
        <n v="5394.5999999999904"/>
        <n v="3850.2"/>
        <n v="3719.1"/>
        <n v="5069.2"/>
        <n v="3697.2"/>
        <n v="5464.7999999999902"/>
        <n v="1663.2"/>
        <n v="6550.4"/>
        <n v="4611.6000000000004"/>
        <n v="6204"/>
        <n v="4884"/>
        <n v="3026.1"/>
        <n v="3720"/>
        <n v="6443.6"/>
        <n v="4503.3999999999996"/>
        <n v="5767"/>
        <n v="4227.3"/>
        <n v="5882.9"/>
        <n v="4114.3999999999996"/>
        <n v="6582.4"/>
        <n v="4055.2"/>
        <n v="6446.7"/>
        <n v="5263.5"/>
        <n v="3519.2"/>
        <n v="2340.7999999999902"/>
        <n v="3959"/>
        <n v="1990.8"/>
        <n v="3083.2"/>
        <n v="2992.7999999999902"/>
        <n v="6219.2"/>
        <n v="3679.99999999999"/>
        <n v="5733.2999999999902"/>
        <n v="2156.6"/>
        <n v="4379.2"/>
        <n v="3171.3"/>
        <n v="3452.4"/>
        <n v="4636.8999999999996"/>
        <n v="3670.7999999999902"/>
        <n v="2835"/>
        <n v="3599.2"/>
        <n v="5362.2"/>
        <n v="3602.4"/>
        <n v="4403"/>
        <n v="4309.2"/>
        <n v="3192.3999999999901"/>
        <n v="5049.8999999999996"/>
        <n v="2910.7999999999902"/>
        <n v="4680"/>
        <n v="4263"/>
        <n v="3302.2"/>
        <n v="4181.1000000000004"/>
        <n v="5233.2"/>
        <n v="3578.5"/>
        <n v="4093.99999999999"/>
        <n v="2470.7999999999902"/>
        <n v="4890.1000000000004"/>
        <n v="4116.8"/>
        <n v="4294"/>
        <n v="5329.99999999999"/>
        <n v="3033.6"/>
        <n v="4266.2"/>
        <n v="5140.8"/>
        <n v="3941.0999999999899"/>
        <n v="4582"/>
        <n v="4873.2"/>
        <n v="2946.5"/>
        <n v="4067.7"/>
        <n v="3463.2"/>
        <n v="2616.6"/>
        <n v="5135.3"/>
        <n v="4946.8"/>
        <n v="4319.7"/>
        <n v="6737.3"/>
        <n v="5483.4"/>
        <n v="4528.8"/>
        <n v="4463.5"/>
        <n v="3868.3999999999901"/>
        <n v="1793.6"/>
        <n v="5162.6000000000004"/>
        <n v="2989.99999999999"/>
        <n v="5128.2"/>
        <n v="4650.0999999999904"/>
        <n v="3996.1"/>
        <n v="5153.1000000000004"/>
        <n v="4548.3999999999996"/>
        <n v="4305"/>
        <n v="5822.5"/>
        <n v="3541.99999999999"/>
        <n v="5198.7"/>
        <n v="3511.2"/>
        <n v="4423.2"/>
        <n v="4549.6000000000004"/>
        <n v="4876.6000000000004"/>
        <n v="4912.8"/>
        <n v="5264.4"/>
        <n v="3641.9"/>
        <n v="3703.7"/>
        <n v="4581.6000000000004"/>
        <n v="3714.8999999999901"/>
        <n v="3611.2"/>
        <n v="3749.9"/>
        <n v="5508.8"/>
        <m/>
      </sharedItems>
    </cacheField>
  </cacheFields>
  <extLst>
    <ext xmlns:x14="http://schemas.microsoft.com/office/spreadsheetml/2009/9/main" uri="{725AE2AE-9491-48be-B2B4-4EB974FC3084}">
      <x14:pivotCacheDefinition pivotCacheId="118228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6">
  <r>
    <n v="15"/>
    <n v="23"/>
    <n v="1"/>
    <n v="7"/>
    <n v="0"/>
    <n v="0"/>
    <x v="0"/>
    <x v="0"/>
    <s v="Maha Transco â€“ Maharashtra State Electricity Transmission Co, Ltd."/>
    <n v="460"/>
    <n v="8.1"/>
    <x v="0"/>
  </r>
  <r>
    <n v="13"/>
    <n v="23"/>
    <n v="2"/>
    <n v="12"/>
    <n v="1"/>
    <n v="0"/>
    <x v="1"/>
    <x v="1"/>
    <s v="KEC International"/>
    <n v="525"/>
    <n v="8.3000000000000007"/>
    <x v="1"/>
  </r>
  <r>
    <n v="22"/>
    <n v="22"/>
    <n v="2"/>
    <n v="9"/>
    <n v="1"/>
    <n v="0"/>
    <x v="2"/>
    <x v="2"/>
    <s v="unknown"/>
    <n v="500"/>
    <n v="8.9"/>
    <x v="2"/>
  </r>
  <r>
    <n v="5"/>
    <n v="18"/>
    <n v="0"/>
    <n v="0"/>
    <n v="1"/>
    <n v="0"/>
    <x v="3"/>
    <x v="1"/>
    <s v="Ringfeder Power Transmission India Pvt. Ltd."/>
    <n v="411"/>
    <n v="8.3000000000000007"/>
    <x v="3"/>
  </r>
  <r>
    <n v="19"/>
    <n v="23"/>
    <n v="2"/>
    <n v="4"/>
    <n v="1"/>
    <n v="0"/>
    <x v="0"/>
    <x v="3"/>
    <s v="Neueon Towers / Sujana Towers Ltd."/>
    <n v="564"/>
    <n v="8.9"/>
    <x v="4"/>
  </r>
  <r>
    <n v="0"/>
    <n v="22"/>
    <n v="1"/>
    <n v="14"/>
    <n v="0"/>
    <n v="0"/>
    <x v="2"/>
    <x v="4"/>
    <s v="Maha Transco â€“ Maharashtra State Electricity Transmission Co, Ltd."/>
    <n v="352"/>
    <n v="8.6999999999999993"/>
    <x v="5"/>
  </r>
  <r>
    <n v="11"/>
    <n v="22"/>
    <n v="3"/>
    <n v="17"/>
    <n v="1"/>
    <n v="0"/>
    <x v="4"/>
    <x v="1"/>
    <s v="Toshiba Transmission &amp; Distribution Systems (India) Pvt. Ltd."/>
    <n v="711"/>
    <n v="8.3000000000000007"/>
    <x v="6"/>
  </r>
  <r>
    <n v="7"/>
    <n v="21"/>
    <n v="3"/>
    <n v="19"/>
    <n v="7"/>
    <n v="0"/>
    <x v="3"/>
    <x v="5"/>
    <s v="Optibelt Power Transmission India Private Limited"/>
    <n v="658"/>
    <n v="7.7"/>
    <x v="7"/>
  </r>
  <r>
    <n v="6"/>
    <n v="20"/>
    <n v="1"/>
    <n v="6"/>
    <n v="1"/>
    <n v="0"/>
    <x v="5"/>
    <x v="3"/>
    <s v="Tata Power Company Ltd."/>
    <n v="256"/>
    <n v="8.9"/>
    <x v="8"/>
  </r>
  <r>
    <n v="22"/>
    <n v="23"/>
    <n v="0"/>
    <n v="20"/>
    <n v="1"/>
    <n v="0"/>
    <x v="2"/>
    <x v="6"/>
    <s v="CESC"/>
    <n v="677"/>
    <n v="9.1"/>
    <x v="9"/>
  </r>
  <r>
    <n v="11"/>
    <n v="22"/>
    <n v="3"/>
    <n v="9"/>
    <n v="12"/>
    <n v="0"/>
    <x v="6"/>
    <x v="1"/>
    <s v="Jyoti Structure"/>
    <n v="676"/>
    <n v="0"/>
    <x v="10"/>
  </r>
  <r>
    <n v="18"/>
    <n v="22"/>
    <n v="2"/>
    <n v="0"/>
    <n v="12"/>
    <n v="0"/>
    <x v="0"/>
    <x v="4"/>
    <s v="Jaiprakash Power"/>
    <n v="535"/>
    <n v="8.6999999999999993"/>
    <x v="11"/>
  </r>
  <r>
    <n v="21"/>
    <n v="23"/>
    <n v="1"/>
    <n v="8"/>
    <n v="1"/>
    <n v="0"/>
    <x v="3"/>
    <x v="7"/>
    <s v="Power Grid Corp"/>
    <n v="407"/>
    <n v="0"/>
    <x v="12"/>
  </r>
  <r>
    <n v="16"/>
    <n v="23"/>
    <n v="2"/>
    <n v="13"/>
    <n v="1"/>
    <n v="0"/>
    <x v="3"/>
    <x v="8"/>
    <s v="unknown"/>
    <n v="508"/>
    <n v="8.4"/>
    <x v="13"/>
  </r>
  <r>
    <n v="9"/>
    <n v="22"/>
    <n v="0"/>
    <n v="5"/>
    <n v="7"/>
    <n v="0"/>
    <x v="7"/>
    <x v="9"/>
    <s v="SJVN Ltd."/>
    <n v="365"/>
    <n v="7.9"/>
    <x v="14"/>
  </r>
  <r>
    <n v="9"/>
    <n v="20"/>
    <n v="0"/>
    <n v="17"/>
    <n v="7"/>
    <n v="0"/>
    <x v="8"/>
    <x v="0"/>
    <s v="Jaiprakash Power"/>
    <n v="556"/>
    <n v="8.1"/>
    <x v="15"/>
  </r>
  <r>
    <n v="21"/>
    <n v="22"/>
    <n v="1"/>
    <n v="22"/>
    <n v="12"/>
    <n v="0"/>
    <x v="9"/>
    <x v="10"/>
    <s v="TransRail Lighting"/>
    <n v="661"/>
    <n v="8.5"/>
    <x v="16"/>
  </r>
  <r>
    <n v="7"/>
    <n v="20"/>
    <n v="0"/>
    <n v="22"/>
    <n v="1"/>
    <n v="0"/>
    <x v="3"/>
    <x v="5"/>
    <s v="JSW Energy Ltd."/>
    <n v="352"/>
    <n v="7.7"/>
    <x v="17"/>
  </r>
  <r>
    <n v="8"/>
    <n v="22"/>
    <n v="0"/>
    <n v="11"/>
    <n v="1"/>
    <n v="0"/>
    <x v="7"/>
    <x v="8"/>
    <s v="L&amp;T Transmission &amp; Distribution"/>
    <n v="509"/>
    <n v="8.4"/>
    <x v="18"/>
  </r>
  <r>
    <n v="21"/>
    <n v="23"/>
    <n v="0"/>
    <n v="12"/>
    <n v="1"/>
    <n v="0"/>
    <x v="0"/>
    <x v="11"/>
    <s v="Ringfeder Power Transmission India Pvt. Ltd."/>
    <n v="478"/>
    <n v="8.4"/>
    <x v="19"/>
  </r>
  <r>
    <n v="8"/>
    <n v="23"/>
    <n v="0"/>
    <n v="4"/>
    <n v="1"/>
    <n v="0"/>
    <x v="1"/>
    <x v="5"/>
    <s v="Jyoti Structure"/>
    <n v="399"/>
    <n v="7.7"/>
    <x v="20"/>
  </r>
  <r>
    <n v="11"/>
    <n v="22"/>
    <n v="3"/>
    <n v="8"/>
    <n v="1"/>
    <n v="0"/>
    <x v="3"/>
    <x v="7"/>
    <s v="Sterlite Power Transmission Ltd"/>
    <n v="479"/>
    <n v="7.8"/>
    <x v="21"/>
  </r>
  <r>
    <n v="10"/>
    <n v="19"/>
    <n v="2"/>
    <n v="5"/>
    <n v="1"/>
    <n v="0"/>
    <x v="3"/>
    <x v="9"/>
    <s v="L&amp;T Transmission &amp; Distribution"/>
    <n v="366"/>
    <n v="7.9"/>
    <x v="22"/>
  </r>
  <r>
    <n v="7"/>
    <n v="22"/>
    <n v="3"/>
    <n v="20"/>
    <n v="1"/>
    <n v="0"/>
    <x v="1"/>
    <x v="5"/>
    <s v="TransRail Lighting"/>
    <n v="683"/>
    <n v="7.7"/>
    <x v="23"/>
  </r>
  <r>
    <n v="15"/>
    <n v="22"/>
    <n v="3"/>
    <n v="16"/>
    <n v="12"/>
    <n v="0"/>
    <x v="6"/>
    <x v="8"/>
    <s v="Neueon Towers / Sujana Towers Ltd."/>
    <n v="633"/>
    <n v="8.4"/>
    <x v="24"/>
  </r>
  <r>
    <n v="14"/>
    <n v="22"/>
    <n v="2"/>
    <n v="21"/>
    <n v="12"/>
    <n v="0"/>
    <x v="0"/>
    <x v="12"/>
    <s v="unknown"/>
    <n v="668"/>
    <n v="8.6999999999999993"/>
    <x v="25"/>
  </r>
  <r>
    <n v="13"/>
    <n v="0"/>
    <n v="3"/>
    <n v="20"/>
    <n v="1"/>
    <n v="0"/>
    <x v="1"/>
    <x v="5"/>
    <s v="Orient Green"/>
    <n v="638"/>
    <n v="7.7"/>
    <x v="26"/>
  </r>
  <r>
    <n v="5"/>
    <n v="0"/>
    <n v="3"/>
    <n v="6"/>
    <n v="1"/>
    <n v="0"/>
    <x v="3"/>
    <x v="7"/>
    <s v="Orient Green"/>
    <n v="0"/>
    <n v="7.8"/>
    <x v="27"/>
  </r>
  <r>
    <n v="6"/>
    <n v="22"/>
    <n v="0"/>
    <n v="5"/>
    <n v="1"/>
    <n v="0"/>
    <x v="10"/>
    <x v="13"/>
    <s v="Reliance Power"/>
    <n v="228"/>
    <n v="9.1999999999999993"/>
    <x v="28"/>
  </r>
  <r>
    <n v="6"/>
    <n v="22"/>
    <n v="2"/>
    <n v="9"/>
    <n v="1"/>
    <n v="0"/>
    <x v="7"/>
    <x v="3"/>
    <s v="Orient Green"/>
    <n v="569"/>
    <n v="8.9"/>
    <x v="29"/>
  </r>
  <r>
    <n v="8"/>
    <n v="18"/>
    <n v="2"/>
    <n v="12"/>
    <n v="1"/>
    <n v="0"/>
    <x v="6"/>
    <x v="3"/>
    <s v="NLC India"/>
    <n v="469"/>
    <n v="8.9"/>
    <x v="30"/>
  </r>
  <r>
    <n v="15"/>
    <n v="22"/>
    <n v="0"/>
    <n v="7"/>
    <n v="1"/>
    <n v="0"/>
    <x v="6"/>
    <x v="9"/>
    <s v="Jyoti Structure"/>
    <n v="453"/>
    <n v="7.9"/>
    <x v="24"/>
  </r>
  <r>
    <n v="17"/>
    <n v="23"/>
    <n v="0"/>
    <n v="8"/>
    <n v="1"/>
    <n v="0"/>
    <x v="4"/>
    <x v="14"/>
    <s v="Unitech Power Transmission Ltd."/>
    <n v="531"/>
    <n v="7.6"/>
    <x v="31"/>
  </r>
  <r>
    <n v="19"/>
    <n v="23"/>
    <n v="1"/>
    <n v="13"/>
    <n v="1"/>
    <n v="0"/>
    <x v="1"/>
    <x v="1"/>
    <s v="Reliance Power"/>
    <n v="527"/>
    <n v="8.3000000000000007"/>
    <x v="32"/>
  </r>
  <r>
    <n v="23"/>
    <n v="22"/>
    <n v="0"/>
    <n v="9"/>
    <n v="12"/>
    <n v="0"/>
    <x v="8"/>
    <x v="15"/>
    <s v="JSW Energy Ltd."/>
    <n v="0"/>
    <n v="9.3000000000000007"/>
    <x v="33"/>
  </r>
  <r>
    <n v="23"/>
    <n v="23"/>
    <n v="1"/>
    <n v="10"/>
    <n v="12"/>
    <n v="0"/>
    <x v="6"/>
    <x v="14"/>
    <s v="Indowind Energy"/>
    <n v="500"/>
    <n v="7.6"/>
    <x v="34"/>
  </r>
  <r>
    <n v="12"/>
    <n v="22"/>
    <n v="3"/>
    <n v="22"/>
    <n v="1"/>
    <n v="0"/>
    <x v="5"/>
    <x v="16"/>
    <s v="NHPC"/>
    <n v="522"/>
    <n v="8.1999999999999993"/>
    <x v="35"/>
  </r>
  <r>
    <n v="16"/>
    <n v="23"/>
    <n v="0"/>
    <n v="8"/>
    <n v="1"/>
    <n v="0"/>
    <x v="8"/>
    <x v="7"/>
    <s v="NLC India"/>
    <n v="503"/>
    <n v="7.8"/>
    <x v="36"/>
  </r>
  <r>
    <n v="5"/>
    <n v="20"/>
    <n v="0"/>
    <n v="14"/>
    <n v="1"/>
    <n v="0"/>
    <x v="9"/>
    <x v="16"/>
    <s v="Guj Ind Power"/>
    <n v="492"/>
    <n v="8.1999999999999993"/>
    <x v="24"/>
  </r>
  <r>
    <n v="7"/>
    <n v="23"/>
    <n v="2"/>
    <n v="21"/>
    <n v="7"/>
    <n v="0"/>
    <x v="1"/>
    <x v="4"/>
    <s v="Torrent Power Ltd."/>
    <n v="681"/>
    <n v="0"/>
    <x v="37"/>
  </r>
  <r>
    <n v="14"/>
    <n v="22"/>
    <n v="3"/>
    <n v="3"/>
    <n v="1"/>
    <n v="0"/>
    <x v="6"/>
    <x v="16"/>
    <s v="Reliance Energy"/>
    <n v="434"/>
    <n v="8.1999999999999993"/>
    <x v="38"/>
  </r>
  <r>
    <n v="7"/>
    <n v="18"/>
    <n v="3"/>
    <n v="4"/>
    <n v="1"/>
    <n v="0"/>
    <x v="1"/>
    <x v="8"/>
    <s v="Reliance Power"/>
    <n v="417"/>
    <n v="8.4"/>
    <x v="39"/>
  </r>
  <r>
    <n v="21"/>
    <n v="22"/>
    <n v="2"/>
    <n v="15"/>
    <n v="1"/>
    <n v="0"/>
    <x v="7"/>
    <x v="7"/>
    <s v="Ringfeder Power Transmission India Pvt. Ltd."/>
    <n v="436"/>
    <n v="7.8"/>
    <x v="40"/>
  </r>
  <r>
    <n v="20"/>
    <n v="23"/>
    <n v="3"/>
    <n v="4"/>
    <n v="12"/>
    <n v="0"/>
    <x v="6"/>
    <x v="9"/>
    <s v="KEC International"/>
    <n v="585"/>
    <n v="7.9"/>
    <x v="41"/>
  </r>
  <r>
    <n v="19"/>
    <n v="22"/>
    <n v="3"/>
    <n v="7"/>
    <n v="12"/>
    <n v="0"/>
    <x v="11"/>
    <x v="17"/>
    <s v="Kalpataru Power"/>
    <n v="715"/>
    <n v="0"/>
    <x v="42"/>
  </r>
  <r>
    <n v="15"/>
    <n v="22"/>
    <n v="0"/>
    <n v="5"/>
    <n v="1"/>
    <n v="0"/>
    <x v="2"/>
    <x v="18"/>
    <s v="Toshiba Transmission &amp; Distribution Systems (India) Pvt. Ltd."/>
    <n v="303"/>
    <n v="8.3000000000000007"/>
    <x v="43"/>
  </r>
  <r>
    <n v="14"/>
    <n v="23"/>
    <n v="2"/>
    <n v="7"/>
    <n v="1"/>
    <n v="0"/>
    <x v="8"/>
    <x v="19"/>
    <s v="NTPC Pvt. Ltd."/>
    <n v="584"/>
    <n v="7.4"/>
    <x v="44"/>
  </r>
  <r>
    <n v="18"/>
    <n v="23"/>
    <n v="2"/>
    <n v="7"/>
    <n v="1"/>
    <n v="0"/>
    <x v="2"/>
    <x v="1"/>
    <s v="CESC"/>
    <n v="470"/>
    <n v="8.3000000000000007"/>
    <x v="45"/>
  </r>
  <r>
    <n v="9"/>
    <n v="18"/>
    <n v="2"/>
    <n v="10"/>
    <n v="7"/>
    <n v="0"/>
    <x v="3"/>
    <x v="11"/>
    <s v="Orient Green"/>
    <n v="444"/>
    <n v="8.4"/>
    <x v="46"/>
  </r>
  <r>
    <n v="15"/>
    <n v="23"/>
    <n v="2"/>
    <n v="10"/>
    <n v="12"/>
    <n v="0"/>
    <x v="9"/>
    <x v="14"/>
    <s v="KEC International"/>
    <n v="557"/>
    <n v="7.6"/>
    <x v="47"/>
  </r>
  <r>
    <n v="15"/>
    <n v="22"/>
    <n v="2"/>
    <n v="16"/>
    <n v="1"/>
    <n v="0"/>
    <x v="11"/>
    <x v="17"/>
    <s v="Sterlite Power Transmission Ltd"/>
    <n v="650"/>
    <n v="8.8000000000000007"/>
    <x v="48"/>
  </r>
  <r>
    <n v="20"/>
    <n v="23"/>
    <n v="3"/>
    <n v="13"/>
    <n v="12"/>
    <n v="0"/>
    <x v="1"/>
    <x v="0"/>
    <s v="KEC International"/>
    <n v="734"/>
    <n v="8.1"/>
    <x v="49"/>
  </r>
  <r>
    <n v="15"/>
    <n v="23"/>
    <n v="0"/>
    <n v="19"/>
    <n v="1"/>
    <n v="0"/>
    <x v="7"/>
    <x v="6"/>
    <s v="SJVN Ltd."/>
    <n v="556"/>
    <n v="9.1"/>
    <x v="50"/>
  </r>
  <r>
    <n v="7"/>
    <n v="21"/>
    <n v="3"/>
    <n v="20"/>
    <n v="1"/>
    <n v="0"/>
    <x v="0"/>
    <x v="17"/>
    <s v="CESC"/>
    <n v="520"/>
    <n v="8.8000000000000007"/>
    <x v="51"/>
  </r>
  <r>
    <n v="17"/>
    <n v="22"/>
    <n v="3"/>
    <n v="7"/>
    <n v="1"/>
    <n v="0"/>
    <x v="1"/>
    <x v="13"/>
    <s v="Sterlite Power Transmission Ltd"/>
    <n v="480"/>
    <n v="9.1999999999999993"/>
    <x v="52"/>
  </r>
  <r>
    <n v="10"/>
    <n v="19"/>
    <n v="0"/>
    <n v="11"/>
    <n v="1"/>
    <n v="0"/>
    <x v="3"/>
    <x v="19"/>
    <s v="NTPC Pvt. Ltd."/>
    <n v="0"/>
    <n v="7.4"/>
    <x v="53"/>
  </r>
  <r>
    <n v="9"/>
    <n v="19"/>
    <n v="2"/>
    <n v="17"/>
    <n v="1"/>
    <n v="0"/>
    <x v="11"/>
    <x v="3"/>
    <s v="Orient Green"/>
    <n v="380"/>
    <n v="0"/>
    <x v="54"/>
  </r>
  <r>
    <n v="12"/>
    <n v="22"/>
    <n v="3"/>
    <n v="6"/>
    <n v="12"/>
    <n v="0"/>
    <x v="11"/>
    <x v="6"/>
    <s v="Ringfeder Power Transmission India Pvt. Ltd."/>
    <n v="513"/>
    <n v="9.1"/>
    <x v="55"/>
  </r>
  <r>
    <n v="23"/>
    <n v="22"/>
    <n v="0"/>
    <n v="17"/>
    <n v="1"/>
    <n v="0"/>
    <x v="6"/>
    <x v="0"/>
    <s v="NTPC Pvt. Ltd."/>
    <n v="679"/>
    <n v="8.1"/>
    <x v="56"/>
  </r>
  <r>
    <n v="8"/>
    <n v="18"/>
    <n v="1"/>
    <n v="7"/>
    <n v="1"/>
    <n v="0"/>
    <x v="8"/>
    <x v="10"/>
    <s v="NHPC"/>
    <n v="212"/>
    <n v="8.5"/>
    <x v="57"/>
  </r>
  <r>
    <n v="13"/>
    <n v="22"/>
    <n v="3"/>
    <n v="18"/>
    <n v="1"/>
    <n v="0"/>
    <x v="11"/>
    <x v="13"/>
    <s v="Jyoti Structure"/>
    <n v="717"/>
    <n v="9.1999999999999993"/>
    <x v="58"/>
  </r>
  <r>
    <n v="18"/>
    <n v="22"/>
    <n v="0"/>
    <n v="16"/>
    <n v="1"/>
    <n v="0"/>
    <x v="7"/>
    <x v="9"/>
    <s v="L&amp;T Transmission &amp; Distribution"/>
    <n v="501"/>
    <n v="7.9"/>
    <x v="59"/>
  </r>
  <r>
    <n v="11"/>
    <n v="23"/>
    <n v="0"/>
    <n v="21"/>
    <n v="1"/>
    <n v="0"/>
    <x v="4"/>
    <x v="20"/>
    <s v="Neueon Towers / Sujana Towers Ltd."/>
    <n v="511"/>
    <n v="8.4"/>
    <x v="60"/>
  </r>
  <r>
    <n v="14"/>
    <n v="22"/>
    <n v="2"/>
    <n v="13"/>
    <n v="1"/>
    <n v="0"/>
    <x v="7"/>
    <x v="1"/>
    <s v="unknown"/>
    <n v="490"/>
    <n v="8.3000000000000007"/>
    <x v="61"/>
  </r>
  <r>
    <n v="13"/>
    <n v="22"/>
    <n v="2"/>
    <n v="15"/>
    <n v="1"/>
    <n v="0"/>
    <x v="4"/>
    <x v="8"/>
    <s v="Kalpataru Power"/>
    <n v="563"/>
    <n v="8.4"/>
    <x v="24"/>
  </r>
  <r>
    <n v="23"/>
    <n v="23"/>
    <n v="2"/>
    <n v="10"/>
    <n v="1"/>
    <n v="0"/>
    <x v="8"/>
    <x v="3"/>
    <s v="Guj Ind Power"/>
    <n v="713"/>
    <n v="8.9"/>
    <x v="62"/>
  </r>
  <r>
    <n v="9"/>
    <n v="21"/>
    <n v="3"/>
    <n v="22"/>
    <n v="1"/>
    <n v="0"/>
    <x v="10"/>
    <x v="17"/>
    <s v="Sterlite Power Transmission Ltd"/>
    <n v="527"/>
    <n v="0"/>
    <x v="63"/>
  </r>
  <r>
    <n v="18"/>
    <n v="23"/>
    <n v="1"/>
    <n v="10"/>
    <n v="1"/>
    <n v="0"/>
    <x v="12"/>
    <x v="6"/>
    <s v="Orient Green"/>
    <n v="495"/>
    <n v="9.1"/>
    <x v="64"/>
  </r>
  <r>
    <n v="7"/>
    <n v="17"/>
    <n v="3"/>
    <n v="4"/>
    <n v="1"/>
    <n v="0"/>
    <x v="3"/>
    <x v="17"/>
    <s v="NLC India"/>
    <n v="341"/>
    <n v="8.8000000000000007"/>
    <x v="65"/>
  </r>
  <r>
    <n v="8"/>
    <n v="18"/>
    <n v="0"/>
    <n v="17"/>
    <n v="1"/>
    <n v="0"/>
    <x v="0"/>
    <x v="17"/>
    <s v="unknown"/>
    <n v="294"/>
    <n v="8.8000000000000007"/>
    <x v="66"/>
  </r>
  <r>
    <n v="5"/>
    <n v="17"/>
    <n v="2"/>
    <n v="7"/>
    <n v="7"/>
    <n v="0"/>
    <x v="6"/>
    <x v="7"/>
    <s v="Unitech Power Transmission Ltd."/>
    <n v="456"/>
    <n v="7.8"/>
    <x v="67"/>
  </r>
  <r>
    <n v="22"/>
    <n v="23"/>
    <n v="0"/>
    <n v="11"/>
    <n v="1"/>
    <n v="0"/>
    <x v="3"/>
    <x v="0"/>
    <s v="L&amp;T Transmission &amp; Distribution"/>
    <n v="681"/>
    <n v="8.1"/>
    <x v="68"/>
  </r>
  <r>
    <n v="20"/>
    <n v="23"/>
    <n v="1"/>
    <n v="13"/>
    <n v="1"/>
    <n v="0"/>
    <x v="2"/>
    <x v="15"/>
    <s v="Guj Ind Power"/>
    <n v="544"/>
    <n v="9.3000000000000007"/>
    <x v="69"/>
  </r>
  <r>
    <n v="23"/>
    <n v="22"/>
    <n v="0"/>
    <n v="12"/>
    <n v="1"/>
    <n v="0"/>
    <x v="7"/>
    <x v="20"/>
    <s v="Unitech Power Transmission Ltd."/>
    <n v="635"/>
    <n v="7.7"/>
    <x v="70"/>
  </r>
  <r>
    <n v="16"/>
    <n v="23"/>
    <n v="3"/>
    <n v="13"/>
    <n v="12"/>
    <n v="0"/>
    <x v="9"/>
    <x v="8"/>
    <s v="Indowind Energy"/>
    <n v="562"/>
    <n v="8.4"/>
    <x v="71"/>
  </r>
  <r>
    <n v="19"/>
    <n v="22"/>
    <n v="0"/>
    <n v="0"/>
    <n v="0"/>
    <n v="0"/>
    <x v="6"/>
    <x v="1"/>
    <s v="Kalpataru Power"/>
    <n v="480"/>
    <n v="8.3000000000000007"/>
    <x v="72"/>
  </r>
  <r>
    <n v="6"/>
    <n v="0"/>
    <n v="0"/>
    <n v="9"/>
    <n v="1"/>
    <n v="0"/>
    <x v="2"/>
    <x v="21"/>
    <s v="TransRail Lighting"/>
    <n v="370"/>
    <n v="7.4"/>
    <x v="73"/>
  </r>
  <r>
    <n v="9"/>
    <n v="18"/>
    <n v="1"/>
    <n v="14"/>
    <n v="1"/>
    <n v="0"/>
    <x v="1"/>
    <x v="7"/>
    <s v="Unitech Power Transmission Ltd."/>
    <n v="306"/>
    <n v="7.8"/>
    <x v="74"/>
  </r>
  <r>
    <n v="9"/>
    <n v="20"/>
    <n v="1"/>
    <n v="22"/>
    <n v="1"/>
    <n v="0"/>
    <x v="1"/>
    <x v="15"/>
    <s v="NLC India"/>
    <n v="0"/>
    <n v="9.3000000000000007"/>
    <x v="75"/>
  </r>
  <r>
    <n v="23"/>
    <n v="22"/>
    <n v="0"/>
    <n v="12"/>
    <n v="1"/>
    <n v="0"/>
    <x v="8"/>
    <x v="22"/>
    <s v="Ringfeder Power Transmission India Pvt. Ltd."/>
    <n v="417"/>
    <n v="8.1"/>
    <x v="76"/>
  </r>
  <r>
    <n v="16"/>
    <n v="23"/>
    <n v="1"/>
    <n v="16"/>
    <n v="1"/>
    <n v="0"/>
    <x v="9"/>
    <x v="15"/>
    <s v="Unitech Power Transmission Ltd."/>
    <n v="495"/>
    <n v="9.3000000000000007"/>
    <x v="77"/>
  </r>
  <r>
    <n v="5"/>
    <n v="20"/>
    <n v="3"/>
    <n v="13"/>
    <n v="1"/>
    <n v="0"/>
    <x v="4"/>
    <x v="14"/>
    <s v="Guj Ind Power"/>
    <n v="488"/>
    <n v="7.6"/>
    <x v="78"/>
  </r>
  <r>
    <n v="10"/>
    <n v="17"/>
    <n v="2"/>
    <n v="4"/>
    <n v="1"/>
    <n v="0"/>
    <x v="1"/>
    <x v="20"/>
    <s v="SJVN Ltd."/>
    <n v="225"/>
    <n v="9.1"/>
    <x v="79"/>
  </r>
  <r>
    <n v="0"/>
    <n v="23"/>
    <n v="0"/>
    <n v="15"/>
    <n v="1"/>
    <n v="0"/>
    <x v="12"/>
    <x v="3"/>
    <s v="KEC International"/>
    <n v="417"/>
    <n v="8.9"/>
    <x v="80"/>
  </r>
  <r>
    <n v="20"/>
    <n v="22"/>
    <n v="0"/>
    <n v="17"/>
    <n v="1"/>
    <n v="0"/>
    <x v="9"/>
    <x v="10"/>
    <s v="Adani Power Ltd."/>
    <n v="670"/>
    <n v="8.5"/>
    <x v="81"/>
  </r>
  <r>
    <n v="5"/>
    <n v="19"/>
    <n v="3"/>
    <n v="15"/>
    <n v="1"/>
    <n v="0"/>
    <x v="10"/>
    <x v="15"/>
    <s v="NHPC"/>
    <n v="356"/>
    <n v="9.3000000000000007"/>
    <x v="82"/>
  </r>
  <r>
    <n v="9"/>
    <n v="19"/>
    <n v="3"/>
    <n v="3"/>
    <n v="1"/>
    <n v="0"/>
    <x v="4"/>
    <x v="13"/>
    <s v="Bonfiglioli Transmission Pvt. Ltd."/>
    <n v="0"/>
    <n v="9.1999999999999993"/>
    <x v="83"/>
  </r>
  <r>
    <n v="8"/>
    <n v="20"/>
    <n v="2"/>
    <n v="6"/>
    <n v="7"/>
    <n v="0"/>
    <x v="7"/>
    <x v="19"/>
    <s v="KEC International"/>
    <n v="397"/>
    <n v="7.4"/>
    <x v="84"/>
  </r>
  <r>
    <n v="15"/>
    <n v="23"/>
    <n v="2"/>
    <n v="7"/>
    <n v="1"/>
    <n v="0"/>
    <x v="3"/>
    <x v="3"/>
    <s v="NTPC Pvt. Ltd."/>
    <n v="389"/>
    <n v="8.9"/>
    <x v="85"/>
  </r>
  <r>
    <n v="6"/>
    <n v="19"/>
    <n v="2"/>
    <n v="15"/>
    <n v="1"/>
    <n v="0"/>
    <x v="8"/>
    <x v="6"/>
    <s v="Jaiprakash Power"/>
    <n v="480"/>
    <n v="9.1"/>
    <x v="86"/>
  </r>
  <r>
    <n v="21"/>
    <n v="23"/>
    <n v="0"/>
    <n v="19"/>
    <n v="1"/>
    <n v="0"/>
    <x v="10"/>
    <x v="23"/>
    <s v="Sunil Hitech Eng"/>
    <n v="757"/>
    <n v="7.8"/>
    <x v="87"/>
  </r>
  <r>
    <n v="10"/>
    <n v="19"/>
    <n v="0"/>
    <n v="5"/>
    <n v="7"/>
    <n v="0"/>
    <x v="0"/>
    <x v="3"/>
    <s v="Sterlite Power Transmission Ltd"/>
    <n v="390"/>
    <n v="8.9"/>
    <x v="88"/>
  </r>
  <r>
    <n v="5"/>
    <n v="22"/>
    <n v="2"/>
    <n v="11"/>
    <n v="1"/>
    <n v="0"/>
    <x v="0"/>
    <x v="3"/>
    <s v="SJVN Ltd."/>
    <n v="525"/>
    <n v="8.9"/>
    <x v="89"/>
  </r>
  <r>
    <n v="14"/>
    <n v="23"/>
    <n v="1"/>
    <n v="18"/>
    <n v="1"/>
    <n v="0"/>
    <x v="7"/>
    <x v="19"/>
    <s v="SJVN Ltd."/>
    <n v="474"/>
    <n v="7.4"/>
    <x v="90"/>
  </r>
  <r>
    <n v="14"/>
    <n v="22"/>
    <n v="3"/>
    <n v="13"/>
    <n v="1"/>
    <n v="0"/>
    <x v="4"/>
    <x v="0"/>
    <s v="Jaiprakash Power"/>
    <n v="639"/>
    <n v="8.1"/>
    <x v="91"/>
  </r>
  <r>
    <n v="7"/>
    <n v="17"/>
    <n v="0"/>
    <n v="15"/>
    <n v="1"/>
    <n v="0"/>
    <x v="0"/>
    <x v="19"/>
    <s v="Toshiba Transmission &amp; Distribution Systems (India) Pvt. Ltd."/>
    <n v="406"/>
    <n v="7.4"/>
    <x v="92"/>
  </r>
  <r>
    <n v="19"/>
    <n v="22"/>
    <n v="3"/>
    <n v="8"/>
    <n v="1"/>
    <n v="0"/>
    <x v="11"/>
    <x v="24"/>
    <s v="GE T&amp;D India Limited"/>
    <n v="409"/>
    <n v="7.6"/>
    <x v="24"/>
  </r>
  <r>
    <n v="19"/>
    <n v="22"/>
    <n v="1"/>
    <n v="3"/>
    <n v="1"/>
    <n v="0"/>
    <x v="12"/>
    <x v="14"/>
    <s v="Sunil Hitech Eng"/>
    <n v="512"/>
    <n v="7.6"/>
    <x v="93"/>
  </r>
  <r>
    <n v="0"/>
    <n v="23"/>
    <n v="1"/>
    <n v="3"/>
    <n v="12"/>
    <n v="0"/>
    <x v="7"/>
    <x v="19"/>
    <s v="Neueon Towers / Sujana Towers Ltd."/>
    <n v="596"/>
    <n v="7.4"/>
    <x v="94"/>
  </r>
  <r>
    <n v="0"/>
    <n v="23"/>
    <n v="1"/>
    <n v="19"/>
    <n v="12"/>
    <n v="0"/>
    <x v="6"/>
    <x v="17"/>
    <s v="Power Grid Corp"/>
    <n v="634"/>
    <n v="8.8000000000000007"/>
    <x v="95"/>
  </r>
  <r>
    <n v="15"/>
    <n v="23"/>
    <n v="0"/>
    <n v="4"/>
    <n v="1"/>
    <n v="0"/>
    <x v="12"/>
    <x v="17"/>
    <s v="adani power ltd."/>
    <n v="382"/>
    <n v="8.8000000000000007"/>
    <x v="96"/>
  </r>
  <r>
    <n v="8"/>
    <n v="18"/>
    <n v="3"/>
    <n v="10"/>
    <n v="1"/>
    <n v="0"/>
    <x v="2"/>
    <x v="10"/>
    <s v="GE T&amp;D India Limited"/>
    <n v="296"/>
    <n v="8.5"/>
    <x v="97"/>
  </r>
  <r>
    <n v="17"/>
    <n v="0"/>
    <n v="1"/>
    <n v="6"/>
    <n v="1"/>
    <n v="0"/>
    <x v="1"/>
    <x v="0"/>
    <s v="Sunil Hitech Eng"/>
    <n v="504"/>
    <n v="8.1"/>
    <x v="98"/>
  </r>
  <r>
    <n v="10"/>
    <n v="18"/>
    <n v="3"/>
    <n v="16"/>
    <n v="1"/>
    <n v="0"/>
    <x v="5"/>
    <x v="3"/>
    <s v="GE T&amp;D India Limited"/>
    <n v="405"/>
    <n v="8.9"/>
    <x v="99"/>
  </r>
  <r>
    <n v="6"/>
    <n v="20"/>
    <n v="1"/>
    <n v="3"/>
    <n v="7"/>
    <n v="0"/>
    <x v="6"/>
    <x v="3"/>
    <s v="Toshiba Transmission &amp; Distribution Systems (India) Pvt. Ltd."/>
    <n v="0"/>
    <n v="8.9"/>
    <x v="100"/>
  </r>
  <r>
    <n v="14"/>
    <n v="23"/>
    <n v="1"/>
    <n v="19"/>
    <n v="1"/>
    <n v="0"/>
    <x v="5"/>
    <x v="0"/>
    <s v="KEC International"/>
    <n v="608"/>
    <n v="8.1"/>
    <x v="101"/>
  </r>
  <r>
    <n v="0"/>
    <n v="0"/>
    <n v="3"/>
    <n v="14"/>
    <n v="1"/>
    <n v="0"/>
    <x v="11"/>
    <x v="15"/>
    <s v="unknown"/>
    <n v="697"/>
    <n v="9.3000000000000007"/>
    <x v="102"/>
  </r>
  <r>
    <n v="15"/>
    <n v="23"/>
    <n v="2"/>
    <n v="21"/>
    <n v="1"/>
    <n v="0"/>
    <x v="0"/>
    <x v="25"/>
    <s v="Guj Ind Power"/>
    <n v="591"/>
    <n v="8.1999999999999993"/>
    <x v="103"/>
  </r>
  <r>
    <n v="13"/>
    <n v="23"/>
    <n v="2"/>
    <n v="17"/>
    <n v="1"/>
    <n v="0"/>
    <x v="11"/>
    <x v="16"/>
    <s v="Maha Transco â€“ Maharashtra State Electricity Transmission Co, Ltd."/>
    <n v="532"/>
    <n v="8.1999999999999993"/>
    <x v="104"/>
  </r>
  <r>
    <n v="16"/>
    <n v="23"/>
    <n v="3"/>
    <n v="20"/>
    <n v="1"/>
    <n v="0"/>
    <x v="2"/>
    <x v="3"/>
    <s v="Torrent Power Ltd."/>
    <n v="533"/>
    <n v="8.9"/>
    <x v="105"/>
  </r>
  <r>
    <n v="15"/>
    <n v="22"/>
    <n v="0"/>
    <n v="12"/>
    <n v="1"/>
    <n v="0"/>
    <x v="3"/>
    <x v="9"/>
    <s v="Sunil Hitech Eng"/>
    <n v="429"/>
    <n v="7.9"/>
    <x v="106"/>
  </r>
  <r>
    <n v="17"/>
    <n v="23"/>
    <n v="1"/>
    <n v="0"/>
    <n v="1"/>
    <n v="0"/>
    <x v="4"/>
    <x v="26"/>
    <s v="Ringfeder Power Transmission India Pvt. Ltd."/>
    <n v="493"/>
    <n v="7.9"/>
    <x v="107"/>
  </r>
  <r>
    <n v="23"/>
    <n v="23"/>
    <n v="3"/>
    <n v="16"/>
    <n v="1"/>
    <n v="0"/>
    <x v="8"/>
    <x v="27"/>
    <s v="L&amp;T Transmission &amp; Distribution"/>
    <n v="589"/>
    <n v="8.3000000000000007"/>
    <x v="108"/>
  </r>
  <r>
    <n v="10"/>
    <n v="18"/>
    <n v="2"/>
    <n v="9"/>
    <n v="1"/>
    <n v="0"/>
    <x v="10"/>
    <x v="13"/>
    <s v="Ratnagiri Gas and Power Pvt. Ltd. (RGPPL)"/>
    <n v="490"/>
    <n v="9.1999999999999993"/>
    <x v="109"/>
  </r>
  <r>
    <n v="8"/>
    <n v="17"/>
    <n v="1"/>
    <n v="8"/>
    <n v="1"/>
    <n v="0"/>
    <x v="9"/>
    <x v="17"/>
    <s v="Power Grid Corp"/>
    <n v="412"/>
    <n v="8.8000000000000007"/>
    <x v="110"/>
  </r>
  <r>
    <n v="10"/>
    <n v="22"/>
    <n v="2"/>
    <n v="16"/>
    <n v="1"/>
    <n v="0"/>
    <x v="4"/>
    <x v="15"/>
    <s v="Indowind Energy"/>
    <n v="613"/>
    <n v="9.3000000000000007"/>
    <x v="111"/>
  </r>
  <r>
    <n v="15"/>
    <n v="23"/>
    <n v="1"/>
    <n v="10"/>
    <n v="1"/>
    <n v="0"/>
    <x v="7"/>
    <x v="4"/>
    <s v="Torrent Power Ltd."/>
    <n v="573"/>
    <n v="8.6999999999999993"/>
    <x v="112"/>
  </r>
  <r>
    <n v="10"/>
    <n v="23"/>
    <n v="1"/>
    <n v="17"/>
    <n v="1"/>
    <n v="0"/>
    <x v="12"/>
    <x v="13"/>
    <s v="GE T&amp;D India Limited"/>
    <n v="444"/>
    <n v="9.1999999999999993"/>
    <x v="113"/>
  </r>
  <r>
    <n v="6"/>
    <n v="18"/>
    <n v="0"/>
    <n v="12"/>
    <n v="7"/>
    <n v="0"/>
    <x v="11"/>
    <x v="4"/>
    <s v="Optibelt Power Transmission India Private Limited"/>
    <n v="491"/>
    <n v="8.6999999999999993"/>
    <x v="114"/>
  </r>
  <r>
    <n v="23"/>
    <n v="23"/>
    <n v="3"/>
    <n v="14"/>
    <n v="1"/>
    <n v="0"/>
    <x v="12"/>
    <x v="20"/>
    <s v="NHPC"/>
    <n v="686"/>
    <n v="8.1"/>
    <x v="115"/>
  </r>
  <r>
    <n v="23"/>
    <n v="22"/>
    <n v="3"/>
    <n v="6"/>
    <n v="1"/>
    <n v="0"/>
    <x v="0"/>
    <x v="6"/>
    <s v="Power Grid Corp"/>
    <n v="431"/>
    <n v="9.1"/>
    <x v="116"/>
  </r>
  <r>
    <n v="21"/>
    <n v="23"/>
    <n v="2"/>
    <n v="14"/>
    <n v="12"/>
    <n v="0"/>
    <x v="12"/>
    <x v="0"/>
    <s v="unknown"/>
    <n v="838"/>
    <n v="8.1"/>
    <x v="117"/>
  </r>
  <r>
    <n v="7"/>
    <n v="23"/>
    <n v="2"/>
    <n v="14"/>
    <n v="1"/>
    <n v="0"/>
    <x v="2"/>
    <x v="15"/>
    <s v="Sterlite Power Transmission Ltd"/>
    <n v="546"/>
    <n v="9.3000000000000007"/>
    <x v="118"/>
  </r>
  <r>
    <n v="10"/>
    <n v="19"/>
    <n v="3"/>
    <n v="9"/>
    <n v="1"/>
    <n v="0"/>
    <x v="9"/>
    <x v="0"/>
    <s v="Neueon Towers / Sujana Towers Ltd."/>
    <n v="381"/>
    <n v="8.1"/>
    <x v="119"/>
  </r>
  <r>
    <n v="21"/>
    <n v="23"/>
    <n v="3"/>
    <n v="0"/>
    <n v="1"/>
    <n v="0"/>
    <x v="11"/>
    <x v="0"/>
    <s v="Unitech Power Transmission Ltd."/>
    <n v="519"/>
    <n v="8.1"/>
    <x v="120"/>
  </r>
  <r>
    <n v="6"/>
    <n v="20"/>
    <n v="2"/>
    <n v="19"/>
    <n v="0"/>
    <n v="0"/>
    <x v="6"/>
    <x v="16"/>
    <s v="Bonfiglioli Transmission Pvt. Ltd."/>
    <n v="587"/>
    <n v="8.1999999999999993"/>
    <x v="121"/>
  </r>
  <r>
    <n v="6"/>
    <n v="18"/>
    <n v="0"/>
    <n v="9"/>
    <n v="1"/>
    <n v="0"/>
    <x v="1"/>
    <x v="12"/>
    <s v="Unitech Power Transmission Ltd."/>
    <n v="301"/>
    <n v="8.6999999999999993"/>
    <x v="122"/>
  </r>
  <r>
    <n v="0"/>
    <n v="23"/>
    <n v="1"/>
    <n v="9"/>
    <n v="1"/>
    <n v="0"/>
    <x v="3"/>
    <x v="0"/>
    <s v="Ringfeder Power Transmission India Pvt. Ltd."/>
    <n v="386"/>
    <n v="8.1"/>
    <x v="123"/>
  </r>
  <r>
    <n v="12"/>
    <n v="22"/>
    <n v="3"/>
    <n v="22"/>
    <n v="0"/>
    <n v="0"/>
    <x v="11"/>
    <x v="9"/>
    <s v="Sunil Hitech Eng"/>
    <n v="599"/>
    <n v="7.9"/>
    <x v="124"/>
  </r>
  <r>
    <n v="9"/>
    <n v="20"/>
    <n v="3"/>
    <n v="21"/>
    <n v="1"/>
    <n v="0"/>
    <x v="11"/>
    <x v="6"/>
    <s v="unknown"/>
    <n v="582"/>
    <n v="9.1"/>
    <x v="125"/>
  </r>
  <r>
    <n v="12"/>
    <n v="23"/>
    <n v="0"/>
    <n v="6"/>
    <n v="1"/>
    <n v="0"/>
    <x v="7"/>
    <x v="7"/>
    <s v="Unitech Power Transmission Ltd."/>
    <n v="337"/>
    <n v="7.8"/>
    <x v="126"/>
  </r>
  <r>
    <n v="14"/>
    <n v="23"/>
    <n v="0"/>
    <n v="20"/>
    <n v="1"/>
    <n v="0"/>
    <x v="12"/>
    <x v="9"/>
    <s v="KEC International"/>
    <n v="662"/>
    <n v="7.9"/>
    <x v="127"/>
  </r>
  <r>
    <n v="23"/>
    <n v="23"/>
    <n v="3"/>
    <n v="14"/>
    <n v="0"/>
    <n v="0"/>
    <x v="7"/>
    <x v="12"/>
    <s v="SJVN Ltd."/>
    <n v="517"/>
    <n v="8.6999999999999993"/>
    <x v="128"/>
  </r>
  <r>
    <n v="5"/>
    <n v="0"/>
    <n v="0"/>
    <n v="20"/>
    <n v="1"/>
    <n v="0"/>
    <x v="8"/>
    <x v="7"/>
    <s v="Guj Ind Power"/>
    <n v="464"/>
    <n v="7.8"/>
    <x v="129"/>
  </r>
  <r>
    <n v="11"/>
    <n v="22"/>
    <n v="0"/>
    <n v="6"/>
    <n v="12"/>
    <n v="0"/>
    <x v="0"/>
    <x v="10"/>
    <s v="Sunil Hitech Eng"/>
    <n v="332"/>
    <n v="8.5"/>
    <x v="130"/>
  </r>
  <r>
    <n v="11"/>
    <n v="23"/>
    <n v="3"/>
    <n v="16"/>
    <n v="1"/>
    <n v="0"/>
    <x v="0"/>
    <x v="15"/>
    <s v="Indowind Energy"/>
    <n v="391"/>
    <s v="nan "/>
    <x v="131"/>
  </r>
  <r>
    <n v="0"/>
    <n v="23"/>
    <n v="0"/>
    <n v="20"/>
    <n v="12"/>
    <n v="0"/>
    <x v="8"/>
    <x v="0"/>
    <s v="unknown"/>
    <n v="707"/>
    <n v="8.1"/>
    <x v="132"/>
  </r>
  <r>
    <n v="17"/>
    <n v="23"/>
    <n v="2"/>
    <n v="13"/>
    <n v="1"/>
    <n v="0"/>
    <x v="7"/>
    <x v="0"/>
    <s v="Sunil Hitech Eng"/>
    <n v="500"/>
    <n v="8.1"/>
    <x v="133"/>
  </r>
  <r>
    <n v="8"/>
    <n v="17"/>
    <n v="0"/>
    <n v="14"/>
    <n v="1"/>
    <n v="0"/>
    <x v="7"/>
    <x v="15"/>
    <s v="Maha Transco â€“ Maharashtra State Electricity Transmission Co, Ltd."/>
    <n v="335"/>
    <n v="9.3000000000000007"/>
    <x v="134"/>
  </r>
  <r>
    <n v="12"/>
    <n v="22"/>
    <n v="3"/>
    <n v="11"/>
    <n v="1"/>
    <n v="0"/>
    <x v="1"/>
    <x v="15"/>
    <s v="Ratnagiri Gas and Power Pvt. Ltd. (RGPPL)"/>
    <n v="573"/>
    <n v="0"/>
    <x v="135"/>
  </r>
  <r>
    <n v="13"/>
    <n v="23"/>
    <n v="2"/>
    <n v="7"/>
    <n v="1"/>
    <n v="0"/>
    <x v="5"/>
    <x v="20"/>
    <s v="Reliance Energy"/>
    <n v="511"/>
    <n v="7.4"/>
    <x v="136"/>
  </r>
  <r>
    <n v="0"/>
    <n v="23"/>
    <n v="2"/>
    <n v="17"/>
    <n v="1"/>
    <n v="0"/>
    <x v="9"/>
    <x v="10"/>
    <s v="TransRail Lighting"/>
    <n v="689"/>
    <n v="8.5"/>
    <x v="137"/>
  </r>
  <r>
    <n v="23"/>
    <n v="23"/>
    <n v="2"/>
    <n v="7"/>
    <n v="12"/>
    <n v="0"/>
    <x v="7"/>
    <x v="11"/>
    <s v="JSW Energy Ltd."/>
    <n v="543"/>
    <n v="8.4"/>
    <x v="138"/>
  </r>
  <r>
    <n v="9"/>
    <n v="22"/>
    <n v="2"/>
    <n v="9"/>
    <n v="1"/>
    <n v="0"/>
    <x v="1"/>
    <x v="0"/>
    <s v="JSW Energy Ltd."/>
    <n v="527"/>
    <n v="8.1"/>
    <x v="139"/>
  </r>
  <r>
    <n v="20"/>
    <n v="23"/>
    <n v="3"/>
    <n v="18"/>
    <n v="1"/>
    <n v="0"/>
    <x v="2"/>
    <x v="6"/>
    <s v="reliance power"/>
    <n v="634"/>
    <n v="9.1"/>
    <x v="140"/>
  </r>
  <r>
    <n v="20"/>
    <n v="23"/>
    <n v="2"/>
    <n v="8"/>
    <n v="1"/>
    <n v="0"/>
    <x v="8"/>
    <x v="0"/>
    <s v="Power Grid Corp"/>
    <n v="632"/>
    <n v="8.1"/>
    <x v="141"/>
  </r>
  <r>
    <n v="22"/>
    <n v="23"/>
    <n v="2"/>
    <n v="8"/>
    <n v="1"/>
    <n v="0"/>
    <x v="3"/>
    <x v="4"/>
    <s v="Sunil Hitech Eng"/>
    <n v="658"/>
    <n v="8.6999999999999993"/>
    <x v="142"/>
  </r>
  <r>
    <n v="17"/>
    <n v="22"/>
    <n v="0"/>
    <n v="16"/>
    <n v="12"/>
    <n v="0"/>
    <x v="7"/>
    <x v="17"/>
    <s v="TransRail Lighting"/>
    <s v="nan "/>
    <n v="8.8000000000000007"/>
    <x v="143"/>
  </r>
  <r>
    <n v="11"/>
    <n v="22"/>
    <n v="3"/>
    <n v="19"/>
    <n v="1"/>
    <n v="0"/>
    <x v="0"/>
    <x v="13"/>
    <s v="neueon towers / sujana towers ltd."/>
    <n v="536"/>
    <n v="9.1999999999999993"/>
    <x v="144"/>
  </r>
  <r>
    <n v="6"/>
    <n v="19"/>
    <n v="1"/>
    <n v="0"/>
    <n v="1"/>
    <n v="0"/>
    <x v="1"/>
    <x v="14"/>
    <s v="CESC"/>
    <n v="340"/>
    <n v="7.6"/>
    <x v="24"/>
  </r>
  <r>
    <n v="5"/>
    <n v="0"/>
    <n v="3"/>
    <n v="14"/>
    <n v="7"/>
    <n v="0"/>
    <x v="1"/>
    <x v="3"/>
    <s v="Jyoti Structure"/>
    <n v="0"/>
    <n v="8.9"/>
    <x v="145"/>
  </r>
  <r>
    <n v="11"/>
    <n v="22"/>
    <n v="0"/>
    <n v="5"/>
    <n v="1"/>
    <n v="0"/>
    <x v="2"/>
    <x v="0"/>
    <s v="unknown"/>
    <n v="236"/>
    <n v="8.1"/>
    <x v="146"/>
  </r>
  <r>
    <n v="20"/>
    <n v="23"/>
    <n v="2"/>
    <n v="21"/>
    <n v="12"/>
    <n v="0"/>
    <x v="10"/>
    <x v="15"/>
    <s v="Unitech Power Transmission Ltd."/>
    <n v="780"/>
    <n v="9.3000000000000007"/>
    <x v="147"/>
  </r>
  <r>
    <n v="11"/>
    <n v="22"/>
    <n v="2"/>
    <n v="14"/>
    <n v="1"/>
    <n v="0"/>
    <x v="4"/>
    <x v="28"/>
    <s v="kec international"/>
    <n v="394"/>
    <n v="0"/>
    <x v="148"/>
  </r>
  <r>
    <n v="17"/>
    <n v="0"/>
    <n v="2"/>
    <n v="0"/>
    <n v="1"/>
    <n v="0"/>
    <x v="9"/>
    <x v="19"/>
    <s v="Sunil Hitech Eng"/>
    <n v="413"/>
    <n v="7.4"/>
    <x v="149"/>
  </r>
  <r>
    <n v="14"/>
    <n v="23"/>
    <n v="0"/>
    <n v="15"/>
    <n v="1"/>
    <n v="0"/>
    <x v="3"/>
    <x v="4"/>
    <s v="GE T&amp;D India Limited"/>
    <n v="413"/>
    <n v="8.6999999999999993"/>
    <x v="150"/>
  </r>
  <r>
    <n v="16"/>
    <n v="22"/>
    <n v="2"/>
    <n v="3"/>
    <n v="1"/>
    <n v="0"/>
    <x v="12"/>
    <x v="29"/>
    <s v="Neueon Towers / Sujana Towers Ltd."/>
    <n v="337"/>
    <n v="9.3000000000000007"/>
    <x v="151"/>
  </r>
  <r>
    <n v="18"/>
    <n v="22"/>
    <n v="1"/>
    <n v="19"/>
    <n v="1"/>
    <n v="0"/>
    <x v="4"/>
    <x v="1"/>
    <s v="Optibelt Power Transmission India Private Limited"/>
    <n v="546"/>
    <n v="8.3000000000000007"/>
    <x v="152"/>
  </r>
  <r>
    <n v="13"/>
    <n v="23"/>
    <n v="3"/>
    <n v="6"/>
    <n v="1"/>
    <n v="0"/>
    <x v="11"/>
    <x v="19"/>
    <s v="NHPC"/>
    <n v="536"/>
    <n v="7.4"/>
    <x v="153"/>
  </r>
  <r>
    <n v="5"/>
    <n v="22"/>
    <n v="2"/>
    <n v="4"/>
    <n v="1"/>
    <n v="0"/>
    <x v="2"/>
    <x v="8"/>
    <s v="L&amp;T Transmission &amp; Distribution"/>
    <n v="253"/>
    <n v="8.4"/>
    <x v="154"/>
  </r>
  <r>
    <n v="10"/>
    <n v="20"/>
    <n v="3"/>
    <n v="12"/>
    <n v="1"/>
    <n v="0"/>
    <x v="3"/>
    <x v="1"/>
    <s v="Sterlite Power Transmission Ltd"/>
    <n v="387"/>
    <n v="8.3000000000000007"/>
    <x v="24"/>
  </r>
  <r>
    <n v="17"/>
    <n v="22"/>
    <n v="1"/>
    <n v="10"/>
    <n v="1"/>
    <n v="0"/>
    <x v="11"/>
    <x v="20"/>
    <s v="Kalpataru Power"/>
    <n v="556"/>
    <n v="7.8"/>
    <x v="155"/>
  </r>
  <r>
    <n v="7"/>
    <n v="0"/>
    <n v="2"/>
    <n v="17"/>
    <n v="1"/>
    <n v="0"/>
    <x v="0"/>
    <x v="8"/>
    <s v="unknown"/>
    <n v="480"/>
    <n v="8.4"/>
    <x v="156"/>
  </r>
  <r>
    <n v="0"/>
    <n v="23"/>
    <n v="3"/>
    <n v="0"/>
    <n v="12"/>
    <n v="0"/>
    <x v="1"/>
    <x v="10"/>
    <s v="Sunil Hitech Eng"/>
    <n v="690"/>
    <n v="8.5"/>
    <x v="157"/>
  </r>
  <r>
    <n v="9"/>
    <n v="22"/>
    <n v="2"/>
    <n v="0"/>
    <n v="1"/>
    <n v="0"/>
    <x v="3"/>
    <x v="14"/>
    <s v="Indowind Energy"/>
    <n v="504"/>
    <n v="7.6"/>
    <x v="158"/>
  </r>
  <r>
    <n v="14"/>
    <n v="22"/>
    <n v="1"/>
    <n v="10"/>
    <n v="1"/>
    <n v="0"/>
    <x v="0"/>
    <x v="1"/>
    <s v="sterlite power transmission ltd"/>
    <n v="429"/>
    <n v="8.3000000000000007"/>
    <x v="159"/>
  </r>
  <r>
    <n v="5"/>
    <n v="20"/>
    <n v="1"/>
    <n v="18"/>
    <n v="1"/>
    <n v="0"/>
    <x v="4"/>
    <x v="19"/>
    <s v="Unitech Power Transmission Ltd."/>
    <n v="532"/>
    <n v="7.4"/>
    <x v="160"/>
  </r>
  <r>
    <n v="17"/>
    <n v="22"/>
    <n v="2"/>
    <n v="15"/>
    <n v="12"/>
    <n v="0"/>
    <x v="8"/>
    <x v="10"/>
    <s v="Reliance Power"/>
    <n v="584"/>
    <n v="8.5"/>
    <x v="161"/>
  </r>
  <r>
    <n v="7"/>
    <n v="21"/>
    <n v="3"/>
    <n v="22"/>
    <n v="1"/>
    <n v="0"/>
    <x v="8"/>
    <x v="9"/>
    <s v="Neueon Towers / Sujana Towers Ltd."/>
    <n v="675"/>
    <n v="7.9"/>
    <x v="162"/>
  </r>
  <r>
    <n v="0"/>
    <n v="23"/>
    <n v="1"/>
    <n v="0"/>
    <n v="1"/>
    <n v="0"/>
    <x v="11"/>
    <x v="3"/>
    <s v="GE T&amp;D India Limited"/>
    <n v="643"/>
    <n v="8.9"/>
    <x v="163"/>
  </r>
  <r>
    <n v="7"/>
    <n v="20"/>
    <n v="2"/>
    <n v="22"/>
    <n v="1"/>
    <n v="0"/>
    <x v="6"/>
    <x v="6"/>
    <s v="Guj Ind Power"/>
    <n v="522"/>
    <n v="9.1"/>
    <x v="164"/>
  </r>
  <r>
    <n v="16"/>
    <n v="23"/>
    <n v="1"/>
    <n v="15"/>
    <n v="1"/>
    <n v="0"/>
    <x v="2"/>
    <x v="7"/>
    <s v="unknown"/>
    <n v="657"/>
    <n v="7.8"/>
    <x v="165"/>
  </r>
  <r>
    <n v="20"/>
    <n v="23"/>
    <n v="1"/>
    <n v="20"/>
    <n v="12"/>
    <n v="0"/>
    <x v="12"/>
    <x v="14"/>
    <s v="CESC"/>
    <n v="845"/>
    <n v="7.6"/>
    <x v="166"/>
  </r>
  <r>
    <n v="17"/>
    <n v="23"/>
    <n v="1"/>
    <n v="14"/>
    <n v="1"/>
    <n v="0"/>
    <x v="11"/>
    <x v="5"/>
    <s v="Kalpataru Power"/>
    <n v="388"/>
    <n v="7.7"/>
    <x v="167"/>
  </r>
  <r>
    <n v="6"/>
    <n v="23"/>
    <n v="1"/>
    <n v="12"/>
    <n v="7"/>
    <n v="0"/>
    <x v="5"/>
    <x v="9"/>
    <s v="NLC India"/>
    <n v="649"/>
    <n v="7.9"/>
    <x v="168"/>
  </r>
  <r>
    <n v="5"/>
    <n v="0"/>
    <n v="2"/>
    <n v="16"/>
    <n v="1"/>
    <n v="0"/>
    <x v="4"/>
    <x v="15"/>
    <s v="Power Grid Corp"/>
    <n v="398"/>
    <n v="9.3000000000000007"/>
    <x v="169"/>
  </r>
  <r>
    <n v="8"/>
    <n v="20"/>
    <n v="3"/>
    <n v="16"/>
    <n v="1"/>
    <n v="0"/>
    <x v="8"/>
    <x v="0"/>
    <s v="torrent power ltd."/>
    <n v="634"/>
    <n v="8.1"/>
    <x v="170"/>
  </r>
  <r>
    <n v="20"/>
    <n v="22"/>
    <n v="1"/>
    <n v="10"/>
    <n v="1"/>
    <n v="0"/>
    <x v="2"/>
    <x v="30"/>
    <s v="NHPC"/>
    <n v="611"/>
    <n v="7.7"/>
    <x v="171"/>
  </r>
  <r>
    <n v="16"/>
    <n v="23"/>
    <n v="3"/>
    <n v="10"/>
    <n v="1"/>
    <n v="0"/>
    <x v="0"/>
    <x v="20"/>
    <s v="Maha Transco â€“ Maharashtra State Electricity Transmission Co, Ltd."/>
    <n v="591"/>
    <n v="9.1"/>
    <x v="172"/>
  </r>
  <r>
    <n v="22"/>
    <n v="23"/>
    <n v="0"/>
    <n v="15"/>
    <n v="12"/>
    <n v="0"/>
    <x v="2"/>
    <x v="19"/>
    <s v="NLC India"/>
    <n v="735"/>
    <n v="7.4"/>
    <x v="173"/>
  </r>
  <r>
    <n v="23"/>
    <n v="22"/>
    <n v="1"/>
    <n v="10"/>
    <n v="1"/>
    <n v="0"/>
    <x v="4"/>
    <x v="4"/>
    <s v="Indowind Energy"/>
    <n v="449"/>
    <n v="8.6999999999999993"/>
    <x v="174"/>
  </r>
  <r>
    <n v="13"/>
    <n v="0"/>
    <n v="0"/>
    <n v="11"/>
    <n v="1"/>
    <n v="0"/>
    <x v="3"/>
    <x v="3"/>
    <s v="NLC India"/>
    <n v="396"/>
    <n v="8.9"/>
    <x v="175"/>
  </r>
  <r>
    <n v="18"/>
    <n v="23"/>
    <n v="0"/>
    <n v="13"/>
    <n v="1"/>
    <n v="0"/>
    <x v="11"/>
    <x v="0"/>
    <s v="Jaiprakash Power"/>
    <n v="420"/>
    <n v="8.1"/>
    <x v="176"/>
  </r>
  <r>
    <n v="22"/>
    <n v="22"/>
    <n v="0"/>
    <n v="15"/>
    <n v="1"/>
    <n v="0"/>
    <x v="4"/>
    <x v="7"/>
    <s v="Ringfeder Power Transmission India Pvt. Ltd."/>
    <n v="592"/>
    <n v="7.8"/>
    <x v="177"/>
  </r>
  <r>
    <n v="6"/>
    <n v="17"/>
    <n v="2"/>
    <n v="14"/>
    <n v="1"/>
    <n v="0"/>
    <x v="9"/>
    <x v="0"/>
    <s v="Orient Green"/>
    <n v="395"/>
    <n v="8.1"/>
    <x v="178"/>
  </r>
  <r>
    <n v="8"/>
    <n v="0"/>
    <n v="2"/>
    <n v="20"/>
    <n v="1"/>
    <n v="0"/>
    <x v="4"/>
    <x v="15"/>
    <s v="Ringfeder Power Transmission India Pvt. Ltd."/>
    <n v="522"/>
    <n v="9.3000000000000007"/>
    <x v="179"/>
  </r>
  <r>
    <n v="10"/>
    <n v="0"/>
    <n v="3"/>
    <n v="5"/>
    <n v="1"/>
    <n v="0"/>
    <x v="3"/>
    <x v="5"/>
    <s v="JSW Energy Ltd."/>
    <n v="403"/>
    <n v="7.7"/>
    <x v="180"/>
  </r>
  <r>
    <n v="10"/>
    <n v="20"/>
    <n v="3"/>
    <n v="21"/>
    <n v="7"/>
    <n v="0"/>
    <x v="11"/>
    <x v="4"/>
    <s v="Bonfiglioli Transmission Pvt. Ltd."/>
    <n v="634"/>
    <n v="8.6999999999999993"/>
    <x v="181"/>
  </r>
  <r>
    <n v="23"/>
    <n v="23"/>
    <n v="3"/>
    <n v="11"/>
    <n v="1"/>
    <n v="0"/>
    <x v="1"/>
    <x v="5"/>
    <s v="Reliance Power"/>
    <n v="611"/>
    <n v="7.7"/>
    <x v="171"/>
  </r>
  <r>
    <n v="12"/>
    <n v="23"/>
    <n v="0"/>
    <n v="15"/>
    <n v="1"/>
    <n v="0"/>
    <x v="4"/>
    <x v="17"/>
    <s v="NHPC"/>
    <n v="475"/>
    <n v="8.8000000000000007"/>
    <x v="182"/>
  </r>
  <r>
    <n v="15"/>
    <n v="23"/>
    <n v="2"/>
    <n v="18"/>
    <n v="12"/>
    <n v="0"/>
    <x v="7"/>
    <x v="7"/>
    <s v="Bonfiglioli Transmission Pvt. Ltd."/>
    <n v="544"/>
    <n v="7.8"/>
    <x v="183"/>
  </r>
  <r>
    <n v="20"/>
    <n v="22"/>
    <n v="1"/>
    <n v="4"/>
    <n v="1"/>
    <n v="0"/>
    <x v="10"/>
    <x v="19"/>
    <s v="Guj Ind Power"/>
    <n v="337"/>
    <n v="7.4"/>
    <x v="184"/>
  </r>
  <r>
    <n v="17"/>
    <n v="22"/>
    <n v="2"/>
    <n v="4"/>
    <n v="12"/>
    <n v="0"/>
    <x v="2"/>
    <x v="15"/>
    <s v="Guj Ind Power"/>
    <n v="564"/>
    <n v="9.3000000000000007"/>
    <x v="185"/>
  </r>
  <r>
    <n v="11"/>
    <n v="22"/>
    <n v="3"/>
    <n v="16"/>
    <n v="12"/>
    <n v="0"/>
    <x v="8"/>
    <x v="3"/>
    <s v="TransRail Lighting"/>
    <n v="638"/>
    <n v="8.9"/>
    <x v="186"/>
  </r>
  <r>
    <n v="7"/>
    <n v="21"/>
    <n v="1"/>
    <n v="22"/>
    <n v="1"/>
    <n v="0"/>
    <x v="9"/>
    <x v="17"/>
    <s v="sterlite power transmission ltd"/>
    <n v="485"/>
    <n v="8.8000000000000007"/>
    <x v="187"/>
  </r>
  <r>
    <n v="5"/>
    <n v="19"/>
    <n v="0"/>
    <n v="9"/>
    <n v="1"/>
    <n v="0"/>
    <x v="3"/>
    <x v="4"/>
    <s v="Guj Ind Power"/>
    <n v="201"/>
    <n v="8.6999999999999993"/>
    <x v="24"/>
  </r>
  <r>
    <n v="10"/>
    <n v="21"/>
    <n v="0"/>
    <n v="13"/>
    <n v="1"/>
    <n v="0"/>
    <x v="12"/>
    <x v="10"/>
    <s v="ge t&amp;d india limited"/>
    <n v="425"/>
    <n v="8.5"/>
    <x v="188"/>
  </r>
  <r>
    <n v="14"/>
    <n v="22"/>
    <n v="0"/>
    <n v="3"/>
    <n v="1"/>
    <n v="0"/>
    <x v="6"/>
    <x v="9"/>
    <s v="Ringfeder Power Transmission India Pvt. Ltd."/>
    <n v="287"/>
    <n v="7.9"/>
    <x v="189"/>
  </r>
  <r>
    <n v="14"/>
    <n v="22"/>
    <n v="3"/>
    <n v="15"/>
    <n v="1"/>
    <n v="0"/>
    <x v="11"/>
    <x v="19"/>
    <s v="Ringfeder Power Transmission India Pvt. Ltd."/>
    <n v="688"/>
    <n v="7.4"/>
    <x v="190"/>
  </r>
  <r>
    <n v="23"/>
    <n v="23"/>
    <n v="2"/>
    <n v="18"/>
    <n v="1"/>
    <n v="0"/>
    <x v="11"/>
    <x v="8"/>
    <s v="reliance energy"/>
    <n v="665"/>
    <n v="8.4"/>
    <x v="191"/>
  </r>
  <r>
    <n v="20"/>
    <n v="23"/>
    <n v="1"/>
    <n v="14"/>
    <n v="1"/>
    <n v="0"/>
    <x v="2"/>
    <x v="20"/>
    <s v="NLC India"/>
    <n v="658"/>
    <n v="7.7"/>
    <x v="7"/>
  </r>
  <r>
    <n v="20"/>
    <n v="23"/>
    <n v="1"/>
    <n v="7"/>
    <n v="12"/>
    <n v="0"/>
    <x v="2"/>
    <x v="20"/>
    <s v="Orient Green"/>
    <n v="695"/>
    <n v="9.3000000000000007"/>
    <x v="192"/>
  </r>
  <r>
    <n v="22"/>
    <n v="23"/>
    <n v="3"/>
    <n v="14"/>
    <n v="1"/>
    <n v="0"/>
    <x v="11"/>
    <x v="8"/>
    <s v="Orient Green"/>
    <n v="566"/>
    <n v="8.4"/>
    <x v="193"/>
  </r>
  <r>
    <n v="15"/>
    <n v="23"/>
    <n v="0"/>
    <n v="14"/>
    <n v="1"/>
    <n v="0"/>
    <x v="6"/>
    <x v="20"/>
    <s v="Jyoti Structure"/>
    <n v="679"/>
    <n v="7.4"/>
    <x v="194"/>
  </r>
  <r>
    <n v="7"/>
    <n v="18"/>
    <n v="2"/>
    <n v="19"/>
    <n v="1"/>
    <n v="0"/>
    <x v="4"/>
    <x v="29"/>
    <s v="TransRail Lighting"/>
    <n v="486"/>
    <n v="9.3000000000000007"/>
    <x v="195"/>
  </r>
  <r>
    <n v="17"/>
    <n v="23"/>
    <n v="1"/>
    <n v="3"/>
    <n v="1"/>
    <n v="0"/>
    <x v="6"/>
    <x v="13"/>
    <s v="Toshiba Transmission &amp; Distribution Systems (India) Pvt. Ltd."/>
    <n v="316"/>
    <n v="9.1999999999999993"/>
    <x v="196"/>
  </r>
  <r>
    <n v="6"/>
    <n v="22"/>
    <n v="3"/>
    <n v="9"/>
    <n v="1"/>
    <n v="0"/>
    <x v="12"/>
    <x v="16"/>
    <s v="Kalpataru Power"/>
    <n v="544"/>
    <n v="8.1999999999999993"/>
    <x v="197"/>
  </r>
  <r>
    <n v="20"/>
    <n v="23"/>
    <n v="2"/>
    <n v="13"/>
    <n v="1"/>
    <n v="0"/>
    <x v="7"/>
    <x v="19"/>
    <s v="Indowind Energy"/>
    <n v="445"/>
    <n v="7.4"/>
    <x v="198"/>
  </r>
  <r>
    <n v="10"/>
    <n v="22"/>
    <n v="3"/>
    <n v="9"/>
    <n v="1"/>
    <n v="0"/>
    <x v="8"/>
    <x v="3"/>
    <s v="unknown"/>
    <n v="486"/>
    <n v="8.9"/>
    <x v="145"/>
  </r>
  <r>
    <n v="18"/>
    <n v="0"/>
    <n v="3"/>
    <n v="18"/>
    <n v="1"/>
    <n v="0"/>
    <x v="10"/>
    <x v="19"/>
    <s v="Sunil Hitech Eng"/>
    <n v="677"/>
    <n v="7.4"/>
    <x v="199"/>
  </r>
  <r>
    <n v="16"/>
    <n v="22"/>
    <n v="0"/>
    <n v="4"/>
    <n v="1"/>
    <n v="0"/>
    <x v="7"/>
    <x v="5"/>
    <s v="Maha Transco â€“ Maharashtra State Electricity Transmission Co, Ltd."/>
    <n v="470"/>
    <n v="7.7"/>
    <x v="200"/>
  </r>
  <r>
    <n v="19"/>
    <n v="23"/>
    <n v="1"/>
    <n v="17"/>
    <n v="12"/>
    <n v="0"/>
    <x v="0"/>
    <x v="16"/>
    <s v="Orient Green"/>
    <n v="509"/>
    <n v="8.1999999999999993"/>
    <x v="201"/>
  </r>
  <r>
    <n v="14"/>
    <n v="23"/>
    <n v="0"/>
    <n v="17"/>
    <n v="1"/>
    <n v="0"/>
    <x v="8"/>
    <x v="29"/>
    <s v="L&amp;T Transmission &amp; Distribution"/>
    <n v="602"/>
    <n v="9.3000000000000007"/>
    <x v="202"/>
  </r>
  <r>
    <n v="16"/>
    <n v="23"/>
    <n v="0"/>
    <n v="17"/>
    <n v="1"/>
    <n v="0"/>
    <x v="9"/>
    <x v="1"/>
    <s v="Torrent Power Ltd."/>
    <n v="405"/>
    <n v="8.3000000000000007"/>
    <x v="203"/>
  </r>
  <r>
    <n v="6"/>
    <n v="19"/>
    <n v="1"/>
    <n v="0"/>
    <n v="1"/>
    <n v="0"/>
    <x v="1"/>
    <x v="21"/>
    <s v="JSW Energy Ltd."/>
    <n v="420"/>
    <n v="7.4"/>
    <x v="204"/>
  </r>
  <r>
    <n v="21"/>
    <n v="23"/>
    <n v="3"/>
    <n v="4"/>
    <n v="1"/>
    <n v="0"/>
    <x v="7"/>
    <x v="10"/>
    <s v="Kalpataru Power"/>
    <n v="490"/>
    <n v="8.5"/>
    <x v="205"/>
  </r>
  <r>
    <n v="12"/>
    <n v="0"/>
    <n v="2"/>
    <n v="22"/>
    <n v="1"/>
    <n v="0"/>
    <x v="2"/>
    <x v="20"/>
    <s v="NHPC"/>
    <n v="588"/>
    <n v="8.8000000000000007"/>
    <x v="206"/>
  </r>
  <r>
    <n v="15"/>
    <n v="23"/>
    <n v="1"/>
    <n v="20"/>
    <n v="12"/>
    <n v="0"/>
    <x v="0"/>
    <x v="7"/>
    <s v="Ratnagiri Gas and Power Pvt. Ltd. (RGPPL)"/>
    <n v="493"/>
    <n v="7.8"/>
    <x v="207"/>
  </r>
  <r>
    <n v="9"/>
    <n v="19"/>
    <n v="3"/>
    <n v="6"/>
    <n v="1"/>
    <n v="0"/>
    <x v="4"/>
    <x v="0"/>
    <s v="Reliance Power"/>
    <n v="467"/>
    <n v="8.1"/>
    <x v="208"/>
  </r>
  <r>
    <n v="19"/>
    <n v="23"/>
    <n v="3"/>
    <n v="16"/>
    <n v="12"/>
    <n v="0"/>
    <x v="9"/>
    <x v="8"/>
    <s v="ratnagiri gas and power pvt. ltd. (rgppl)"/>
    <n v="646"/>
    <n v="8.4"/>
    <x v="209"/>
  </r>
  <r>
    <n v="6"/>
    <n v="23"/>
    <n v="0"/>
    <n v="18"/>
    <n v="1"/>
    <n v="0"/>
    <x v="0"/>
    <x v="10"/>
    <s v="Ringfeder Power Transmission India Pvt. Ltd."/>
    <n v="365"/>
    <n v="8.5"/>
    <x v="210"/>
  </r>
  <r>
    <n v="9"/>
    <n v="19"/>
    <n v="0"/>
    <n v="21"/>
    <n v="1"/>
    <n v="0"/>
    <x v="11"/>
    <x v="6"/>
    <s v="orient green"/>
    <n v="452"/>
    <n v="9.1"/>
    <x v="211"/>
  </r>
  <r>
    <n v="8"/>
    <n v="18"/>
    <n v="0"/>
    <n v="21"/>
    <n v="1"/>
    <n v="0"/>
    <x v="1"/>
    <x v="30"/>
    <s v="Power Grid Corp"/>
    <n v="489"/>
    <n v="7.7"/>
    <x v="212"/>
  </r>
  <r>
    <n v="16"/>
    <n v="22"/>
    <n v="3"/>
    <n v="17"/>
    <n v="1"/>
    <n v="0"/>
    <x v="10"/>
    <x v="6"/>
    <s v="KEC International"/>
    <n v="641"/>
    <n v="9.1"/>
    <x v="213"/>
  </r>
  <r>
    <n v="6"/>
    <n v="19"/>
    <n v="1"/>
    <n v="15"/>
    <n v="1"/>
    <n v="0"/>
    <x v="1"/>
    <x v="16"/>
    <s v="Sunil Hitech Eng"/>
    <n v="297"/>
    <n v="8.1999999999999993"/>
    <x v="214"/>
  </r>
  <r>
    <n v="19"/>
    <n v="23"/>
    <n v="0"/>
    <n v="22"/>
    <n v="1"/>
    <n v="0"/>
    <x v="5"/>
    <x v="4"/>
    <s v="Orient Green"/>
    <n v="594"/>
    <n v="8.6999999999999993"/>
    <x v="215"/>
  </r>
  <r>
    <n v="18"/>
    <n v="22"/>
    <n v="2"/>
    <n v="8"/>
    <n v="1"/>
    <n v="0"/>
    <x v="5"/>
    <x v="6"/>
    <s v="Ringfeder Power Transmission India Pvt. Ltd."/>
    <n v="587"/>
    <n v="9.1"/>
    <x v="216"/>
  </r>
  <r>
    <n v="5"/>
    <n v="17"/>
    <n v="3"/>
    <n v="14"/>
    <n v="1"/>
    <n v="0"/>
    <x v="12"/>
    <x v="7"/>
    <s v="NLC India"/>
    <n v="550"/>
    <n v="7.8"/>
    <x v="217"/>
  </r>
  <r>
    <n v="14"/>
    <n v="22"/>
    <n v="0"/>
    <n v="5"/>
    <n v="0"/>
    <n v="0"/>
    <x v="4"/>
    <x v="7"/>
    <s v="cesc"/>
    <n v="310"/>
    <n v="7.8"/>
    <x v="218"/>
  </r>
  <r>
    <n v="9"/>
    <n v="19"/>
    <n v="0"/>
    <n v="9"/>
    <n v="1"/>
    <n v="0"/>
    <x v="1"/>
    <x v="4"/>
    <s v="Jyoti Structure"/>
    <n v="486"/>
    <n v="8.6999999999999993"/>
    <x v="219"/>
  </r>
  <r>
    <n v="23"/>
    <n v="22"/>
    <n v="0"/>
    <n v="10"/>
    <n v="1"/>
    <n v="0"/>
    <x v="1"/>
    <x v="5"/>
    <s v="Indowind Energy"/>
    <n v="466"/>
    <n v="7.7"/>
    <x v="24"/>
  </r>
  <r>
    <n v="7"/>
    <n v="18"/>
    <n v="1"/>
    <n v="13"/>
    <n v="1"/>
    <n v="0"/>
    <x v="3"/>
    <x v="4"/>
    <s v="Torrent Power Ltd."/>
    <n v="0"/>
    <n v="8.6999999999999993"/>
    <x v="220"/>
  </r>
  <r>
    <n v="9"/>
    <n v="23"/>
    <n v="0"/>
    <n v="11"/>
    <n v="1"/>
    <n v="0"/>
    <x v="5"/>
    <x v="9"/>
    <s v="Maha Transco â€“ Maharashtra State Electricity Transmission Co, Ltd."/>
    <n v="557"/>
    <n v="7.9"/>
    <x v="221"/>
  </r>
  <r>
    <n v="12"/>
    <n v="23"/>
    <n v="3"/>
    <n v="19"/>
    <n v="12"/>
    <n v="0"/>
    <x v="1"/>
    <x v="16"/>
    <s v="Jaiprakash Power"/>
    <n v="646"/>
    <n v="8.1999999999999993"/>
    <x v="222"/>
  </r>
  <r>
    <n v="6"/>
    <n v="22"/>
    <n v="1"/>
    <n v="4"/>
    <n v="1"/>
    <n v="0"/>
    <x v="3"/>
    <x v="0"/>
    <s v="Reliance Energy"/>
    <n v="487"/>
    <n v="8.1"/>
    <x v="223"/>
  </r>
  <r>
    <n v="9"/>
    <n v="20"/>
    <n v="1"/>
    <n v="14"/>
    <n v="7"/>
    <n v="0"/>
    <x v="6"/>
    <x v="10"/>
    <s v="Orient Green"/>
    <n v="527"/>
    <n v="8.5"/>
    <x v="224"/>
  </r>
  <r>
    <n v="21"/>
    <n v="23"/>
    <n v="0"/>
    <n v="6"/>
    <n v="1"/>
    <n v="0"/>
    <x v="9"/>
    <x v="7"/>
    <s v="Bonfiglioli Transmission Pvt. Ltd."/>
    <n v="0"/>
    <n v="7.8"/>
    <x v="225"/>
  </r>
  <r>
    <n v="20"/>
    <n v="0"/>
    <n v="0"/>
    <n v="0"/>
    <n v="1"/>
    <n v="0"/>
    <x v="1"/>
    <x v="25"/>
    <s v="JSW Energy Ltd."/>
    <n v="512"/>
    <n v="8.1999999999999993"/>
    <x v="226"/>
  </r>
  <r>
    <n v="17"/>
    <n v="23"/>
    <n v="0"/>
    <n v="6"/>
    <n v="1"/>
    <n v="0"/>
    <x v="7"/>
    <x v="29"/>
    <s v="Adani Power Ltd."/>
    <n v="490"/>
    <n v="9.3000000000000007"/>
    <x v="227"/>
  </r>
  <r>
    <n v="8"/>
    <n v="22"/>
    <n v="2"/>
    <n v="9"/>
    <n v="7"/>
    <n v="0"/>
    <x v="9"/>
    <x v="13"/>
    <s v="nlc india"/>
    <n v="432"/>
    <n v="9.1999999999999993"/>
    <x v="228"/>
  </r>
  <r>
    <n v="22"/>
    <n v="22"/>
    <n v="2"/>
    <n v="22"/>
    <n v="1"/>
    <n v="0"/>
    <x v="2"/>
    <x v="31"/>
    <s v="unknown"/>
    <n v="632"/>
    <n v="0"/>
    <x v="229"/>
  </r>
  <r>
    <n v="11"/>
    <n v="0"/>
    <n v="2"/>
    <n v="11"/>
    <n v="1"/>
    <n v="0"/>
    <x v="9"/>
    <x v="1"/>
    <s v="Neueon Towers / Sujana Towers Ltd."/>
    <n v="361"/>
    <n v="8.3000000000000007"/>
    <x v="230"/>
  </r>
  <r>
    <n v="7"/>
    <n v="21"/>
    <n v="1"/>
    <n v="19"/>
    <n v="1"/>
    <n v="0"/>
    <x v="7"/>
    <x v="15"/>
    <s v="Neueon Towers / Sujana Towers Ltd."/>
    <n v="0"/>
    <n v="9.3000000000000007"/>
    <x v="231"/>
  </r>
  <r>
    <n v="15"/>
    <n v="23"/>
    <n v="1"/>
    <n v="5"/>
    <n v="1"/>
    <n v="0"/>
    <x v="2"/>
    <x v="30"/>
    <s v="Guj Ind Power"/>
    <n v="519"/>
    <n v="7.7"/>
    <x v="232"/>
  </r>
  <r>
    <n v="12"/>
    <n v="23"/>
    <n v="0"/>
    <n v="8"/>
    <n v="1"/>
    <n v="0"/>
    <x v="3"/>
    <x v="19"/>
    <s v="Sunil Hitech Eng"/>
    <n v="517"/>
    <n v="7.4"/>
    <x v="233"/>
  </r>
  <r>
    <n v="5"/>
    <n v="21"/>
    <n v="3"/>
    <n v="6"/>
    <n v="1"/>
    <n v="0"/>
    <x v="5"/>
    <x v="7"/>
    <s v="Optibelt Power Transmission India Private Limited"/>
    <n v="436"/>
    <n v="7.8"/>
    <x v="40"/>
  </r>
  <r>
    <n v="0"/>
    <n v="23"/>
    <n v="0"/>
    <n v="5"/>
    <n v="1"/>
    <n v="0"/>
    <x v="3"/>
    <x v="6"/>
    <s v="SJVN Ltd."/>
    <n v="490"/>
    <n v="9.1"/>
    <x v="234"/>
  </r>
  <r>
    <n v="21"/>
    <n v="23"/>
    <n v="3"/>
    <n v="12"/>
    <n v="1"/>
    <n v="0"/>
    <x v="9"/>
    <x v="13"/>
    <s v="KEC International"/>
    <n v="640"/>
    <n v="9.1999999999999993"/>
    <x v="235"/>
  </r>
  <r>
    <n v="14"/>
    <n v="22"/>
    <n v="0"/>
    <n v="18"/>
    <n v="1"/>
    <n v="0"/>
    <x v="11"/>
    <x v="14"/>
    <s v="NHPC"/>
    <n v="505"/>
    <n v="7.6"/>
    <x v="236"/>
  </r>
  <r>
    <n v="10"/>
    <n v="20"/>
    <n v="2"/>
    <n v="3"/>
    <n v="1"/>
    <n v="0"/>
    <x v="7"/>
    <x v="9"/>
    <s v="Maha Transco â€“ Maharashtra State Electricity Transmission Co, Ltd."/>
    <n v="362"/>
    <n v="7.9"/>
    <x v="237"/>
  </r>
  <r>
    <n v="20"/>
    <n v="22"/>
    <n v="1"/>
    <n v="5"/>
    <n v="12"/>
    <n v="0"/>
    <x v="0"/>
    <x v="8"/>
    <s v="Maha Transco â€“ Maharashtra State Electricity Transmission Co, Ltd."/>
    <n v="528"/>
    <n v="8.4"/>
    <x v="238"/>
  </r>
  <r>
    <n v="9"/>
    <n v="21"/>
    <n v="0"/>
    <n v="17"/>
    <n v="1"/>
    <n v="0"/>
    <x v="6"/>
    <x v="20"/>
    <s v="Adani Power Ltd."/>
    <n v="387"/>
    <n v="9.3000000000000007"/>
    <x v="239"/>
  </r>
  <r>
    <n v="8"/>
    <n v="20"/>
    <n v="0"/>
    <n v="0"/>
    <n v="1"/>
    <n v="0"/>
    <x v="9"/>
    <x v="14"/>
    <s v="Guj Ind Power"/>
    <n v="334"/>
    <n v="7.6"/>
    <x v="240"/>
  </r>
  <r>
    <n v="12"/>
    <n v="22"/>
    <n v="2"/>
    <n v="17"/>
    <n v="1"/>
    <n v="0"/>
    <x v="7"/>
    <x v="9"/>
    <s v="Toshiba Transmission &amp; Distribution Systems (India) Pvt. Ltd."/>
    <n v="474"/>
    <n v="7.9"/>
    <x v="241"/>
  </r>
  <r>
    <n v="0"/>
    <n v="22"/>
    <n v="3"/>
    <n v="9"/>
    <n v="1"/>
    <n v="0"/>
    <x v="11"/>
    <x v="13"/>
    <s v="Jaiprakash Power"/>
    <n v="394"/>
    <n v="0"/>
    <x v="24"/>
  </r>
  <r>
    <n v="16"/>
    <n v="23"/>
    <n v="1"/>
    <n v="5"/>
    <n v="12"/>
    <n v="0"/>
    <x v="1"/>
    <x v="30"/>
    <s v="Toshiba Transmission &amp; Distribution Systems (India) Pvt. Ltd."/>
    <n v="519"/>
    <n v="7.7"/>
    <x v="232"/>
  </r>
  <r>
    <n v="23"/>
    <n v="22"/>
    <n v="2"/>
    <n v="14"/>
    <n v="1"/>
    <n v="0"/>
    <x v="11"/>
    <x v="6"/>
    <s v="NTPC Pvt. Ltd."/>
    <n v="530"/>
    <n v="0"/>
    <x v="24"/>
  </r>
  <r>
    <n v="20"/>
    <n v="23"/>
    <n v="3"/>
    <n v="19"/>
    <n v="1"/>
    <n v="0"/>
    <x v="2"/>
    <x v="1"/>
    <s v="Indowind Energy"/>
    <n v="569"/>
    <n v="8.3000000000000007"/>
    <x v="242"/>
  </r>
  <r>
    <n v="11"/>
    <n v="22"/>
    <n v="2"/>
    <n v="19"/>
    <n v="1"/>
    <n v="0"/>
    <x v="2"/>
    <x v="3"/>
    <s v="Indowind Energy"/>
    <n v="420"/>
    <n v="8.9"/>
    <x v="243"/>
  </r>
  <r>
    <n v="23"/>
    <n v="23"/>
    <n v="0"/>
    <n v="9"/>
    <n v="12"/>
    <n v="0"/>
    <x v="6"/>
    <x v="32"/>
    <s v="unknown"/>
    <n v="607"/>
    <n v="9.1999999999999993"/>
    <x v="244"/>
  </r>
  <r>
    <n v="20"/>
    <n v="23"/>
    <n v="3"/>
    <n v="7"/>
    <n v="1"/>
    <n v="0"/>
    <x v="11"/>
    <x v="9"/>
    <s v="Reliance Power"/>
    <n v="478"/>
    <n v="7.9"/>
    <x v="245"/>
  </r>
  <r>
    <n v="19"/>
    <n v="23"/>
    <n v="1"/>
    <n v="15"/>
    <n v="0"/>
    <n v="0"/>
    <x v="1"/>
    <x v="5"/>
    <s v="adani power ltd."/>
    <n v="533"/>
    <n v="7.7"/>
    <x v="246"/>
  </r>
  <r>
    <n v="22"/>
    <n v="23"/>
    <n v="0"/>
    <n v="15"/>
    <n v="1"/>
    <n v="0"/>
    <x v="8"/>
    <x v="16"/>
    <s v="reliance power"/>
    <n v="691"/>
    <n v="8.1999999999999993"/>
    <x v="247"/>
  </r>
  <r>
    <n v="8"/>
    <n v="20"/>
    <n v="0"/>
    <n v="19"/>
    <n v="1"/>
    <n v="0"/>
    <x v="5"/>
    <x v="4"/>
    <s v="Ringfeder Power Transmission India Pvt. Ltd."/>
    <n v="501"/>
    <n v="8.6999999999999993"/>
    <x v="248"/>
  </r>
  <r>
    <n v="16"/>
    <n v="22"/>
    <n v="0"/>
    <n v="7"/>
    <n v="0"/>
    <n v="0"/>
    <x v="4"/>
    <x v="13"/>
    <s v="NTPC Pvt. Ltd."/>
    <n v="422"/>
    <n v="9.1999999999999993"/>
    <x v="249"/>
  </r>
  <r>
    <n v="21"/>
    <n v="23"/>
    <n v="3"/>
    <n v="7"/>
    <n v="1"/>
    <n v="0"/>
    <x v="3"/>
    <x v="7"/>
    <s v="KEC International"/>
    <n v="485"/>
    <n v="7.8"/>
    <x v="250"/>
  </r>
  <r>
    <n v="0"/>
    <n v="23"/>
    <n v="1"/>
    <n v="11"/>
    <n v="12"/>
    <n v="0"/>
    <x v="12"/>
    <x v="16"/>
    <s v="JSW Energy Ltd."/>
    <n v="665"/>
    <n v="8.1999999999999993"/>
    <x v="251"/>
  </r>
  <r>
    <n v="9"/>
    <n v="22"/>
    <n v="3"/>
    <n v="3"/>
    <n v="1"/>
    <n v="0"/>
    <x v="11"/>
    <x v="0"/>
    <s v="Jyoti Structure"/>
    <n v="395"/>
    <n v="8.1"/>
    <x v="178"/>
  </r>
  <r>
    <n v="16"/>
    <n v="22"/>
    <n v="3"/>
    <n v="14"/>
    <n v="12"/>
    <n v="0"/>
    <x v="12"/>
    <x v="17"/>
    <s v="NLC India"/>
    <n v="719"/>
    <n v="8.8000000000000007"/>
    <x v="252"/>
  </r>
  <r>
    <n v="14"/>
    <n v="22"/>
    <n v="2"/>
    <n v="6"/>
    <n v="12"/>
    <n v="0"/>
    <x v="9"/>
    <x v="15"/>
    <s v="Ringfeder Power Transmission India Pvt. Ltd."/>
    <n v="577"/>
    <n v="9.3000000000000007"/>
    <x v="253"/>
  </r>
  <r>
    <n v="7"/>
    <n v="17"/>
    <n v="1"/>
    <n v="18"/>
    <n v="7"/>
    <n v="0"/>
    <x v="2"/>
    <x v="15"/>
    <s v="SJVN Ltd."/>
    <n v="536"/>
    <n v="9.3000000000000007"/>
    <x v="254"/>
  </r>
  <r>
    <n v="6"/>
    <n v="19"/>
    <n v="3"/>
    <n v="20"/>
    <n v="7"/>
    <n v="0"/>
    <x v="2"/>
    <x v="29"/>
    <s v="NHPC"/>
    <n v="497"/>
    <n v="9.3000000000000007"/>
    <x v="255"/>
  </r>
  <r>
    <n v="20"/>
    <n v="0"/>
    <n v="1"/>
    <n v="3"/>
    <n v="1"/>
    <n v="0"/>
    <x v="2"/>
    <x v="17"/>
    <s v="Power Grid Corp"/>
    <n v="557"/>
    <n v="8.8000000000000007"/>
    <x v="256"/>
  </r>
  <r>
    <n v="20"/>
    <n v="23"/>
    <n v="0"/>
    <n v="11"/>
    <n v="1"/>
    <n v="0"/>
    <x v="2"/>
    <x v="17"/>
    <s v="Jyoti Structure"/>
    <n v="520"/>
    <n v="8.8000000000000007"/>
    <x v="51"/>
  </r>
  <r>
    <n v="23"/>
    <n v="23"/>
    <n v="1"/>
    <n v="4"/>
    <n v="0"/>
    <n v="0"/>
    <x v="7"/>
    <x v="23"/>
    <s v="TransRail Lighting"/>
    <n v="426"/>
    <n v="7.8"/>
    <x v="257"/>
  </r>
  <r>
    <n v="18"/>
    <n v="22"/>
    <n v="0"/>
    <n v="21"/>
    <n v="1"/>
    <n v="0"/>
    <x v="3"/>
    <x v="5"/>
    <s v="Orient Green"/>
    <n v="554"/>
    <n v="7.7"/>
    <x v="258"/>
  </r>
  <r>
    <n v="0"/>
    <n v="23"/>
    <n v="1"/>
    <n v="12"/>
    <n v="1"/>
    <n v="0"/>
    <x v="7"/>
    <x v="15"/>
    <s v="GE T&amp;D India Limited"/>
    <n v="587"/>
    <n v="9.3000000000000007"/>
    <x v="259"/>
  </r>
  <r>
    <n v="19"/>
    <n v="23"/>
    <n v="2"/>
    <n v="22"/>
    <n v="1"/>
    <n v="0"/>
    <x v="3"/>
    <x v="10"/>
    <s v="CESC"/>
    <n v="0"/>
    <n v="8.5"/>
    <x v="24"/>
  </r>
  <r>
    <n v="5"/>
    <n v="20"/>
    <n v="0"/>
    <n v="8"/>
    <n v="1"/>
    <n v="0"/>
    <x v="10"/>
    <x v="6"/>
    <s v="L&amp;T Transmission &amp; Distribution"/>
    <n v="311"/>
    <n v="9.1"/>
    <x v="260"/>
  </r>
  <r>
    <n v="19"/>
    <n v="22"/>
    <n v="1"/>
    <n v="13"/>
    <n v="1"/>
    <n v="0"/>
    <x v="9"/>
    <x v="33"/>
    <s v="Sterlite Power Transmission Ltd"/>
    <n v="429"/>
    <n v="0"/>
    <x v="261"/>
  </r>
  <r>
    <n v="16"/>
    <n v="23"/>
    <n v="0"/>
    <n v="9"/>
    <n v="1"/>
    <n v="0"/>
    <x v="8"/>
    <x v="14"/>
    <s v="Reliance Power"/>
    <n v="376"/>
    <n v="7.6"/>
    <x v="262"/>
  </r>
  <r>
    <n v="22"/>
    <n v="22"/>
    <n v="0"/>
    <n v="9"/>
    <n v="1"/>
    <n v="0"/>
    <x v="6"/>
    <x v="4"/>
    <s v="Tata Power Company Ltd."/>
    <n v="574"/>
    <n v="8.6999999999999993"/>
    <x v="263"/>
  </r>
  <r>
    <n v="8"/>
    <n v="0"/>
    <n v="0"/>
    <n v="0"/>
    <n v="1"/>
    <n v="0"/>
    <x v="6"/>
    <x v="0"/>
    <s v="SJVN Ltd."/>
    <n v="589"/>
    <n v="8.1"/>
    <x v="264"/>
  </r>
  <r>
    <n v="11"/>
    <n v="23"/>
    <n v="2"/>
    <n v="21"/>
    <n v="1"/>
    <n v="0"/>
    <x v="3"/>
    <x v="8"/>
    <s v="GE T&amp;D India Limited"/>
    <n v="669"/>
    <n v="8.4"/>
    <x v="265"/>
  </r>
  <r>
    <n v="18"/>
    <n v="23"/>
    <n v="3"/>
    <n v="0"/>
    <n v="1"/>
    <n v="0"/>
    <x v="7"/>
    <x v="20"/>
    <s v="JSW Energy Ltd."/>
    <n v="771"/>
    <n v="8.8000000000000007"/>
    <x v="266"/>
  </r>
  <r>
    <n v="19"/>
    <n v="23"/>
    <n v="0"/>
    <n v="9"/>
    <n v="1"/>
    <n v="0"/>
    <x v="6"/>
    <x v="15"/>
    <s v="SJVN Ltd."/>
    <n v="477"/>
    <n v="9.3000000000000007"/>
    <x v="267"/>
  </r>
  <r>
    <n v="0"/>
    <n v="22"/>
    <n v="3"/>
    <n v="21"/>
    <n v="1"/>
    <n v="0"/>
    <x v="4"/>
    <x v="3"/>
    <s v="Sunil Hitech Eng"/>
    <n v="742"/>
    <n v="8.9"/>
    <x v="268"/>
  </r>
  <r>
    <n v="6"/>
    <n v="22"/>
    <n v="1"/>
    <n v="15"/>
    <n v="1"/>
    <n v="0"/>
    <x v="0"/>
    <x v="6"/>
    <s v="JSW Energy Ltd."/>
    <n v="513"/>
    <n v="9.1"/>
    <x v="55"/>
  </r>
  <r>
    <n v="21"/>
    <n v="22"/>
    <n v="0"/>
    <n v="22"/>
    <n v="1"/>
    <n v="0"/>
    <x v="2"/>
    <x v="9"/>
    <s v="Bonfiglioli Transmission Pvt. Ltd."/>
    <n v="539"/>
    <n v="7.9"/>
    <x v="269"/>
  </r>
  <r>
    <n v="20"/>
    <n v="22"/>
    <n v="3"/>
    <n v="7"/>
    <n v="12"/>
    <n v="0"/>
    <x v="5"/>
    <x v="14"/>
    <s v="Reliance Power"/>
    <n v="626"/>
    <n v="7.6"/>
    <x v="270"/>
  </r>
  <r>
    <n v="0"/>
    <n v="20"/>
    <n v="0"/>
    <n v="20"/>
    <n v="1"/>
    <n v="0"/>
    <x v="9"/>
    <x v="15"/>
    <s v="Torrent Power Ltd."/>
    <n v="617"/>
    <n v="9.3000000000000007"/>
    <x v="271"/>
  </r>
  <r>
    <n v="17"/>
    <n v="23"/>
    <n v="1"/>
    <n v="17"/>
    <n v="1"/>
    <n v="0"/>
    <x v="3"/>
    <x v="32"/>
    <s v="KEC International"/>
    <n v="618"/>
    <n v="9.1999999999999993"/>
    <x v="272"/>
  </r>
  <r>
    <n v="21"/>
    <n v="23"/>
    <n v="1"/>
    <n v="9"/>
    <n v="1"/>
    <n v="0"/>
    <x v="6"/>
    <x v="12"/>
    <s v="TransRail Lighting"/>
    <n v="441"/>
    <n v="8.6999999999999993"/>
    <x v="273"/>
  </r>
  <r>
    <n v="20"/>
    <n v="23"/>
    <n v="0"/>
    <n v="15"/>
    <n v="12"/>
    <n v="0"/>
    <x v="2"/>
    <x v="13"/>
    <s v="Bonfiglioli Transmission Pvt. Ltd."/>
    <n v="749"/>
    <n v="9.1999999999999993"/>
    <x v="274"/>
  </r>
  <r>
    <n v="21"/>
    <n v="23"/>
    <n v="0"/>
    <n v="12"/>
    <n v="1"/>
    <n v="0"/>
    <x v="9"/>
    <x v="13"/>
    <s v="Optibelt Power Transmission India Private Limited"/>
    <n v="501"/>
    <n v="9.1999999999999993"/>
    <x v="275"/>
  </r>
  <r>
    <n v="8"/>
    <n v="21"/>
    <n v="0"/>
    <n v="17"/>
    <n v="7"/>
    <n v="0"/>
    <x v="1"/>
    <x v="17"/>
    <s v="Jyoti Structure"/>
    <n v="382"/>
    <n v="8.8000000000000007"/>
    <x v="96"/>
  </r>
  <r>
    <n v="18"/>
    <n v="23"/>
    <n v="3"/>
    <n v="4"/>
    <n v="1"/>
    <n v="0"/>
    <x v="6"/>
    <x v="6"/>
    <s v="L&amp;T Transmission &amp; Distribution"/>
    <n v="413"/>
    <n v="9.1"/>
    <x v="276"/>
  </r>
  <r>
    <n v="20"/>
    <n v="22"/>
    <n v="3"/>
    <n v="6"/>
    <n v="1"/>
    <n v="0"/>
    <x v="5"/>
    <x v="8"/>
    <s v="Toshiba Transmission &amp; Distribution Systems (India) Pvt. Ltd."/>
    <n v="414"/>
    <n v="8.4"/>
    <x v="277"/>
  </r>
  <r>
    <n v="23"/>
    <n v="22"/>
    <n v="0"/>
    <n v="21"/>
    <n v="1"/>
    <n v="0"/>
    <x v="11"/>
    <x v="19"/>
    <s v="Kalpataru Power"/>
    <n v="603"/>
    <n v="7.4"/>
    <x v="278"/>
  </r>
  <r>
    <n v="5"/>
    <n v="23"/>
    <n v="2"/>
    <n v="21"/>
    <n v="7"/>
    <n v="0"/>
    <x v="8"/>
    <x v="14"/>
    <s v="Adani Power Ltd."/>
    <n v="590"/>
    <n v="7.6"/>
    <x v="279"/>
  </r>
  <r>
    <n v="10"/>
    <n v="22"/>
    <n v="0"/>
    <n v="4"/>
    <n v="1"/>
    <n v="0"/>
    <x v="2"/>
    <x v="6"/>
    <s v="KEC International"/>
    <n v="332"/>
    <n v="9.1"/>
    <x v="280"/>
  </r>
  <r>
    <n v="6"/>
    <n v="18"/>
    <n v="3"/>
    <n v="12"/>
    <n v="7"/>
    <n v="0"/>
    <x v="10"/>
    <x v="7"/>
    <s v="Maha Transco â€“ Maharashtra State Electricity Transmission Co, Ltd."/>
    <n v="452"/>
    <n v="7.8"/>
    <x v="281"/>
  </r>
  <r>
    <n v="17"/>
    <n v="23"/>
    <n v="1"/>
    <n v="5"/>
    <n v="1"/>
    <n v="0"/>
    <x v="7"/>
    <x v="3"/>
    <s v="Unitech Power Transmission Ltd."/>
    <n v="437"/>
    <n v="8.9"/>
    <x v="282"/>
  </r>
  <r>
    <n v="17"/>
    <n v="22"/>
    <n v="1"/>
    <n v="4"/>
    <n v="1"/>
    <n v="0"/>
    <x v="5"/>
    <x v="17"/>
    <s v="Torrent Power Ltd."/>
    <n v="392"/>
    <n v="8.8000000000000007"/>
    <x v="283"/>
  </r>
  <r>
    <n v="14"/>
    <n v="22"/>
    <n v="3"/>
    <n v="20"/>
    <n v="12"/>
    <n v="0"/>
    <x v="2"/>
    <x v="4"/>
    <s v="unknown"/>
    <n v="752"/>
    <n v="8.6999999999999993"/>
    <x v="284"/>
  </r>
  <r>
    <n v="14"/>
    <n v="22"/>
    <n v="0"/>
    <n v="6"/>
    <n v="1"/>
    <n v="0"/>
    <x v="6"/>
    <x v="17"/>
    <s v="TransRail Lighting"/>
    <n v="0"/>
    <n v="8.8000000000000007"/>
    <x v="285"/>
  </r>
  <r>
    <n v="16"/>
    <n v="23"/>
    <n v="1"/>
    <n v="19"/>
    <n v="1"/>
    <n v="0"/>
    <x v="0"/>
    <x v="10"/>
    <s v="Ratnagiri Gas and Power Pvt. Ltd. (RGPPL)"/>
    <n v="635"/>
    <n v="8.5"/>
    <x v="286"/>
  </r>
  <r>
    <n v="14"/>
    <n v="22"/>
    <n v="1"/>
    <n v="22"/>
    <n v="1"/>
    <n v="0"/>
    <x v="4"/>
    <x v="0"/>
    <s v="Jaiprakash Power"/>
    <n v="566"/>
    <n v="8.1"/>
    <x v="287"/>
  </r>
  <r>
    <n v="15"/>
    <n v="23"/>
    <n v="1"/>
    <n v="6"/>
    <n v="0"/>
    <n v="0"/>
    <x v="9"/>
    <x v="8"/>
    <s v="unknown"/>
    <n v="378"/>
    <n v="8.4"/>
    <x v="288"/>
  </r>
  <r>
    <n v="17"/>
    <n v="22"/>
    <n v="3"/>
    <n v="11"/>
    <n v="1"/>
    <n v="0"/>
    <x v="5"/>
    <x v="8"/>
    <s v="Power Grid Corp"/>
    <n v="535"/>
    <n v="8.4"/>
    <x v="289"/>
  </r>
  <r>
    <n v="19"/>
    <n v="23"/>
    <n v="0"/>
    <n v="21"/>
    <n v="1"/>
    <n v="0"/>
    <x v="8"/>
    <x v="3"/>
    <s v="torrent power ltd."/>
    <s v="nan "/>
    <n v="8.9"/>
    <x v="290"/>
  </r>
  <r>
    <n v="15"/>
    <n v="22"/>
    <n v="1"/>
    <n v="21"/>
    <n v="1"/>
    <n v="0"/>
    <x v="12"/>
    <x v="6"/>
    <s v="Orient Green"/>
    <n v="553"/>
    <n v="9.1"/>
    <x v="291"/>
  </r>
  <r>
    <n v="21"/>
    <n v="22"/>
    <n v="1"/>
    <n v="8"/>
    <n v="0"/>
    <n v="0"/>
    <x v="8"/>
    <x v="8"/>
    <s v="Orient Green"/>
    <n v="502"/>
    <n v="8.4"/>
    <x v="292"/>
  </r>
  <r>
    <n v="7"/>
    <n v="23"/>
    <n v="1"/>
    <n v="5"/>
    <n v="7"/>
    <n v="0"/>
    <x v="4"/>
    <x v="4"/>
    <s v="Maha Transco â€“ Maharashtra State Electricity Transmission Co, Ltd."/>
    <n v="568"/>
    <n v="8.6999999999999993"/>
    <x v="293"/>
  </r>
  <r>
    <n v="18"/>
    <n v="22"/>
    <n v="0"/>
    <n v="18"/>
    <n v="1"/>
    <n v="0"/>
    <x v="10"/>
    <x v="0"/>
    <s v="NTPC Pvt. Ltd."/>
    <n v="468"/>
    <n v="8.1"/>
    <x v="294"/>
  </r>
  <r>
    <n v="10"/>
    <n v="21"/>
    <n v="1"/>
    <n v="8"/>
    <n v="1"/>
    <n v="0"/>
    <x v="0"/>
    <x v="6"/>
    <s v="Ratnagiri Gas and Power Pvt. Ltd. (RGPPL)"/>
    <n v="462"/>
    <n v="9.1"/>
    <x v="295"/>
  </r>
  <r>
    <n v="5"/>
    <n v="21"/>
    <n v="3"/>
    <n v="17"/>
    <n v="1"/>
    <n v="0"/>
    <x v="12"/>
    <x v="17"/>
    <s v="jaiprakash power"/>
    <n v="438"/>
    <n v="8.8000000000000007"/>
    <x v="24"/>
  </r>
  <r>
    <n v="5"/>
    <n v="19"/>
    <n v="1"/>
    <n v="0"/>
    <n v="0"/>
    <n v="0"/>
    <x v="2"/>
    <x v="10"/>
    <s v="Adani Power Ltd."/>
    <n v="516"/>
    <n v="8.5"/>
    <x v="296"/>
  </r>
  <r>
    <n v="22"/>
    <n v="22"/>
    <n v="2"/>
    <n v="18"/>
    <n v="1"/>
    <n v="0"/>
    <x v="2"/>
    <x v="0"/>
    <s v="JSW Energy Ltd."/>
    <n v="735"/>
    <n v="8.1"/>
    <x v="297"/>
  </r>
  <r>
    <n v="0"/>
    <n v="22"/>
    <n v="3"/>
    <n v="10"/>
    <n v="0"/>
    <n v="0"/>
    <x v="3"/>
    <x v="15"/>
    <s v="Torrent Power Ltd."/>
    <n v="0"/>
    <n v="9.3000000000000007"/>
    <x v="298"/>
  </r>
  <r>
    <n v="5"/>
    <n v="19"/>
    <n v="2"/>
    <n v="8"/>
    <n v="1"/>
    <n v="0"/>
    <x v="0"/>
    <x v="1"/>
    <s v="bonfiglioli transmission pvt. ltd."/>
    <n v="308"/>
    <n v="8.3000000000000007"/>
    <x v="299"/>
  </r>
  <r>
    <n v="18"/>
    <n v="23"/>
    <n v="0"/>
    <n v="4"/>
    <n v="1"/>
    <n v="0"/>
    <x v="6"/>
    <x v="17"/>
    <s v="Unitech Power Transmission Ltd."/>
    <n v="439"/>
    <n v="8.8000000000000007"/>
    <x v="300"/>
  </r>
  <r>
    <n v="0"/>
    <n v="19"/>
    <n v="2"/>
    <n v="8"/>
    <n v="7"/>
    <n v="0"/>
    <x v="3"/>
    <x v="4"/>
    <s v="Sterlite Power Transmission Ltd"/>
    <n v="349"/>
    <n v="8.6999999999999993"/>
    <x v="24"/>
  </r>
  <r>
    <n v="23"/>
    <n v="22"/>
    <n v="1"/>
    <n v="8"/>
    <n v="12"/>
    <n v="0"/>
    <x v="12"/>
    <x v="8"/>
    <s v="Torrent Power Ltd."/>
    <n v="753"/>
    <n v="8.4"/>
    <x v="301"/>
  </r>
  <r>
    <n v="19"/>
    <n v="22"/>
    <n v="1"/>
    <n v="17"/>
    <n v="1"/>
    <n v="0"/>
    <x v="5"/>
    <x v="16"/>
    <s v="JSW Energy Ltd."/>
    <n v="513"/>
    <n v="8.1999999999999993"/>
    <x v="302"/>
  </r>
  <r>
    <n v="21"/>
    <n v="22"/>
    <n v="2"/>
    <n v="3"/>
    <n v="1"/>
    <n v="0"/>
    <x v="1"/>
    <x v="13"/>
    <s v="Jaiprakash Power"/>
    <n v="601"/>
    <n v="9.1999999999999993"/>
    <x v="303"/>
  </r>
  <r>
    <n v="9"/>
    <n v="23"/>
    <n v="0"/>
    <n v="5"/>
    <n v="0"/>
    <n v="0"/>
    <x v="0"/>
    <x v="20"/>
    <s v="unknown"/>
    <n v="399"/>
    <n v="7.6"/>
    <x v="304"/>
  </r>
  <r>
    <n v="16"/>
    <n v="22"/>
    <n v="2"/>
    <n v="4"/>
    <n v="12"/>
    <n v="0"/>
    <x v="3"/>
    <x v="15"/>
    <s v="Unitech Power Transmission Ltd."/>
    <n v="0"/>
    <n v="9.3000000000000007"/>
    <x v="305"/>
  </r>
  <r>
    <n v="13"/>
    <n v="23"/>
    <n v="2"/>
    <n v="14"/>
    <n v="12"/>
    <n v="0"/>
    <x v="3"/>
    <x v="14"/>
    <s v="KEC International"/>
    <n v="591"/>
    <n v="7.6"/>
    <x v="306"/>
  </r>
  <r>
    <n v="8"/>
    <n v="17"/>
    <n v="3"/>
    <n v="9"/>
    <n v="1"/>
    <n v="0"/>
    <x v="5"/>
    <x v="7"/>
    <s v="Indowind Energy"/>
    <n v="350"/>
    <n v="7.8"/>
    <x v="307"/>
  </r>
  <r>
    <n v="7"/>
    <n v="22"/>
    <n v="3"/>
    <n v="7"/>
    <n v="1"/>
    <n v="0"/>
    <x v="2"/>
    <x v="5"/>
    <s v="Sunil Hitech Eng"/>
    <n v="313"/>
    <n v="7.7"/>
    <x v="308"/>
  </r>
  <r>
    <n v="16"/>
    <n v="22"/>
    <n v="0"/>
    <n v="16"/>
    <n v="1"/>
    <n v="0"/>
    <x v="9"/>
    <x v="1"/>
    <s v="Torrent Power Ltd."/>
    <n v="472"/>
    <n v="8.3000000000000007"/>
    <x v="309"/>
  </r>
  <r>
    <n v="20"/>
    <n v="22"/>
    <n v="2"/>
    <n v="9"/>
    <n v="1"/>
    <n v="0"/>
    <x v="1"/>
    <x v="17"/>
    <s v="Sunil Hitech Eng"/>
    <n v="673"/>
    <n v="8.8000000000000007"/>
    <x v="310"/>
  </r>
  <r>
    <n v="20"/>
    <n v="23"/>
    <n v="2"/>
    <n v="6"/>
    <n v="1"/>
    <n v="0"/>
    <x v="4"/>
    <x v="18"/>
    <s v="CESC"/>
    <n v="451"/>
    <n v="8.3000000000000007"/>
    <x v="311"/>
  </r>
  <r>
    <n v="19"/>
    <n v="23"/>
    <n v="0"/>
    <n v="20"/>
    <n v="1"/>
    <n v="0"/>
    <x v="9"/>
    <x v="6"/>
    <s v="SJVN Ltd."/>
    <n v="651"/>
    <n v="9.1"/>
    <x v="312"/>
  </r>
  <r>
    <n v="13"/>
    <n v="23"/>
    <n v="0"/>
    <n v="6"/>
    <n v="12"/>
    <n v="0"/>
    <x v="3"/>
    <x v="3"/>
    <s v="unknown"/>
    <n v="612"/>
    <n v="8.9"/>
    <x v="313"/>
  </r>
  <r>
    <n v="8"/>
    <n v="23"/>
    <n v="0"/>
    <n v="22"/>
    <n v="1"/>
    <n v="0"/>
    <x v="6"/>
    <x v="4"/>
    <s v="NHPC"/>
    <n v="0"/>
    <n v="8.6999999999999993"/>
    <x v="314"/>
  </r>
  <r>
    <n v="23"/>
    <n v="22"/>
    <n v="3"/>
    <n v="7"/>
    <n v="1"/>
    <n v="0"/>
    <x v="1"/>
    <x v="4"/>
    <s v="Optibelt Power Transmission India Private Limited"/>
    <n v="479"/>
    <n v="8.6999999999999993"/>
    <x v="315"/>
  </r>
  <r>
    <n v="20"/>
    <n v="22"/>
    <n v="0"/>
    <n v="0"/>
    <n v="1"/>
    <n v="0"/>
    <x v="11"/>
    <x v="34"/>
    <s v="NLC India"/>
    <n v="0"/>
    <n v="9.1"/>
    <x v="316"/>
  </r>
  <r>
    <n v="18"/>
    <n v="22"/>
    <n v="2"/>
    <n v="10"/>
    <n v="1"/>
    <n v="0"/>
    <x v="0"/>
    <x v="13"/>
    <s v="reliance power"/>
    <n v="405"/>
    <n v="9.1999999999999993"/>
    <x v="317"/>
  </r>
  <r>
    <n v="0"/>
    <n v="22"/>
    <n v="3"/>
    <n v="13"/>
    <n v="1"/>
    <n v="0"/>
    <x v="5"/>
    <x v="34"/>
    <s v="Torrent Power Ltd."/>
    <n v="546"/>
    <n v="9.1"/>
    <x v="318"/>
  </r>
  <r>
    <n v="5"/>
    <n v="18"/>
    <n v="3"/>
    <n v="13"/>
    <n v="1"/>
    <n v="0"/>
    <x v="12"/>
    <x v="14"/>
    <s v="CESC"/>
    <n v="391"/>
    <n v="7.6"/>
    <x v="319"/>
  </r>
  <r>
    <n v="19"/>
    <n v="23"/>
    <n v="2"/>
    <n v="14"/>
    <n v="1"/>
    <n v="0"/>
    <x v="2"/>
    <x v="16"/>
    <s v="Sunil Hitech Eng"/>
    <n v="512"/>
    <n v="8.1999999999999993"/>
    <x v="226"/>
  </r>
  <r>
    <n v="14"/>
    <n v="22"/>
    <n v="1"/>
    <n v="3"/>
    <n v="1"/>
    <n v="0"/>
    <x v="11"/>
    <x v="9"/>
    <s v="NTPC Pvt. Ltd."/>
    <n v="300"/>
    <n v="7.9"/>
    <x v="320"/>
  </r>
  <r>
    <n v="10"/>
    <n v="22"/>
    <n v="0"/>
    <n v="12"/>
    <n v="7"/>
    <n v="0"/>
    <x v="0"/>
    <x v="19"/>
    <s v="Orient Green"/>
    <n v="406"/>
    <n v="7.4"/>
    <x v="24"/>
  </r>
  <r>
    <n v="0"/>
    <n v="23"/>
    <n v="0"/>
    <n v="16"/>
    <n v="12"/>
    <n v="0"/>
    <x v="8"/>
    <x v="14"/>
    <s v="Ratnagiri Gas and Power Pvt. Ltd. (RGPPL)"/>
    <n v="533"/>
    <n v="7.6"/>
    <x v="321"/>
  </r>
  <r>
    <n v="8"/>
    <n v="18"/>
    <n v="3"/>
    <n v="8"/>
    <n v="1"/>
    <n v="0"/>
    <x v="6"/>
    <x v="14"/>
    <s v="NHPC"/>
    <n v="331"/>
    <n v="7.6"/>
    <x v="322"/>
  </r>
  <r>
    <n v="13"/>
    <n v="23"/>
    <n v="3"/>
    <n v="14"/>
    <n v="1"/>
    <n v="0"/>
    <x v="2"/>
    <x v="8"/>
    <s v="KEC International"/>
    <n v="685"/>
    <n v="8.4"/>
    <x v="323"/>
  </r>
  <r>
    <n v="0"/>
    <n v="23"/>
    <n v="2"/>
    <n v="10"/>
    <n v="0"/>
    <n v="0"/>
    <x v="11"/>
    <x v="19"/>
    <s v="Torrent Power Ltd."/>
    <n v="655"/>
    <n v="0"/>
    <x v="324"/>
  </r>
  <r>
    <n v="7"/>
    <n v="21"/>
    <n v="1"/>
    <n v="10"/>
    <n v="1"/>
    <n v="0"/>
    <x v="8"/>
    <x v="0"/>
    <s v="KEC International"/>
    <n v="477"/>
    <n v="8.1"/>
    <x v="325"/>
  </r>
  <r>
    <n v="13"/>
    <n v="23"/>
    <n v="1"/>
    <n v="4"/>
    <n v="1"/>
    <n v="0"/>
    <x v="8"/>
    <x v="14"/>
    <s v="Sterlite Power Transmission Ltd"/>
    <n v="513"/>
    <n v="7.6"/>
    <x v="326"/>
  </r>
  <r>
    <n v="7"/>
    <n v="20"/>
    <n v="0"/>
    <n v="0"/>
    <n v="1"/>
    <n v="0"/>
    <x v="0"/>
    <x v="1"/>
    <s v="Sterlite Power Transmission Ltd"/>
    <n v="328"/>
    <n v="8.3000000000000007"/>
    <x v="327"/>
  </r>
  <r>
    <n v="17"/>
    <n v="22"/>
    <n v="3"/>
    <n v="4"/>
    <n v="1"/>
    <n v="0"/>
    <x v="9"/>
    <x v="6"/>
    <s v="Optibelt Power Transmission India Private Limited"/>
    <n v="372"/>
    <n v="9.1"/>
    <x v="328"/>
  </r>
  <r>
    <n v="21"/>
    <n v="23"/>
    <n v="2"/>
    <n v="6"/>
    <n v="1"/>
    <n v="0"/>
    <x v="7"/>
    <x v="23"/>
    <s v="Reliance Power"/>
    <n v="0"/>
    <n v="7.8"/>
    <x v="329"/>
  </r>
  <r>
    <n v="10"/>
    <n v="22"/>
    <n v="2"/>
    <n v="0"/>
    <n v="1"/>
    <n v="0"/>
    <x v="12"/>
    <x v="3"/>
    <s v="unknown"/>
    <n v="578"/>
    <n v="8.9"/>
    <x v="330"/>
  </r>
  <r>
    <n v="8"/>
    <n v="23"/>
    <n v="1"/>
    <n v="19"/>
    <n v="1"/>
    <n v="0"/>
    <x v="3"/>
    <x v="14"/>
    <s v="TransRail Lighting"/>
    <n v="661"/>
    <n v="7.6"/>
    <x v="24"/>
  </r>
  <r>
    <n v="10"/>
    <n v="20"/>
    <n v="2"/>
    <n v="4"/>
    <n v="1"/>
    <n v="0"/>
    <x v="2"/>
    <x v="14"/>
    <s v="KEC International"/>
    <n v="467"/>
    <n v="7.6"/>
    <x v="331"/>
  </r>
  <r>
    <n v="23"/>
    <n v="23"/>
    <n v="0"/>
    <n v="21"/>
    <n v="1"/>
    <n v="0"/>
    <x v="12"/>
    <x v="3"/>
    <s v="KEC International"/>
    <n v="537"/>
    <n v="8.9"/>
    <x v="332"/>
  </r>
  <r>
    <n v="17"/>
    <n v="23"/>
    <n v="1"/>
    <n v="12"/>
    <n v="1"/>
    <n v="0"/>
    <x v="6"/>
    <x v="4"/>
    <s v="Jyoti Structure"/>
    <n v="496"/>
    <n v="8.6999999999999993"/>
    <x v="333"/>
  </r>
  <r>
    <n v="8"/>
    <n v="19"/>
    <n v="2"/>
    <n v="18"/>
    <n v="1"/>
    <n v="0"/>
    <x v="1"/>
    <x v="9"/>
    <s v="Jyoti Structure"/>
    <n v="432"/>
    <n v="7.9"/>
    <x v="334"/>
  </r>
  <r>
    <n v="14"/>
    <n v="22"/>
    <n v="0"/>
    <n v="8"/>
    <n v="0"/>
    <n v="0"/>
    <x v="7"/>
    <x v="4"/>
    <s v="Ratnagiri Gas and Power Pvt. Ltd. (RGPPL)"/>
    <n v="545"/>
    <n v="8.6999999999999993"/>
    <x v="335"/>
  </r>
  <r>
    <n v="17"/>
    <n v="23"/>
    <n v="2"/>
    <n v="14"/>
    <n v="12"/>
    <n v="0"/>
    <x v="3"/>
    <x v="19"/>
    <s v="Ratnagiri Gas and Power Pvt. Ltd. (RGPPL)"/>
    <n v="587"/>
    <n v="7.4"/>
    <x v="336"/>
  </r>
  <r>
    <n v="12"/>
    <n v="0"/>
    <n v="1"/>
    <n v="11"/>
    <n v="12"/>
    <n v="0"/>
    <x v="6"/>
    <x v="0"/>
    <s v="Adani Power Ltd."/>
    <n v="467"/>
    <n v="8.1"/>
    <x v="208"/>
  </r>
  <r>
    <n v="7"/>
    <n v="20"/>
    <n v="2"/>
    <n v="6"/>
    <n v="7"/>
    <n v="0"/>
    <x v="0"/>
    <x v="5"/>
    <s v="Toshiba Transmission &amp; Distribution Systems (India) Pvt. Ltd."/>
    <n v="473"/>
    <n v="7.7"/>
    <x v="337"/>
  </r>
  <r>
    <n v="11"/>
    <n v="22"/>
    <n v="3"/>
    <n v="6"/>
    <n v="12"/>
    <n v="0"/>
    <x v="3"/>
    <x v="15"/>
    <s v="NTPC Pvt. Ltd."/>
    <n v="561"/>
    <n v="9.3000000000000007"/>
    <x v="338"/>
  </r>
  <r>
    <n v="22"/>
    <n v="23"/>
    <n v="3"/>
    <n v="3"/>
    <n v="12"/>
    <n v="0"/>
    <x v="12"/>
    <x v="19"/>
    <s v="NTPC Pvt. Ltd."/>
    <n v="739"/>
    <n v="7.4"/>
    <x v="339"/>
  </r>
  <r>
    <n v="23"/>
    <n v="22"/>
    <n v="2"/>
    <n v="22"/>
    <n v="1"/>
    <n v="0"/>
    <x v="9"/>
    <x v="28"/>
    <s v="Reliance Energy"/>
    <n v="807"/>
    <n v="8.8000000000000007"/>
    <x v="340"/>
  </r>
  <r>
    <n v="8"/>
    <n v="20"/>
    <n v="3"/>
    <n v="14"/>
    <n v="7"/>
    <n v="0"/>
    <x v="0"/>
    <x v="14"/>
    <s v="Reliance Energy"/>
    <n v="499"/>
    <n v="7.6"/>
    <x v="341"/>
  </r>
  <r>
    <n v="23"/>
    <n v="23"/>
    <n v="3"/>
    <n v="18"/>
    <n v="1"/>
    <n v="0"/>
    <x v="11"/>
    <x v="8"/>
    <s v="KEC International"/>
    <n v="564"/>
    <n v="8.4"/>
    <x v="342"/>
  </r>
  <r>
    <n v="14"/>
    <n v="23"/>
    <n v="0"/>
    <n v="19"/>
    <n v="12"/>
    <n v="0"/>
    <x v="12"/>
    <x v="13"/>
    <s v="Reliance Power"/>
    <n v="534"/>
    <n v="9.1999999999999993"/>
    <x v="343"/>
  </r>
  <r>
    <n v="11"/>
    <n v="23"/>
    <n v="3"/>
    <n v="9"/>
    <n v="12"/>
    <n v="0"/>
    <x v="8"/>
    <x v="3"/>
    <s v="Kalpataru Power"/>
    <n v="610"/>
    <n v="8.9"/>
    <x v="344"/>
  </r>
  <r>
    <n v="22"/>
    <n v="22"/>
    <n v="0"/>
    <n v="20"/>
    <n v="1"/>
    <n v="0"/>
    <x v="3"/>
    <x v="17"/>
    <s v="CESC"/>
    <n v="654"/>
    <n v="8.8000000000000007"/>
    <x v="345"/>
  </r>
  <r>
    <n v="19"/>
    <n v="23"/>
    <n v="1"/>
    <n v="14"/>
    <n v="1"/>
    <n v="0"/>
    <x v="3"/>
    <x v="26"/>
    <s v="NTPC Pvt. Ltd."/>
    <n v="651"/>
    <n v="7.9"/>
    <x v="346"/>
  </r>
  <r>
    <n v="19"/>
    <n v="23"/>
    <n v="0"/>
    <n v="11"/>
    <n v="1"/>
    <n v="0"/>
    <x v="11"/>
    <x v="16"/>
    <s v="SJVN Ltd."/>
    <n v="565"/>
    <n v="8.1999999999999993"/>
    <x v="347"/>
  </r>
  <r>
    <n v="0"/>
    <n v="22"/>
    <n v="2"/>
    <n v="11"/>
    <n v="1"/>
    <n v="0"/>
    <x v="0"/>
    <x v="14"/>
    <s v="SJVN Ltd."/>
    <n v="538"/>
    <n v="7.6"/>
    <x v="348"/>
  </r>
  <r>
    <n v="10"/>
    <n v="17"/>
    <n v="2"/>
    <n v="22"/>
    <n v="7"/>
    <n v="0"/>
    <x v="1"/>
    <x v="31"/>
    <s v="Torrent Power Ltd."/>
    <n v="548"/>
    <n v="8.5"/>
    <x v="349"/>
  </r>
  <r>
    <n v="17"/>
    <n v="22"/>
    <n v="2"/>
    <n v="12"/>
    <n v="1"/>
    <n v="0"/>
    <x v="1"/>
    <x v="10"/>
    <s v="Optibelt Power Transmission India Private Limited"/>
    <n v="615"/>
    <n v="8.5"/>
    <x v="350"/>
  </r>
  <r>
    <n v="16"/>
    <n v="22"/>
    <n v="3"/>
    <n v="10"/>
    <n v="1"/>
    <n v="0"/>
    <x v="6"/>
    <x v="20"/>
    <s v="Maha Transco â€“ Maharashtra State Electricity Transmission Co, Ltd."/>
    <n v="580"/>
    <n v="8.5"/>
    <x v="351"/>
  </r>
  <r>
    <n v="19"/>
    <n v="22"/>
    <n v="3"/>
    <n v="6"/>
    <n v="12"/>
    <n v="0"/>
    <x v="12"/>
    <x v="19"/>
    <s v="Bonfiglioli Transmission Pvt. Ltd."/>
    <n v="501"/>
    <n v="0"/>
    <x v="352"/>
  </r>
  <r>
    <n v="5"/>
    <n v="19"/>
    <n v="2"/>
    <n v="7"/>
    <n v="1"/>
    <n v="0"/>
    <x v="3"/>
    <x v="1"/>
    <s v="Maha Transco â€“ Maharashtra State Electricity Transmission Co, Ltd."/>
    <n v="256"/>
    <n v="8.3000000000000007"/>
    <x v="353"/>
  </r>
  <r>
    <n v="7"/>
    <n v="21"/>
    <n v="0"/>
    <n v="6"/>
    <n v="1"/>
    <n v="0"/>
    <x v="8"/>
    <x v="29"/>
    <s v="Guj Ind Power"/>
    <n v="276"/>
    <n v="9.3000000000000007"/>
    <x v="354"/>
  </r>
  <r>
    <n v="12"/>
    <n v="23"/>
    <n v="2"/>
    <n v="9"/>
    <n v="1"/>
    <n v="0"/>
    <x v="7"/>
    <x v="3"/>
    <s v="GE T&amp;D India Limited"/>
    <n v="546"/>
    <n v="8.9"/>
    <x v="355"/>
  </r>
  <r>
    <n v="8"/>
    <n v="19"/>
    <n v="2"/>
    <n v="10"/>
    <n v="1"/>
    <n v="0"/>
    <x v="1"/>
    <x v="17"/>
    <s v="TransRail Lighting"/>
    <n v="407"/>
    <n v="8.8000000000000007"/>
    <x v="356"/>
  </r>
  <r>
    <n v="5"/>
    <n v="20"/>
    <n v="2"/>
    <n v="19"/>
    <n v="7"/>
    <n v="0"/>
    <x v="8"/>
    <x v="9"/>
    <s v="TransRail Lighting"/>
    <n v="658"/>
    <n v="7.9"/>
    <x v="357"/>
  </r>
  <r>
    <n v="19"/>
    <n v="23"/>
    <n v="0"/>
    <n v="0"/>
    <n v="0"/>
    <n v="0"/>
    <x v="0"/>
    <x v="6"/>
    <s v="l&amp;t transmission &amp; distribution"/>
    <n v="491"/>
    <n v="9.1"/>
    <x v="358"/>
  </r>
  <r>
    <n v="20"/>
    <n v="22"/>
    <n v="3"/>
    <n v="3"/>
    <n v="12"/>
    <n v="0"/>
    <x v="11"/>
    <x v="7"/>
    <s v="Guj Ind Power"/>
    <n v="0"/>
    <n v="7.8"/>
    <x v="359"/>
  </r>
  <r>
    <n v="8"/>
    <n v="17"/>
    <n v="1"/>
    <n v="20"/>
    <n v="7"/>
    <n v="0"/>
    <x v="12"/>
    <x v="0"/>
    <s v="Sunil Hitech Eng"/>
    <n v="634"/>
    <n v="8.1"/>
    <x v="170"/>
  </r>
  <r>
    <n v="22"/>
    <n v="23"/>
    <n v="3"/>
    <n v="7"/>
    <n v="1"/>
    <n v="0"/>
    <x v="2"/>
    <x v="7"/>
    <s v="NTPC Pvt. Ltd."/>
    <n v="578"/>
    <n v="7.8"/>
    <x v="360"/>
  </r>
  <r>
    <n v="14"/>
    <n v="22"/>
    <n v="0"/>
    <n v="21"/>
    <n v="12"/>
    <n v="0"/>
    <x v="1"/>
    <x v="4"/>
    <s v="Jyoti Structure"/>
    <n v="510"/>
    <n v="8.6999999999999993"/>
    <x v="361"/>
  </r>
  <r>
    <n v="0"/>
    <n v="22"/>
    <n v="2"/>
    <n v="21"/>
    <n v="1"/>
    <n v="0"/>
    <x v="3"/>
    <x v="15"/>
    <s v="ratnagiri gas and power pvt. ltd. (rgppl)"/>
    <n v="754"/>
    <n v="9.3000000000000007"/>
    <x v="362"/>
  </r>
  <r>
    <n v="20"/>
    <n v="23"/>
    <n v="1"/>
    <n v="8"/>
    <n v="12"/>
    <n v="0"/>
    <x v="10"/>
    <x v="15"/>
    <s v="CESC"/>
    <n v="536"/>
    <n v="9.3000000000000007"/>
    <x v="254"/>
  </r>
  <r>
    <n v="9"/>
    <n v="23"/>
    <n v="1"/>
    <n v="22"/>
    <n v="1"/>
    <n v="0"/>
    <x v="6"/>
    <x v="17"/>
    <s v="Sunil Hitech Eng"/>
    <n v="490"/>
    <n v="8.8000000000000007"/>
    <x v="363"/>
  </r>
  <r>
    <n v="18"/>
    <n v="22"/>
    <n v="0"/>
    <n v="6"/>
    <n v="0"/>
    <n v="0"/>
    <x v="11"/>
    <x v="3"/>
    <s v="unknown"/>
    <n v="557"/>
    <n v="8.9"/>
    <x v="364"/>
  </r>
  <r>
    <n v="0"/>
    <n v="22"/>
    <n v="0"/>
    <n v="20"/>
    <n v="1"/>
    <n v="0"/>
    <x v="7"/>
    <x v="6"/>
    <s v="Optibelt Power Transmission India Private Limited"/>
    <n v="410"/>
    <n v="9.1"/>
    <x v="316"/>
  </r>
  <r>
    <n v="15"/>
    <n v="22"/>
    <n v="3"/>
    <n v="6"/>
    <n v="1"/>
    <n v="0"/>
    <x v="6"/>
    <x v="10"/>
    <s v="Tata Power Company Ltd."/>
    <n v="414"/>
    <n v="8.5"/>
    <x v="365"/>
  </r>
  <r>
    <n v="18"/>
    <n v="22"/>
    <n v="0"/>
    <n v="7"/>
    <n v="1"/>
    <n v="0"/>
    <x v="3"/>
    <x v="20"/>
    <s v="TransRail Lighting"/>
    <n v="488"/>
    <n v="8.1"/>
    <x v="366"/>
  </r>
  <r>
    <n v="6"/>
    <n v="22"/>
    <n v="0"/>
    <n v="19"/>
    <n v="1"/>
    <n v="0"/>
    <x v="10"/>
    <x v="20"/>
    <s v="L&amp;T Transmission &amp; Distribution"/>
    <n v="432"/>
    <n v="7.8"/>
    <x v="367"/>
  </r>
  <r>
    <n v="17"/>
    <n v="22"/>
    <n v="3"/>
    <n v="7"/>
    <n v="1"/>
    <n v="0"/>
    <x v="8"/>
    <x v="10"/>
    <s v="Indowind Energy"/>
    <n v="552"/>
    <n v="8.5"/>
    <x v="368"/>
  </r>
  <r>
    <n v="11"/>
    <n v="22"/>
    <n v="1"/>
    <n v="12"/>
    <n v="1"/>
    <n v="0"/>
    <x v="8"/>
    <x v="1"/>
    <s v="GE T&amp;D India Limited"/>
    <n v="563"/>
    <n v="8.3000000000000007"/>
    <x v="369"/>
  </r>
  <r>
    <n v="20"/>
    <n v="23"/>
    <n v="3"/>
    <n v="20"/>
    <n v="12"/>
    <n v="0"/>
    <x v="4"/>
    <x v="7"/>
    <s v="JSW Energy Ltd."/>
    <n v="754"/>
    <n v="7.8"/>
    <x v="370"/>
  </r>
  <r>
    <n v="9"/>
    <n v="20"/>
    <n v="2"/>
    <n v="3"/>
    <n v="1"/>
    <n v="0"/>
    <x v="6"/>
    <x v="3"/>
    <s v="NTPC Pvt. Ltd."/>
    <n v="414"/>
    <n v="0"/>
    <x v="371"/>
  </r>
  <r>
    <n v="23"/>
    <n v="23"/>
    <n v="0"/>
    <n v="22"/>
    <n v="1"/>
    <n v="0"/>
    <x v="1"/>
    <x v="5"/>
    <s v="Toshiba Transmission &amp; Distribution Systems (India) Pvt. Ltd."/>
    <n v="563"/>
    <n v="7.7"/>
    <x v="372"/>
  </r>
  <r>
    <n v="5"/>
    <n v="18"/>
    <n v="3"/>
    <n v="3"/>
    <n v="1"/>
    <n v="0"/>
    <x v="11"/>
    <x v="5"/>
    <s v="Toshiba Transmission &amp; Distribution Systems (India) Pvt. Ltd."/>
    <n v="309"/>
    <n v="7.7"/>
    <x v="373"/>
  </r>
  <r>
    <n v="20"/>
    <n v="23"/>
    <n v="1"/>
    <n v="8"/>
    <n v="1"/>
    <n v="0"/>
    <x v="8"/>
    <x v="6"/>
    <s v="Bonfiglioli Transmission Pvt. Ltd."/>
    <n v="566"/>
    <n v="9.1"/>
    <x v="374"/>
  </r>
  <r>
    <n v="16"/>
    <n v="23"/>
    <n v="2"/>
    <n v="0"/>
    <n v="1"/>
    <n v="0"/>
    <x v="10"/>
    <x v="16"/>
    <s v="Reliance Energy"/>
    <n v="588"/>
    <n v="8.1999999999999993"/>
    <x v="375"/>
  </r>
  <r>
    <n v="18"/>
    <n v="23"/>
    <n v="1"/>
    <n v="16"/>
    <n v="0"/>
    <n v="0"/>
    <x v="4"/>
    <x v="4"/>
    <s v="Neueon Towers / Sujana Towers Ltd."/>
    <n v="463"/>
    <n v="8.6999999999999993"/>
    <x v="376"/>
  </r>
  <r>
    <n v="10"/>
    <n v="0"/>
    <n v="3"/>
    <n v="9"/>
    <n v="1"/>
    <n v="0"/>
    <x v="0"/>
    <x v="16"/>
    <s v="Sterlite Power Transmission Ltd"/>
    <n v="369"/>
    <n v="8.1999999999999993"/>
    <x v="377"/>
  </r>
  <r>
    <n v="13"/>
    <n v="22"/>
    <n v="2"/>
    <n v="15"/>
    <n v="1"/>
    <n v="0"/>
    <x v="6"/>
    <x v="13"/>
    <s v="Toshiba Transmission &amp; Distribution Systems (India) Pvt. Ltd."/>
    <n v="627"/>
    <n v="9.1999999999999993"/>
    <x v="378"/>
  </r>
  <r>
    <n v="11"/>
    <n v="23"/>
    <n v="1"/>
    <n v="22"/>
    <n v="1"/>
    <n v="0"/>
    <x v="6"/>
    <x v="6"/>
    <s v="Optibelt Power Transmission India Private Limited"/>
    <n v="0"/>
    <n v="9.1"/>
    <x v="379"/>
  </r>
  <r>
    <n v="5"/>
    <n v="23"/>
    <n v="1"/>
    <n v="19"/>
    <n v="1"/>
    <n v="0"/>
    <x v="8"/>
    <x v="27"/>
    <s v="Guj Ind Power"/>
    <n v="522"/>
    <n v="8.4"/>
    <x v="380"/>
  </r>
  <r>
    <n v="19"/>
    <n v="23"/>
    <n v="0"/>
    <n v="5"/>
    <n v="12"/>
    <n v="0"/>
    <x v="5"/>
    <x v="9"/>
    <s v="Reliance Energy"/>
    <n v="503"/>
    <n v="7.9"/>
    <x v="381"/>
  </r>
  <r>
    <n v="19"/>
    <n v="22"/>
    <n v="0"/>
    <n v="13"/>
    <n v="12"/>
    <n v="0"/>
    <x v="7"/>
    <x v="21"/>
    <s v="Reliance Power"/>
    <n v="456"/>
    <n v="7.4"/>
    <x v="382"/>
  </r>
  <r>
    <n v="15"/>
    <n v="22"/>
    <n v="0"/>
    <n v="7"/>
    <n v="1"/>
    <n v="0"/>
    <x v="7"/>
    <x v="0"/>
    <s v="TransRail Lighting"/>
    <n v="539"/>
    <n v="8.1"/>
    <x v="383"/>
  </r>
  <r>
    <n v="8"/>
    <n v="23"/>
    <n v="3"/>
    <n v="9"/>
    <n v="1"/>
    <n v="0"/>
    <x v="4"/>
    <x v="14"/>
    <s v="Ratnagiri Gas and Power Pvt. Ltd. (RGPPL)"/>
    <n v="526"/>
    <n v="0"/>
    <x v="384"/>
  </r>
  <r>
    <n v="19"/>
    <n v="22"/>
    <n v="3"/>
    <n v="19"/>
    <n v="1"/>
    <n v="0"/>
    <x v="6"/>
    <x v="10"/>
    <s v="NHPC"/>
    <n v="736"/>
    <n v="8.5"/>
    <x v="385"/>
  </r>
  <r>
    <n v="15"/>
    <n v="22"/>
    <n v="1"/>
    <n v="19"/>
    <n v="1"/>
    <n v="0"/>
    <x v="3"/>
    <x v="14"/>
    <s v="CESC"/>
    <n v="634"/>
    <n v="7.6"/>
    <x v="386"/>
  </r>
  <r>
    <n v="8"/>
    <n v="19"/>
    <n v="3"/>
    <n v="22"/>
    <n v="1"/>
    <n v="0"/>
    <x v="2"/>
    <x v="20"/>
    <s v="Reliance Power"/>
    <n v="607"/>
    <n v="8.6999999999999993"/>
    <x v="387"/>
  </r>
  <r>
    <n v="20"/>
    <n v="23"/>
    <n v="2"/>
    <n v="18"/>
    <n v="1"/>
    <n v="0"/>
    <x v="2"/>
    <x v="3"/>
    <s v="L&amp;T Transmission &amp; Distribution"/>
    <n v="544"/>
    <n v="8.9"/>
    <x v="388"/>
  </r>
  <r>
    <n v="0"/>
    <n v="23"/>
    <n v="1"/>
    <n v="17"/>
    <n v="1"/>
    <n v="0"/>
    <x v="11"/>
    <x v="13"/>
    <s v="Jaiprakash Power"/>
    <n v="640"/>
    <n v="0"/>
    <x v="235"/>
  </r>
  <r>
    <n v="7"/>
    <n v="22"/>
    <n v="3"/>
    <n v="12"/>
    <n v="1"/>
    <n v="0"/>
    <x v="8"/>
    <x v="15"/>
    <s v="SJVN Ltd."/>
    <n v="636"/>
    <n v="9.3000000000000007"/>
    <x v="389"/>
  </r>
  <r>
    <n v="12"/>
    <n v="23"/>
    <n v="0"/>
    <n v="14"/>
    <n v="1"/>
    <n v="0"/>
    <x v="10"/>
    <x v="33"/>
    <s v="Toshiba Transmission &amp; Distribution Systems (India) Pvt. Ltd."/>
    <n v="460"/>
    <n v="8.1"/>
    <x v="0"/>
  </r>
  <r>
    <n v="19"/>
    <n v="23"/>
    <n v="1"/>
    <n v="20"/>
    <n v="1"/>
    <n v="0"/>
    <x v="7"/>
    <x v="10"/>
    <s v="Orient Green"/>
    <n v="508"/>
    <n v="8.5"/>
    <x v="390"/>
  </r>
  <r>
    <n v="10"/>
    <n v="20"/>
    <n v="3"/>
    <n v="17"/>
    <n v="1"/>
    <n v="0"/>
    <x v="2"/>
    <x v="3"/>
    <s v="Orient Green"/>
    <n v="524"/>
    <n v="8.9"/>
    <x v="391"/>
  </r>
  <r>
    <n v="6"/>
    <n v="0"/>
    <n v="2"/>
    <n v="18"/>
    <n v="1"/>
    <n v="0"/>
    <x v="2"/>
    <x v="20"/>
    <s v="Jyoti Structure"/>
    <n v="534"/>
    <n v="0"/>
    <x v="392"/>
  </r>
  <r>
    <n v="10"/>
    <n v="18"/>
    <n v="0"/>
    <n v="17"/>
    <n v="7"/>
    <n v="0"/>
    <x v="9"/>
    <x v="17"/>
    <s v="Orient Green"/>
    <n v="397"/>
    <n v="8.8000000000000007"/>
    <x v="393"/>
  </r>
  <r>
    <n v="22"/>
    <n v="22"/>
    <n v="3"/>
    <n v="17"/>
    <n v="1"/>
    <n v="0"/>
    <x v="11"/>
    <x v="6"/>
    <s v="CESC"/>
    <n v="699"/>
    <n v="9.1"/>
    <x v="394"/>
  </r>
  <r>
    <n v="9"/>
    <n v="23"/>
    <n v="0"/>
    <n v="3"/>
    <n v="0"/>
    <n v="0"/>
    <x v="1"/>
    <x v="0"/>
    <s v="KEC International"/>
    <n v="228"/>
    <n v="8.1"/>
    <x v="24"/>
  </r>
  <r>
    <n v="12"/>
    <n v="22"/>
    <n v="1"/>
    <n v="7"/>
    <n v="1"/>
    <n v="0"/>
    <x v="0"/>
    <x v="15"/>
    <s v="Maha Transco â€“ Maharashtra State Electricity Transmission Co, Ltd."/>
    <n v="474"/>
    <n v="9.3000000000000007"/>
    <x v="395"/>
  </r>
  <r>
    <n v="5"/>
    <n v="19"/>
    <n v="1"/>
    <n v="3"/>
    <n v="1"/>
    <n v="0"/>
    <x v="2"/>
    <x v="5"/>
    <s v="Neueon Towers / Sujana Towers Ltd."/>
    <n v="387"/>
    <n v="7.7"/>
    <x v="396"/>
  </r>
  <r>
    <n v="21"/>
    <n v="23"/>
    <n v="3"/>
    <n v="7"/>
    <n v="1"/>
    <n v="0"/>
    <x v="1"/>
    <x v="25"/>
    <s v="Power Grid Corp"/>
    <n v="483"/>
    <n v="8.1999999999999993"/>
    <x v="397"/>
  </r>
  <r>
    <n v="10"/>
    <n v="20"/>
    <n v="1"/>
    <n v="0"/>
    <n v="1"/>
    <n v="0"/>
    <x v="10"/>
    <x v="16"/>
    <s v="Maha Transco â€“ Maharashtra State Electricity Transmission Co, Ltd."/>
    <n v="492"/>
    <n v="8.1999999999999993"/>
    <x v="398"/>
  </r>
  <r>
    <n v="18"/>
    <n v="0"/>
    <n v="2"/>
    <n v="10"/>
    <n v="1"/>
    <n v="0"/>
    <x v="5"/>
    <x v="17"/>
    <s v="maha transco â€“ maharashtra state electricity transmission co, ltd."/>
    <n v="596"/>
    <n v="8.8000000000000007"/>
    <x v="399"/>
  </r>
  <r>
    <n v="5"/>
    <n v="17"/>
    <n v="0"/>
    <n v="10"/>
    <n v="1"/>
    <n v="0"/>
    <x v="8"/>
    <x v="3"/>
    <s v="Orient Green"/>
    <n v="302"/>
    <n v="8.9"/>
    <x v="400"/>
  </r>
  <r>
    <n v="18"/>
    <n v="23"/>
    <n v="1"/>
    <n v="18"/>
    <n v="1"/>
    <n v="0"/>
    <x v="6"/>
    <x v="8"/>
    <s v="Neueon Towers / Sujana Towers Ltd."/>
    <n v="495"/>
    <n v="8.4"/>
    <x v="401"/>
  </r>
  <r>
    <n v="21"/>
    <n v="23"/>
    <n v="1"/>
    <n v="15"/>
    <n v="12"/>
    <n v="0"/>
    <x v="11"/>
    <x v="14"/>
    <s v="Jaiprakash Power"/>
    <n v="618"/>
    <n v="7.6"/>
    <x v="402"/>
  </r>
  <r>
    <n v="11"/>
    <n v="23"/>
    <n v="1"/>
    <n v="13"/>
    <n v="12"/>
    <n v="0"/>
    <x v="5"/>
    <x v="5"/>
    <s v="sterlite power transmission ltd"/>
    <n v="665"/>
    <n v="7.7"/>
    <x v="403"/>
  </r>
  <r>
    <n v="7"/>
    <n v="23"/>
    <n v="0"/>
    <n v="14"/>
    <n v="1"/>
    <n v="0"/>
    <x v="11"/>
    <x v="1"/>
    <s v="Toshiba Transmission &amp; Distribution Systems (India) Pvt. Ltd."/>
    <n v="553"/>
    <n v="8.3000000000000007"/>
    <x v="404"/>
  </r>
  <r>
    <n v="15"/>
    <n v="22"/>
    <n v="1"/>
    <n v="8"/>
    <n v="0"/>
    <n v="0"/>
    <x v="6"/>
    <x v="3"/>
    <s v="Tata Power Company Ltd."/>
    <n v="460"/>
    <n v="8.9"/>
    <x v="405"/>
  </r>
  <r>
    <n v="17"/>
    <n v="22"/>
    <n v="0"/>
    <n v="10"/>
    <n v="1"/>
    <n v="0"/>
    <x v="11"/>
    <x v="8"/>
    <s v="L&amp;T Transmission &amp; Distribution"/>
    <n v="308"/>
    <n v="8.4"/>
    <x v="66"/>
  </r>
  <r>
    <n v="0"/>
    <n v="18"/>
    <n v="1"/>
    <n v="6"/>
    <n v="7"/>
    <n v="0"/>
    <x v="12"/>
    <x v="9"/>
    <s v="orient green"/>
    <n v="333"/>
    <n v="7.9"/>
    <x v="406"/>
  </r>
  <r>
    <n v="13"/>
    <n v="23"/>
    <n v="1"/>
    <n v="20"/>
    <n v="1"/>
    <n v="0"/>
    <x v="6"/>
    <x v="3"/>
    <s v="Power Grid Corp"/>
    <n v="0"/>
    <n v="8.9"/>
    <x v="24"/>
  </r>
  <r>
    <n v="9"/>
    <n v="21"/>
    <n v="3"/>
    <n v="13"/>
    <n v="1"/>
    <n v="0"/>
    <x v="8"/>
    <x v="14"/>
    <s v="Optibelt Power Transmission India Private Limited"/>
    <n v="383"/>
    <n v="7.6"/>
    <x v="24"/>
  </r>
  <r>
    <n v="19"/>
    <n v="22"/>
    <n v="1"/>
    <n v="3"/>
    <n v="1"/>
    <n v="0"/>
    <x v="5"/>
    <x v="5"/>
    <s v="unknown"/>
    <n v="577"/>
    <n v="7.7"/>
    <x v="407"/>
  </r>
  <r>
    <n v="15"/>
    <n v="23"/>
    <n v="3"/>
    <n v="14"/>
    <n v="12"/>
    <n v="0"/>
    <x v="8"/>
    <x v="7"/>
    <s v="Optibelt Power Transmission India Private Limited"/>
    <n v="812"/>
    <n v="7.8"/>
    <x v="24"/>
  </r>
  <r>
    <n v="14"/>
    <n v="22"/>
    <n v="3"/>
    <n v="18"/>
    <n v="12"/>
    <n v="0"/>
    <x v="8"/>
    <x v="8"/>
    <s v="Neueon Towers / Sujana Towers Ltd."/>
    <n v="712"/>
    <n v="0"/>
    <x v="408"/>
  </r>
  <r>
    <n v="18"/>
    <n v="23"/>
    <n v="3"/>
    <n v="6"/>
    <n v="1"/>
    <n v="0"/>
    <x v="3"/>
    <x v="8"/>
    <s v="Toshiba Transmission &amp; Distribution Systems (India) Pvt. Ltd."/>
    <n v="599"/>
    <n v="8.4"/>
    <x v="409"/>
  </r>
  <r>
    <n v="13"/>
    <n v="23"/>
    <n v="1"/>
    <n v="17"/>
    <n v="12"/>
    <n v="0"/>
    <x v="4"/>
    <x v="9"/>
    <s v="Ratnagiri Gas and Power Pvt. Ltd. (RGPPL)"/>
    <n v="0"/>
    <n v="7.9"/>
    <x v="410"/>
  </r>
  <r>
    <n v="20"/>
    <n v="22"/>
    <n v="0"/>
    <n v="6"/>
    <n v="1"/>
    <n v="0"/>
    <x v="2"/>
    <x v="24"/>
    <s v="NLC India"/>
    <n v="403"/>
    <n v="7.6"/>
    <x v="24"/>
  </r>
  <r>
    <n v="19"/>
    <n v="22"/>
    <n v="3"/>
    <n v="5"/>
    <n v="12"/>
    <n v="0"/>
    <x v="1"/>
    <x v="19"/>
    <s v="Reliance Energy"/>
    <n v="625"/>
    <n v="7.4"/>
    <x v="411"/>
  </r>
  <r>
    <n v="21"/>
    <n v="22"/>
    <n v="3"/>
    <n v="0"/>
    <n v="0"/>
    <n v="0"/>
    <x v="7"/>
    <x v="20"/>
    <s v="Guj Ind Power"/>
    <n v="737"/>
    <n v="7.9"/>
    <x v="412"/>
  </r>
  <r>
    <n v="13"/>
    <n v="23"/>
    <n v="2"/>
    <n v="3"/>
    <n v="1"/>
    <n v="0"/>
    <x v="2"/>
    <x v="16"/>
    <s v="Adani Power Ltd."/>
    <n v="374"/>
    <n v="8.1999999999999993"/>
    <x v="413"/>
  </r>
  <r>
    <n v="9"/>
    <n v="22"/>
    <n v="0"/>
    <n v="21"/>
    <n v="1"/>
    <n v="0"/>
    <x v="4"/>
    <x v="4"/>
    <s v="Ringfeder Power Transmission India Pvt. Ltd."/>
    <n v="418"/>
    <n v="8.6999999999999993"/>
    <x v="414"/>
  </r>
  <r>
    <n v="21"/>
    <n v="23"/>
    <n v="3"/>
    <n v="13"/>
    <n v="0"/>
    <n v="0"/>
    <x v="1"/>
    <x v="32"/>
    <s v="Reliance Energy"/>
    <n v="756"/>
    <n v="9.1999999999999993"/>
    <x v="415"/>
  </r>
  <r>
    <n v="9"/>
    <n v="18"/>
    <n v="3"/>
    <n v="13"/>
    <n v="1"/>
    <n v="0"/>
    <x v="4"/>
    <x v="3"/>
    <s v="Sunil Hitech Eng"/>
    <n v="341"/>
    <n v="8.9"/>
    <x v="416"/>
  </r>
  <r>
    <n v="20"/>
    <n v="22"/>
    <n v="0"/>
    <n v="22"/>
    <n v="12"/>
    <n v="0"/>
    <x v="12"/>
    <x v="13"/>
    <s v="unknown"/>
    <n v="754"/>
    <n v="9.1999999999999993"/>
    <x v="417"/>
  </r>
  <r>
    <n v="20"/>
    <n v="23"/>
    <n v="1"/>
    <n v="4"/>
    <n v="1"/>
    <n v="0"/>
    <x v="2"/>
    <x v="13"/>
    <s v="NHPC"/>
    <n v="317"/>
    <n v="9.1999999999999993"/>
    <x v="418"/>
  </r>
  <r>
    <n v="21"/>
    <n v="23"/>
    <n v="0"/>
    <n v="6"/>
    <n v="1"/>
    <n v="0"/>
    <x v="8"/>
    <x v="17"/>
    <s v="Orient Green"/>
    <n v="580"/>
    <n v="8.8000000000000007"/>
    <x v="419"/>
  </r>
  <r>
    <n v="0"/>
    <n v="23"/>
    <n v="3"/>
    <n v="0"/>
    <n v="1"/>
    <n v="0"/>
    <x v="8"/>
    <x v="20"/>
    <s v="NLC India"/>
    <n v="523"/>
    <n v="7.9"/>
    <x v="420"/>
  </r>
  <r>
    <n v="12"/>
    <n v="23"/>
    <n v="0"/>
    <n v="7"/>
    <n v="1"/>
    <n v="0"/>
    <x v="7"/>
    <x v="8"/>
    <s v="Adani Power Ltd."/>
    <n v="298"/>
    <n v="8.4"/>
    <x v="421"/>
  </r>
  <r>
    <n v="18"/>
    <n v="23"/>
    <n v="1"/>
    <n v="17"/>
    <n v="1"/>
    <n v="0"/>
    <x v="0"/>
    <x v="3"/>
    <s v="Jaiprakash Power"/>
    <n v="653"/>
    <n v="8.9"/>
    <x v="422"/>
  </r>
  <r>
    <n v="9"/>
    <n v="17"/>
    <n v="1"/>
    <n v="18"/>
    <n v="1"/>
    <n v="0"/>
    <x v="8"/>
    <x v="16"/>
    <s v="CESC"/>
    <n v="518"/>
    <n v="8.1999999999999993"/>
    <x v="423"/>
  </r>
  <r>
    <n v="13"/>
    <n v="22"/>
    <n v="1"/>
    <n v="5"/>
    <n v="1"/>
    <n v="0"/>
    <x v="0"/>
    <x v="7"/>
    <s v="Guj Ind Power"/>
    <n v="298"/>
    <n v="7.8"/>
    <x v="424"/>
  </r>
  <r>
    <n v="11"/>
    <n v="22"/>
    <n v="0"/>
    <n v="11"/>
    <n v="12"/>
    <n v="0"/>
    <x v="0"/>
    <x v="7"/>
    <s v="TransRail Lighting"/>
    <n v="357"/>
    <n v="0"/>
    <x v="425"/>
  </r>
  <r>
    <n v="16"/>
    <n v="23"/>
    <n v="3"/>
    <n v="20"/>
    <n v="1"/>
    <n v="0"/>
    <x v="7"/>
    <x v="5"/>
    <s v="unknown"/>
    <n v="566"/>
    <n v="7.7"/>
    <x v="426"/>
  </r>
  <r>
    <n v="18"/>
    <n v="23"/>
    <n v="1"/>
    <n v="9"/>
    <n v="1"/>
    <n v="0"/>
    <x v="9"/>
    <x v="17"/>
    <s v="Orient Green"/>
    <n v="562"/>
    <n v="8.8000000000000007"/>
    <x v="427"/>
  </r>
  <r>
    <n v="6"/>
    <n v="19"/>
    <n v="2"/>
    <n v="14"/>
    <n v="1"/>
    <n v="0"/>
    <x v="9"/>
    <x v="4"/>
    <s v="Maha Transco â€“ Maharashtra State Electricity Transmission Co, Ltd."/>
    <n v="410"/>
    <n v="8.6999999999999993"/>
    <x v="428"/>
  </r>
  <r>
    <n v="16"/>
    <n v="23"/>
    <n v="2"/>
    <n v="7"/>
    <n v="1"/>
    <n v="0"/>
    <x v="4"/>
    <x v="10"/>
    <s v="Guj Ind Power"/>
    <n v="373"/>
    <n v="8.5"/>
    <x v="429"/>
  </r>
  <r>
    <n v="12"/>
    <n v="23"/>
    <n v="0"/>
    <n v="11"/>
    <n v="12"/>
    <n v="0"/>
    <x v="6"/>
    <x v="28"/>
    <s v="Sterlite Power Transmission Ltd"/>
    <n v="533"/>
    <n v="8.8000000000000007"/>
    <x v="430"/>
  </r>
  <r>
    <n v="20"/>
    <n v="23"/>
    <n v="2"/>
    <n v="8"/>
    <n v="1"/>
    <n v="0"/>
    <x v="5"/>
    <x v="7"/>
    <s v="NHPC"/>
    <n v="507"/>
    <n v="7.8"/>
    <x v="431"/>
  </r>
  <r>
    <n v="15"/>
    <n v="22"/>
    <n v="3"/>
    <n v="18"/>
    <n v="12"/>
    <n v="0"/>
    <x v="11"/>
    <x v="9"/>
    <s v="Unitech Power Transmission Ltd."/>
    <n v="700"/>
    <n v="7.9"/>
    <x v="432"/>
  </r>
  <r>
    <n v="12"/>
    <n v="23"/>
    <n v="1"/>
    <n v="5"/>
    <n v="1"/>
    <n v="0"/>
    <x v="2"/>
    <x v="13"/>
    <s v="Power Grid Corp"/>
    <n v="468"/>
    <n v="9.1999999999999993"/>
    <x v="433"/>
  </r>
  <r>
    <n v="20"/>
    <n v="23"/>
    <n v="1"/>
    <n v="6"/>
    <n v="1"/>
    <n v="0"/>
    <x v="5"/>
    <x v="5"/>
    <s v="Sterlite Power Transmission Ltd"/>
    <n v="413"/>
    <n v="7.7"/>
    <x v="434"/>
  </r>
  <r>
    <n v="23"/>
    <n v="22"/>
    <n v="0"/>
    <n v="18"/>
    <n v="12"/>
    <n v="0"/>
    <x v="8"/>
    <x v="8"/>
    <s v="GE T&amp;D India Limited"/>
    <n v="799"/>
    <n v="8.4"/>
    <x v="24"/>
  </r>
  <r>
    <n v="15"/>
    <n v="22"/>
    <n v="2"/>
    <n v="14"/>
    <n v="1"/>
    <n v="0"/>
    <x v="7"/>
    <x v="13"/>
    <s v="Bonfiglioli Transmission Pvt. Ltd."/>
    <n v="487"/>
    <n v="9.1999999999999993"/>
    <x v="435"/>
  </r>
  <r>
    <n v="22"/>
    <n v="23"/>
    <n v="2"/>
    <n v="12"/>
    <n v="1"/>
    <n v="0"/>
    <x v="3"/>
    <x v="5"/>
    <s v="JSW Energy Ltd."/>
    <n v="480"/>
    <n v="7.7"/>
    <x v="436"/>
  </r>
  <r>
    <n v="12"/>
    <n v="0"/>
    <n v="2"/>
    <n v="19"/>
    <n v="1"/>
    <n v="0"/>
    <x v="7"/>
    <x v="7"/>
    <s v="Kalpataru Power"/>
    <n v="611"/>
    <n v="7.8"/>
    <x v="437"/>
  </r>
  <r>
    <n v="8"/>
    <n v="19"/>
    <n v="0"/>
    <n v="14"/>
    <n v="1"/>
    <n v="0"/>
    <x v="0"/>
    <x v="6"/>
    <s v="Kalpataru Power"/>
    <n v="327"/>
    <n v="9.1"/>
    <x v="438"/>
  </r>
  <r>
    <n v="11"/>
    <n v="23"/>
    <n v="1"/>
    <n v="19"/>
    <n v="1"/>
    <n v="0"/>
    <x v="7"/>
    <x v="19"/>
    <s v="Kalpataru Power"/>
    <n v="507"/>
    <n v="7.4"/>
    <x v="439"/>
  </r>
  <r>
    <n v="18"/>
    <n v="22"/>
    <n v="3"/>
    <n v="7"/>
    <n v="1"/>
    <n v="0"/>
    <x v="2"/>
    <x v="0"/>
    <s v="Orient Green"/>
    <n v="602"/>
    <n v="8.1"/>
    <x v="440"/>
  </r>
  <r>
    <n v="16"/>
    <n v="23"/>
    <n v="2"/>
    <n v="3"/>
    <n v="1"/>
    <n v="0"/>
    <x v="2"/>
    <x v="32"/>
    <s v="Unitech Power Transmission Ltd."/>
    <n v="314"/>
    <n v="9.1999999999999993"/>
    <x v="441"/>
  </r>
  <r>
    <n v="6"/>
    <n v="22"/>
    <n v="1"/>
    <n v="15"/>
    <n v="7"/>
    <n v="0"/>
    <x v="5"/>
    <x v="2"/>
    <s v="Power Grid Corp"/>
    <n v="389"/>
    <n v="8.9"/>
    <x v="85"/>
  </r>
  <r>
    <n v="9"/>
    <n v="20"/>
    <n v="3"/>
    <n v="16"/>
    <n v="1"/>
    <n v="0"/>
    <x v="2"/>
    <x v="7"/>
    <s v="GE T&amp;D India Limited"/>
    <n v="616"/>
    <n v="7.8"/>
    <x v="24"/>
  </r>
  <r>
    <n v="6"/>
    <n v="17"/>
    <n v="3"/>
    <n v="13"/>
    <n v="1"/>
    <n v="0"/>
    <x v="8"/>
    <x v="3"/>
    <s v="GE T&amp;D India Limited"/>
    <n v="331"/>
    <n v="8.9"/>
    <x v="442"/>
  </r>
  <r>
    <n v="11"/>
    <n v="22"/>
    <n v="3"/>
    <n v="17"/>
    <n v="1"/>
    <n v="0"/>
    <x v="7"/>
    <x v="19"/>
    <s v="l&amp;t transmission &amp; distribution"/>
    <n v="481"/>
    <n v="7.4"/>
    <x v="443"/>
  </r>
  <r>
    <n v="17"/>
    <n v="23"/>
    <n v="1"/>
    <n v="0"/>
    <n v="1"/>
    <n v="0"/>
    <x v="4"/>
    <x v="15"/>
    <s v="NTPC Pvt. Ltd."/>
    <n v="334"/>
    <n v="9.3000000000000007"/>
    <x v="444"/>
  </r>
  <r>
    <n v="21"/>
    <n v="0"/>
    <n v="3"/>
    <n v="12"/>
    <n v="1"/>
    <n v="0"/>
    <x v="1"/>
    <x v="3"/>
    <s v="TransRail Lighting"/>
    <n v="490"/>
    <n v="8.9"/>
    <x v="445"/>
  </r>
  <r>
    <n v="18"/>
    <n v="22"/>
    <n v="1"/>
    <n v="16"/>
    <n v="1"/>
    <n v="0"/>
    <x v="0"/>
    <x v="17"/>
    <s v="NHPC"/>
    <n v="524"/>
    <n v="8.8000000000000007"/>
    <x v="446"/>
  </r>
  <r>
    <n v="11"/>
    <n v="22"/>
    <n v="1"/>
    <n v="20"/>
    <n v="1"/>
    <n v="0"/>
    <x v="1"/>
    <x v="14"/>
    <s v="KEC International"/>
    <n v="525"/>
    <n v="7.6"/>
    <x v="447"/>
  </r>
  <r>
    <n v="12"/>
    <n v="22"/>
    <n v="0"/>
    <n v="14"/>
    <n v="12"/>
    <n v="0"/>
    <x v="10"/>
    <x v="12"/>
    <s v="KEC International"/>
    <n v="604"/>
    <n v="8.6999999999999993"/>
    <x v="448"/>
  </r>
  <r>
    <n v="5"/>
    <n v="18"/>
    <n v="2"/>
    <n v="20"/>
    <n v="1"/>
    <n v="0"/>
    <x v="1"/>
    <x v="8"/>
    <s v="Unitech Power Transmission Ltd."/>
    <n v="426"/>
    <n v="8.4"/>
    <x v="449"/>
  </r>
  <r>
    <n v="7"/>
    <n v="17"/>
    <n v="2"/>
    <n v="16"/>
    <n v="7"/>
    <n v="0"/>
    <x v="1"/>
    <x v="3"/>
    <s v="Neueon Towers / Sujana Towers Ltd."/>
    <n v="570"/>
    <n v="8.9"/>
    <x v="450"/>
  </r>
  <r>
    <n v="5"/>
    <n v="21"/>
    <n v="0"/>
    <n v="15"/>
    <n v="1"/>
    <n v="0"/>
    <x v="12"/>
    <x v="4"/>
    <s v="JSW Energy Ltd."/>
    <n v="443"/>
    <n v="8.6999999999999993"/>
    <x v="451"/>
  </r>
  <r>
    <n v="13"/>
    <n v="22"/>
    <n v="0"/>
    <n v="12"/>
    <n v="1"/>
    <n v="0"/>
    <x v="7"/>
    <x v="3"/>
    <s v="ntpc pvt. ltd."/>
    <n v="377"/>
    <n v="0"/>
    <x v="452"/>
  </r>
  <r>
    <n v="19"/>
    <n v="22"/>
    <n v="0"/>
    <n v="20"/>
    <n v="12"/>
    <n v="0"/>
    <x v="6"/>
    <x v="13"/>
    <s v="Guj Ind Power"/>
    <n v="0"/>
    <n v="9.1999999999999993"/>
    <x v="453"/>
  </r>
  <r>
    <n v="22"/>
    <n v="22"/>
    <n v="3"/>
    <n v="14"/>
    <n v="1"/>
    <n v="0"/>
    <x v="4"/>
    <x v="16"/>
    <s v="Ringfeder Power Transmission India Pvt. Ltd."/>
    <n v="666"/>
    <n v="8.1999999999999993"/>
    <x v="454"/>
  </r>
  <r>
    <n v="9"/>
    <n v="23"/>
    <n v="2"/>
    <n v="5"/>
    <n v="1"/>
    <n v="0"/>
    <x v="1"/>
    <x v="20"/>
    <s v="optibelt power transmission india private limited"/>
    <n v="341"/>
    <n v="7.4"/>
    <x v="455"/>
  </r>
  <r>
    <n v="9"/>
    <n v="23"/>
    <n v="1"/>
    <n v="3"/>
    <n v="1"/>
    <n v="0"/>
    <x v="3"/>
    <x v="9"/>
    <s v="Tata Power Company Ltd."/>
    <n v="392"/>
    <n v="7.9"/>
    <x v="456"/>
  </r>
  <r>
    <n v="15"/>
    <n v="22"/>
    <n v="2"/>
    <n v="7"/>
    <n v="1"/>
    <n v="0"/>
    <x v="7"/>
    <x v="10"/>
    <s v="L&amp;T Transmission &amp; Distribution"/>
    <n v="477"/>
    <n v="8.5"/>
    <x v="457"/>
  </r>
  <r>
    <n v="21"/>
    <n v="23"/>
    <n v="0"/>
    <n v="21"/>
    <n v="1"/>
    <n v="0"/>
    <x v="4"/>
    <x v="4"/>
    <s v="Optibelt Power Transmission India Private Limited"/>
    <n v="478"/>
    <n v="8.6999999999999993"/>
    <x v="458"/>
  </r>
  <r>
    <n v="23"/>
    <n v="23"/>
    <n v="3"/>
    <n v="11"/>
    <n v="1"/>
    <n v="0"/>
    <x v="5"/>
    <x v="34"/>
    <s v="Power Grid Corp"/>
    <n v="533"/>
    <n v="9.1"/>
    <x v="459"/>
  </r>
  <r>
    <n v="12"/>
    <n v="22"/>
    <n v="0"/>
    <n v="9"/>
    <n v="1"/>
    <n v="0"/>
    <x v="6"/>
    <x v="9"/>
    <s v="Guj Ind Power"/>
    <n v="494"/>
    <n v="7.9"/>
    <x v="460"/>
  </r>
  <r>
    <n v="18"/>
    <n v="22"/>
    <n v="3"/>
    <n v="19"/>
    <n v="1"/>
    <n v="0"/>
    <x v="4"/>
    <x v="6"/>
    <s v="Power Grid Corp"/>
    <n v="751"/>
    <n v="9.1"/>
    <x v="24"/>
  </r>
  <r>
    <n v="0"/>
    <n v="21"/>
    <n v="0"/>
    <n v="5"/>
    <n v="1"/>
    <n v="0"/>
    <x v="2"/>
    <x v="6"/>
    <s v="guj ind power"/>
    <n v="321"/>
    <n v="9.1"/>
    <x v="461"/>
  </r>
  <r>
    <n v="13"/>
    <n v="22"/>
    <n v="0"/>
    <n v="0"/>
    <n v="12"/>
    <n v="0"/>
    <x v="7"/>
    <x v="13"/>
    <s v="Sunil Hitech Eng"/>
    <n v="503"/>
    <n v="9.1999999999999993"/>
    <x v="462"/>
  </r>
  <r>
    <n v="18"/>
    <n v="23"/>
    <n v="2"/>
    <n v="4"/>
    <n v="12"/>
    <n v="0"/>
    <x v="5"/>
    <x v="6"/>
    <s v="Optibelt Power Transmission India Private Limited"/>
    <n v="692"/>
    <n v="9.1"/>
    <x v="463"/>
  </r>
  <r>
    <n v="22"/>
    <n v="22"/>
    <n v="2"/>
    <n v="7"/>
    <n v="1"/>
    <n v="0"/>
    <x v="12"/>
    <x v="0"/>
    <s v="Guj Ind Power"/>
    <n v="602"/>
    <n v="8.1"/>
    <x v="440"/>
  </r>
  <r>
    <n v="20"/>
    <n v="23"/>
    <n v="1"/>
    <n v="10"/>
    <n v="12"/>
    <n v="0"/>
    <x v="6"/>
    <x v="14"/>
    <s v="NLC India"/>
    <n v="545"/>
    <n v="7.6"/>
    <x v="464"/>
  </r>
  <r>
    <n v="15"/>
    <n v="23"/>
    <n v="3"/>
    <n v="15"/>
    <n v="12"/>
    <n v="0"/>
    <x v="6"/>
    <x v="30"/>
    <s v="Torrent Power Ltd."/>
    <n v="587"/>
    <n v="7.7"/>
    <x v="465"/>
  </r>
  <r>
    <n v="8"/>
    <n v="18"/>
    <n v="1"/>
    <n v="5"/>
    <n v="1"/>
    <n v="0"/>
    <x v="12"/>
    <x v="8"/>
    <s v="Guj Ind Power"/>
    <n v="404"/>
    <n v="8.4"/>
    <x v="466"/>
  </r>
  <r>
    <n v="13"/>
    <n v="22"/>
    <n v="0"/>
    <n v="0"/>
    <n v="1"/>
    <n v="0"/>
    <x v="1"/>
    <x v="7"/>
    <s v="Sunil Hitech Eng"/>
    <n v="408"/>
    <n v="7.8"/>
    <x v="467"/>
  </r>
  <r>
    <n v="20"/>
    <n v="23"/>
    <n v="3"/>
    <n v="10"/>
    <n v="1"/>
    <n v="0"/>
    <x v="1"/>
    <x v="6"/>
    <s v="Sterlite Power Transmission Ltd"/>
    <n v="675"/>
    <n v="9.1"/>
    <x v="468"/>
  </r>
  <r>
    <n v="11"/>
    <n v="22"/>
    <n v="1"/>
    <n v="11"/>
    <n v="1"/>
    <n v="0"/>
    <x v="8"/>
    <x v="15"/>
    <s v="NLC India"/>
    <n v="413"/>
    <n v="9.3000000000000007"/>
    <x v="469"/>
  </r>
  <r>
    <n v="16"/>
    <n v="23"/>
    <n v="0"/>
    <n v="14"/>
    <n v="1"/>
    <n v="0"/>
    <x v="4"/>
    <x v="7"/>
    <s v="Indowind Energy"/>
    <n v="631"/>
    <n v="7.8"/>
    <x v="470"/>
  </r>
  <r>
    <n v="17"/>
    <n v="23"/>
    <n v="1"/>
    <n v="12"/>
    <n v="1"/>
    <n v="0"/>
    <x v="10"/>
    <x v="10"/>
    <s v="Torrent Power Ltd."/>
    <n v="512"/>
    <n v="8.5"/>
    <x v="471"/>
  </r>
  <r>
    <n v="14"/>
    <n v="23"/>
    <n v="2"/>
    <n v="7"/>
    <n v="1"/>
    <n v="0"/>
    <x v="8"/>
    <x v="0"/>
    <s v="Sterlite Power Transmission Ltd"/>
    <n v="545"/>
    <n v="8.1"/>
    <x v="472"/>
  </r>
  <r>
    <n v="7"/>
    <n v="20"/>
    <n v="2"/>
    <n v="6"/>
    <n v="7"/>
    <n v="0"/>
    <x v="9"/>
    <x v="20"/>
    <s v="Jyoti Structure"/>
    <n v="416"/>
    <n v="7.7"/>
    <x v="473"/>
  </r>
  <r>
    <n v="5"/>
    <n v="17"/>
    <n v="2"/>
    <n v="12"/>
    <n v="1"/>
    <n v="0"/>
    <x v="12"/>
    <x v="9"/>
    <s v="Orient Green"/>
    <n v="494"/>
    <n v="7.9"/>
    <x v="460"/>
  </r>
  <r>
    <n v="13"/>
    <n v="22"/>
    <n v="1"/>
    <n v="7"/>
    <n v="1"/>
    <n v="0"/>
    <x v="10"/>
    <x v="16"/>
    <s v="Tata Power Company Ltd."/>
    <n v="432"/>
    <n v="8.1999999999999993"/>
    <x v="474"/>
  </r>
  <r>
    <n v="20"/>
    <n v="22"/>
    <n v="1"/>
    <n v="0"/>
    <n v="12"/>
    <n v="0"/>
    <x v="5"/>
    <x v="15"/>
    <s v="L&amp;T Transmission &amp; Distribution"/>
    <n v="560"/>
    <n v="9.3000000000000007"/>
    <x v="475"/>
  </r>
  <r>
    <n v="11"/>
    <n v="22"/>
    <n v="2"/>
    <n v="20"/>
    <n v="1"/>
    <n v="0"/>
    <x v="0"/>
    <x v="6"/>
    <s v="Reliance Energy"/>
    <n v="650"/>
    <n v="9.1"/>
    <x v="476"/>
  </r>
  <r>
    <n v="9"/>
    <n v="18"/>
    <n v="2"/>
    <n v="12"/>
    <n v="1"/>
    <n v="0"/>
    <x v="0"/>
    <x v="9"/>
    <s v="Neueon Towers / Sujana Towers Ltd."/>
    <n v="460"/>
    <n v="7.9"/>
    <x v="477"/>
  </r>
  <r>
    <n v="5"/>
    <n v="17"/>
    <n v="0"/>
    <n v="17"/>
    <n v="1"/>
    <n v="0"/>
    <x v="3"/>
    <x v="6"/>
    <s v="sterlite power transmission ltd"/>
    <n v="458"/>
    <n v="9.1"/>
    <x v="478"/>
  </r>
  <r>
    <n v="6"/>
    <n v="21"/>
    <n v="2"/>
    <n v="3"/>
    <n v="1"/>
    <n v="0"/>
    <x v="2"/>
    <x v="9"/>
    <s v="CESC"/>
    <n v="487"/>
    <n v="7.9"/>
    <x v="479"/>
  </r>
  <r>
    <n v="18"/>
    <n v="22"/>
    <n v="2"/>
    <n v="7"/>
    <n v="1"/>
    <n v="0"/>
    <x v="11"/>
    <x v="10"/>
    <s v="L&amp;T Transmission &amp; Distribution"/>
    <n v="491"/>
    <n v="8.5"/>
    <x v="480"/>
  </r>
  <r>
    <n v="22"/>
    <n v="22"/>
    <n v="3"/>
    <n v="4"/>
    <n v="1"/>
    <n v="0"/>
    <x v="12"/>
    <x v="7"/>
    <s v="Kalpataru Power"/>
    <n v="503"/>
    <n v="7.8"/>
    <x v="36"/>
  </r>
  <r>
    <n v="21"/>
    <n v="22"/>
    <n v="2"/>
    <n v="14"/>
    <n v="12"/>
    <n v="0"/>
    <x v="11"/>
    <x v="8"/>
    <s v="Unitech Power Transmission Ltd."/>
    <n v="564"/>
    <n v="8.4"/>
    <x v="342"/>
  </r>
  <r>
    <n v="11"/>
    <n v="23"/>
    <n v="1"/>
    <n v="6"/>
    <n v="1"/>
    <n v="0"/>
    <x v="1"/>
    <x v="9"/>
    <s v="Sterlite Power Transmission Ltd"/>
    <n v="459"/>
    <n v="7.9"/>
    <x v="481"/>
  </r>
  <r>
    <n v="17"/>
    <n v="22"/>
    <n v="1"/>
    <n v="17"/>
    <n v="1"/>
    <n v="0"/>
    <x v="6"/>
    <x v="20"/>
    <s v="Sterlite Power Transmission Ltd"/>
    <n v="525"/>
    <n v="8.6999999999999993"/>
    <x v="482"/>
  </r>
  <r>
    <n v="10"/>
    <n v="23"/>
    <n v="2"/>
    <n v="22"/>
    <n v="1"/>
    <n v="0"/>
    <x v="1"/>
    <x v="9"/>
    <s v="JSW Energy Ltd."/>
    <n v="631"/>
    <n v="7.9"/>
    <x v="483"/>
  </r>
  <r>
    <n v="8"/>
    <n v="23"/>
    <n v="0"/>
    <n v="5"/>
    <n v="1"/>
    <n v="0"/>
    <x v="8"/>
    <x v="1"/>
    <s v="Tata Power Company Ltd."/>
    <n v="0"/>
    <n v="8.3000000000000007"/>
    <x v="484"/>
  </r>
  <r>
    <n v="12"/>
    <n v="22"/>
    <n v="1"/>
    <n v="18"/>
    <n v="1"/>
    <n v="0"/>
    <x v="0"/>
    <x v="13"/>
    <s v="Unitech Power Transmission Ltd."/>
    <n v="591"/>
    <n v="9.1999999999999993"/>
    <x v="24"/>
  </r>
  <r>
    <n v="13"/>
    <n v="22"/>
    <n v="1"/>
    <n v="3"/>
    <n v="0"/>
    <n v="0"/>
    <x v="1"/>
    <x v="17"/>
    <s v="KEC International"/>
    <s v="nan "/>
    <n v="8.8000000000000007"/>
    <x v="436"/>
  </r>
  <r>
    <n v="18"/>
    <n v="23"/>
    <n v="2"/>
    <n v="13"/>
    <n v="1"/>
    <n v="0"/>
    <x v="3"/>
    <x v="4"/>
    <s v="nan"/>
    <n v="661"/>
    <n v="8.6999999999999993"/>
    <x v="485"/>
  </r>
  <r>
    <n v="0"/>
    <n v="22"/>
    <n v="3"/>
    <n v="19"/>
    <n v="1"/>
    <n v="0"/>
    <x v="6"/>
    <x v="8"/>
    <s v="Optibelt Power Transmission India Private Limited"/>
    <n v="701"/>
    <n v="8.4"/>
    <x v="486"/>
  </r>
  <r>
    <n v="10"/>
    <n v="23"/>
    <n v="2"/>
    <n v="11"/>
    <n v="1"/>
    <n v="0"/>
    <x v="11"/>
    <x v="5"/>
    <s v="Toshiba Transmission &amp; Distribution Systems (India) Pvt. Ltd."/>
    <n v="404"/>
    <n v="7.7"/>
    <x v="487"/>
  </r>
  <r>
    <n v="19"/>
    <n v="22"/>
    <n v="2"/>
    <n v="3"/>
    <n v="1"/>
    <n v="0"/>
    <x v="6"/>
    <x v="9"/>
    <s v="Reliance Energy"/>
    <n v="589"/>
    <n v="7.9"/>
    <x v="488"/>
  </r>
  <r>
    <n v="10"/>
    <n v="22"/>
    <n v="3"/>
    <n v="8"/>
    <n v="1"/>
    <n v="0"/>
    <x v="11"/>
    <x v="17"/>
    <s v="JSW Energy Ltd."/>
    <n v="352"/>
    <n v="8.8000000000000007"/>
    <x v="489"/>
  </r>
  <r>
    <n v="17"/>
    <n v="22"/>
    <n v="2"/>
    <n v="14"/>
    <n v="1"/>
    <n v="0"/>
    <x v="8"/>
    <x v="16"/>
    <s v="Maha Transco â€“ Maharashtra State Electricity Transmission Co, Ltd."/>
    <n v="685"/>
    <n v="8.1999999999999993"/>
    <x v="490"/>
  </r>
  <r>
    <n v="22"/>
    <n v="23"/>
    <n v="0"/>
    <n v="19"/>
    <n v="1"/>
    <n v="0"/>
    <x v="1"/>
    <x v="10"/>
    <s v="Tata Power Company Ltd."/>
    <n v="601"/>
    <n v="8.5"/>
    <x v="491"/>
  </r>
  <r>
    <n v="13"/>
    <n v="22"/>
    <n v="3"/>
    <n v="8"/>
    <n v="1"/>
    <n v="0"/>
    <x v="2"/>
    <x v="10"/>
    <s v="CESC"/>
    <n v="569"/>
    <n v="8.5"/>
    <x v="492"/>
  </r>
  <r>
    <n v="19"/>
    <n v="22"/>
    <n v="0"/>
    <n v="9"/>
    <n v="1"/>
    <n v="0"/>
    <x v="8"/>
    <x v="5"/>
    <s v="Orient Green"/>
    <n v="444"/>
    <n v="7.7"/>
    <x v="493"/>
  </r>
  <r>
    <n v="14"/>
    <n v="22"/>
    <n v="3"/>
    <n v="8"/>
    <n v="12"/>
    <n v="0"/>
    <x v="9"/>
    <x v="32"/>
    <s v="Toshiba Transmission &amp; Distribution Systems (India) Pvt. Ltd."/>
    <n v="596"/>
    <n v="0"/>
    <x v="494"/>
  </r>
  <r>
    <n v="21"/>
    <n v="22"/>
    <n v="2"/>
    <n v="13"/>
    <n v="1"/>
    <n v="0"/>
    <x v="5"/>
    <x v="20"/>
    <s v="KEC International"/>
    <n v="672"/>
    <n v="7.7"/>
    <x v="206"/>
  </r>
  <r>
    <n v="11"/>
    <n v="23"/>
    <n v="2"/>
    <n v="19"/>
    <n v="12"/>
    <n v="0"/>
    <x v="4"/>
    <x v="6"/>
    <s v="Ringfeder Power Transmission India Pvt. Ltd."/>
    <n v="819"/>
    <n v="9.1"/>
    <x v="495"/>
  </r>
  <r>
    <n v="0"/>
    <n v="17"/>
    <n v="2"/>
    <n v="5"/>
    <n v="0"/>
    <n v="0"/>
    <x v="8"/>
    <x v="1"/>
    <s v="Toshiba Transmission &amp; Distribution Systems (India) Pvt. Ltd."/>
    <n v="389"/>
    <n v="8.3000000000000007"/>
    <x v="24"/>
  </r>
  <r>
    <n v="22"/>
    <n v="23"/>
    <n v="0"/>
    <n v="20"/>
    <n v="1"/>
    <n v="0"/>
    <x v="12"/>
    <x v="16"/>
    <s v="neueon towers / sujana towers ltd."/>
    <n v="673"/>
    <n v="8.1999999999999993"/>
    <x v="496"/>
  </r>
  <r>
    <n v="20"/>
    <n v="23"/>
    <n v="3"/>
    <n v="4"/>
    <n v="1"/>
    <n v="0"/>
    <x v="0"/>
    <x v="1"/>
    <s v="Neueon Towers / Sujana Towers Ltd."/>
    <n v="574"/>
    <n v="8.3000000000000007"/>
    <x v="497"/>
  </r>
  <r>
    <n v="12"/>
    <n v="22"/>
    <n v="2"/>
    <n v="6"/>
    <n v="0"/>
    <n v="0"/>
    <x v="7"/>
    <x v="8"/>
    <s v="Jaiprakash Power"/>
    <n v="463"/>
    <n v="8.4"/>
    <x v="498"/>
  </r>
  <r>
    <n v="14"/>
    <n v="22"/>
    <n v="3"/>
    <n v="20"/>
    <n v="1"/>
    <n v="0"/>
    <x v="5"/>
    <x v="14"/>
    <s v="sunil hitech eng"/>
    <n v="742"/>
    <n v="7.6"/>
    <x v="499"/>
  </r>
  <r>
    <n v="13"/>
    <n v="22"/>
    <n v="2"/>
    <n v="22"/>
    <n v="1"/>
    <n v="0"/>
    <x v="4"/>
    <x v="10"/>
    <s v="Sterlite Power Transmission Ltd"/>
    <n v="0"/>
    <n v="8.5"/>
    <x v="24"/>
  </r>
  <r>
    <n v="0"/>
    <n v="22"/>
    <n v="2"/>
    <n v="14"/>
    <n v="12"/>
    <n v="0"/>
    <x v="1"/>
    <x v="13"/>
    <s v="L&amp;T Transmission &amp; Distribution"/>
    <n v="577"/>
    <n v="9.1999999999999993"/>
    <x v="500"/>
  </r>
  <r>
    <n v="18"/>
    <n v="22"/>
    <n v="2"/>
    <n v="20"/>
    <n v="1"/>
    <n v="0"/>
    <x v="5"/>
    <x v="4"/>
    <s v="Toshiba Transmission &amp; Distribution Systems (India) Pvt. Ltd."/>
    <n v="506"/>
    <n v="8.6999999999999993"/>
    <x v="501"/>
  </r>
  <r>
    <n v="11"/>
    <n v="22"/>
    <n v="0"/>
    <n v="4"/>
    <n v="12"/>
    <n v="0"/>
    <x v="3"/>
    <x v="3"/>
    <s v="NLC India"/>
    <n v="596"/>
    <n v="8.9"/>
    <x v="24"/>
  </r>
  <r>
    <n v="10"/>
    <n v="19"/>
    <n v="1"/>
    <n v="16"/>
    <n v="1"/>
    <n v="0"/>
    <x v="2"/>
    <x v="0"/>
    <s v="Optibelt Power Transmission India Private Limited"/>
    <n v="397"/>
    <n v="8.1"/>
    <x v="502"/>
  </r>
  <r>
    <n v="16"/>
    <n v="22"/>
    <n v="2"/>
    <n v="9"/>
    <n v="12"/>
    <n v="0"/>
    <x v="2"/>
    <x v="10"/>
    <s v="Reliance Energy"/>
    <n v="0"/>
    <n v="8.5"/>
    <x v="503"/>
  </r>
  <r>
    <n v="22"/>
    <n v="22"/>
    <n v="1"/>
    <n v="11"/>
    <n v="1"/>
    <n v="0"/>
    <x v="1"/>
    <x v="17"/>
    <s v="SJVN Ltd."/>
    <n v="486"/>
    <n v="8.8000000000000007"/>
    <x v="504"/>
  </r>
  <r>
    <n v="7"/>
    <n v="21"/>
    <n v="1"/>
    <n v="12"/>
    <n v="1"/>
    <n v="0"/>
    <x v="12"/>
    <x v="7"/>
    <s v="unknown"/>
    <n v="311"/>
    <n v="7.8"/>
    <x v="505"/>
  </r>
  <r>
    <n v="10"/>
    <n v="22"/>
    <n v="2"/>
    <n v="21"/>
    <n v="7"/>
    <n v="0"/>
    <x v="4"/>
    <x v="9"/>
    <s v="JSW Energy Ltd."/>
    <n v="734"/>
    <n v="7.9"/>
    <x v="506"/>
  </r>
  <r>
    <n v="23"/>
    <n v="22"/>
    <n v="2"/>
    <n v="15"/>
    <n v="1"/>
    <n v="0"/>
    <x v="0"/>
    <x v="23"/>
    <s v="Unitech Power Transmission Ltd."/>
    <n v="669"/>
    <n v="7.8"/>
    <x v="507"/>
  </r>
  <r>
    <n v="5"/>
    <n v="17"/>
    <n v="2"/>
    <n v="4"/>
    <n v="1"/>
    <n v="0"/>
    <x v="5"/>
    <x v="20"/>
    <s v="unknown"/>
    <n v="376"/>
    <n v="7.6"/>
    <x v="262"/>
  </r>
  <r>
    <n v="20"/>
    <n v="23"/>
    <n v="2"/>
    <n v="12"/>
    <n v="1"/>
    <n v="0"/>
    <x v="1"/>
    <x v="16"/>
    <s v="Optibelt Power Transmission India Private Limited"/>
    <n v="483"/>
    <n v="8.1999999999999993"/>
    <x v="397"/>
  </r>
  <r>
    <n v="21"/>
    <n v="22"/>
    <n v="1"/>
    <n v="3"/>
    <n v="1"/>
    <n v="0"/>
    <x v="4"/>
    <x v="13"/>
    <s v="NTPC Pvt. Ltd."/>
    <n v="405"/>
    <n v="9.1999999999999993"/>
    <x v="317"/>
  </r>
  <r>
    <n v="8"/>
    <n v="22"/>
    <n v="1"/>
    <n v="17"/>
    <n v="1"/>
    <n v="0"/>
    <x v="0"/>
    <x v="9"/>
    <s v="tata power company ltd."/>
    <n v="371"/>
    <n v="7.9"/>
    <x v="508"/>
  </r>
  <r>
    <n v="8"/>
    <n v="21"/>
    <n v="1"/>
    <n v="15"/>
    <n v="1"/>
    <n v="0"/>
    <x v="11"/>
    <x v="3"/>
    <s v="Reliance Power"/>
    <n v="571"/>
    <n v="8.9"/>
    <x v="509"/>
  </r>
  <r>
    <n v="19"/>
    <n v="23"/>
    <n v="0"/>
    <n v="19"/>
    <n v="1"/>
    <n v="0"/>
    <x v="11"/>
    <x v="5"/>
    <s v="Maha Transco â€“ Maharashtra State Electricity Transmission Co, Ltd."/>
    <n v="614"/>
    <n v="0"/>
    <x v="510"/>
  </r>
  <r>
    <n v="23"/>
    <n v="22"/>
    <n v="1"/>
    <n v="16"/>
    <n v="1"/>
    <n v="0"/>
    <x v="6"/>
    <x v="8"/>
    <s v="Ratnagiri Gas and Power Pvt. Ltd. (RGPPL)"/>
    <n v="610"/>
    <n v="8.4"/>
    <x v="511"/>
  </r>
  <r>
    <n v="16"/>
    <n v="22"/>
    <n v="3"/>
    <n v="4"/>
    <n v="1"/>
    <n v="0"/>
    <x v="4"/>
    <x v="27"/>
    <s v="Maha Transco â€“ Maharashtra State Electricity Transmission Co, Ltd."/>
    <n v="492"/>
    <n v="8.4"/>
    <x v="512"/>
  </r>
  <r>
    <n v="22"/>
    <n v="22"/>
    <n v="1"/>
    <n v="4"/>
    <n v="1"/>
    <n v="0"/>
    <x v="8"/>
    <x v="5"/>
    <s v="L&amp;T Transmission &amp; Distribution"/>
    <n v="497"/>
    <n v="7.7"/>
    <x v="513"/>
  </r>
  <r>
    <n v="22"/>
    <n v="23"/>
    <n v="0"/>
    <n v="18"/>
    <n v="1"/>
    <n v="0"/>
    <x v="7"/>
    <x v="6"/>
    <s v="Neueon Towers / Sujana Towers Ltd."/>
    <n v="581"/>
    <n v="0"/>
    <x v="514"/>
  </r>
  <r>
    <n v="21"/>
    <n v="23"/>
    <n v="3"/>
    <n v="0"/>
    <n v="1"/>
    <n v="0"/>
    <x v="8"/>
    <x v="3"/>
    <s v="Bonfiglioli Transmission Pvt. Ltd."/>
    <n v="594"/>
    <n v="8.9"/>
    <x v="515"/>
  </r>
  <r>
    <n v="12"/>
    <n v="22"/>
    <n v="3"/>
    <n v="15"/>
    <n v="12"/>
    <n v="0"/>
    <x v="12"/>
    <x v="3"/>
    <s v="Indowind Energy"/>
    <n v="747"/>
    <n v="8.9"/>
    <x v="516"/>
  </r>
  <r>
    <n v="9"/>
    <n v="22"/>
    <n v="3"/>
    <n v="5"/>
    <n v="1"/>
    <n v="0"/>
    <x v="3"/>
    <x v="20"/>
    <s v="NTPC Pvt. Ltd."/>
    <n v="401"/>
    <n v="8.1"/>
    <x v="517"/>
  </r>
  <r>
    <n v="19"/>
    <n v="23"/>
    <n v="1"/>
    <n v="8"/>
    <n v="1"/>
    <n v="0"/>
    <x v="12"/>
    <x v="13"/>
    <s v="Kalpataru Power"/>
    <n v="555"/>
    <n v="9.1999999999999993"/>
    <x v="518"/>
  </r>
  <r>
    <n v="19"/>
    <n v="22"/>
    <n v="3"/>
    <n v="7"/>
    <n v="0"/>
    <n v="0"/>
    <x v="11"/>
    <x v="3"/>
    <s v="Ratnagiri Gas and Power Pvt. Ltd. (RGPPL)"/>
    <n v="384"/>
    <n v="8.9"/>
    <x v="519"/>
  </r>
  <r>
    <n v="11"/>
    <n v="23"/>
    <n v="0"/>
    <n v="15"/>
    <n v="1"/>
    <n v="0"/>
    <x v="0"/>
    <x v="19"/>
    <s v="NLC India"/>
    <n v="352"/>
    <n v="7.4"/>
    <x v="520"/>
  </r>
  <r>
    <n v="14"/>
    <n v="23"/>
    <n v="1"/>
    <n v="6"/>
    <n v="0"/>
    <n v="0"/>
    <x v="8"/>
    <x v="1"/>
    <s v="indowind energy"/>
    <n v="619"/>
    <n v="8.3000000000000007"/>
    <x v="521"/>
  </r>
  <r>
    <n v="9"/>
    <n v="20"/>
    <n v="1"/>
    <n v="4"/>
    <n v="7"/>
    <n v="0"/>
    <x v="3"/>
    <x v="0"/>
    <s v="Indowind Energy"/>
    <n v="398"/>
    <n v="0"/>
    <x v="522"/>
  </r>
  <r>
    <n v="22"/>
    <n v="23"/>
    <n v="3"/>
    <n v="19"/>
    <n v="1"/>
    <n v="0"/>
    <x v="5"/>
    <x v="9"/>
    <s v="Orient Green"/>
    <n v="733"/>
    <n v="7.9"/>
    <x v="523"/>
  </r>
  <r>
    <n v="21"/>
    <n v="22"/>
    <n v="2"/>
    <n v="13"/>
    <n v="1"/>
    <n v="0"/>
    <x v="7"/>
    <x v="17"/>
    <s v="NTPC Pvt. Ltd."/>
    <n v="516"/>
    <n v="8.8000000000000007"/>
    <x v="524"/>
  </r>
  <r>
    <n v="14"/>
    <n v="22"/>
    <n v="2"/>
    <n v="6"/>
    <n v="1"/>
    <n v="0"/>
    <x v="4"/>
    <x v="28"/>
    <s v="unknown"/>
    <n v="376"/>
    <n v="8.8000000000000007"/>
    <x v="525"/>
  </r>
  <r>
    <n v="0"/>
    <n v="19"/>
    <n v="1"/>
    <n v="14"/>
    <n v="1"/>
    <n v="0"/>
    <x v="5"/>
    <x v="7"/>
    <s v="sterlite power transmission ltd"/>
    <n v="313"/>
    <n v="7.8"/>
    <x v="526"/>
  </r>
  <r>
    <n v="8"/>
    <n v="19"/>
    <n v="1"/>
    <n v="9"/>
    <n v="1"/>
    <n v="0"/>
    <x v="2"/>
    <x v="1"/>
    <s v="NLC India"/>
    <n v="358"/>
    <n v="8.3000000000000007"/>
    <x v="527"/>
  </r>
  <r>
    <n v="5"/>
    <n v="19"/>
    <n v="1"/>
    <n v="6"/>
    <n v="0"/>
    <n v="0"/>
    <x v="4"/>
    <x v="19"/>
    <s v="Kalpataru Power"/>
    <n v="403"/>
    <n v="7.4"/>
    <x v="528"/>
  </r>
  <r>
    <n v="5"/>
    <n v="17"/>
    <n v="2"/>
    <n v="22"/>
    <n v="1"/>
    <n v="0"/>
    <x v="9"/>
    <x v="17"/>
    <s v="Tata Power Company Ltd."/>
    <n v="574"/>
    <n v="8.8000000000000007"/>
    <x v="529"/>
  </r>
  <r>
    <n v="6"/>
    <n v="17"/>
    <n v="3"/>
    <n v="15"/>
    <n v="1"/>
    <n v="0"/>
    <x v="12"/>
    <x v="7"/>
    <s v="Sunil Hitech Eng"/>
    <n v="440"/>
    <n v="7.8"/>
    <x v="530"/>
  </r>
  <r>
    <n v="16"/>
    <n v="22"/>
    <n v="0"/>
    <n v="21"/>
    <n v="12"/>
    <n v="0"/>
    <x v="12"/>
    <x v="4"/>
    <s v="Torrent Power Ltd."/>
    <n v="589"/>
    <n v="8.6999999999999993"/>
    <x v="531"/>
  </r>
  <r>
    <n v="15"/>
    <n v="23"/>
    <n v="2"/>
    <n v="10"/>
    <n v="1"/>
    <n v="0"/>
    <x v="1"/>
    <x v="5"/>
    <s v="NTPC Pvt. Ltd."/>
    <n v="414"/>
    <n v="7.7"/>
    <x v="532"/>
  </r>
  <r>
    <n v="5"/>
    <n v="22"/>
    <n v="1"/>
    <n v="22"/>
    <n v="7"/>
    <n v="0"/>
    <x v="0"/>
    <x v="9"/>
    <s v="NHPC"/>
    <n v="0"/>
    <n v="0"/>
    <x v="533"/>
  </r>
  <r>
    <n v="21"/>
    <n v="22"/>
    <n v="0"/>
    <n v="6"/>
    <n v="1"/>
    <n v="0"/>
    <x v="2"/>
    <x v="33"/>
    <s v="Sterlite Power Transmission Ltd"/>
    <n v="645"/>
    <n v="8.1"/>
    <x v="534"/>
  </r>
  <r>
    <n v="23"/>
    <n v="22"/>
    <n v="3"/>
    <n v="5"/>
    <n v="1"/>
    <n v="0"/>
    <x v="9"/>
    <x v="14"/>
    <s v="sjvn ltd."/>
    <n v="475"/>
    <n v="7.6"/>
    <x v="535"/>
  </r>
  <r>
    <n v="12"/>
    <n v="23"/>
    <n v="2"/>
    <n v="7"/>
    <n v="1"/>
    <n v="0"/>
    <x v="9"/>
    <x v="17"/>
    <s v="Jaiprakash Power"/>
    <n v="362"/>
    <n v="8.8000000000000007"/>
    <x v="536"/>
  </r>
  <r>
    <n v="11"/>
    <n v="23"/>
    <n v="0"/>
    <n v="18"/>
    <n v="1"/>
    <n v="0"/>
    <x v="11"/>
    <x v="20"/>
    <s v="Jyoti Structure"/>
    <n v="529"/>
    <n v="0"/>
    <x v="537"/>
  </r>
  <r>
    <n v="10"/>
    <n v="21"/>
    <n v="1"/>
    <n v="22"/>
    <n v="1"/>
    <n v="0"/>
    <x v="7"/>
    <x v="14"/>
    <s v="Neueon Towers / Sujana Towers Ltd."/>
    <n v="646"/>
    <n v="7.6"/>
    <x v="538"/>
  </r>
  <r>
    <n v="7"/>
    <n v="20"/>
    <n v="1"/>
    <n v="11"/>
    <n v="1"/>
    <n v="0"/>
    <x v="5"/>
    <x v="4"/>
    <s v="Reliance Energy"/>
    <n v="299"/>
    <n v="8.6999999999999993"/>
    <x v="539"/>
  </r>
  <r>
    <n v="23"/>
    <n v="22"/>
    <n v="0"/>
    <n v="17"/>
    <n v="1"/>
    <n v="0"/>
    <x v="1"/>
    <x v="6"/>
    <s v="CESC"/>
    <n v="675"/>
    <n v="9.1"/>
    <x v="468"/>
  </r>
  <r>
    <n v="7"/>
    <n v="23"/>
    <n v="2"/>
    <n v="13"/>
    <n v="1"/>
    <n v="0"/>
    <x v="11"/>
    <x v="29"/>
    <s v="Jaiprakash Power"/>
    <n v="503"/>
    <n v="9.3000000000000007"/>
    <x v="540"/>
  </r>
  <r>
    <n v="18"/>
    <n v="23"/>
    <n v="0"/>
    <n v="8"/>
    <n v="0"/>
    <n v="0"/>
    <x v="4"/>
    <x v="8"/>
    <s v="Torrent Power Ltd."/>
    <n v="530"/>
    <n v="8.4"/>
    <x v="541"/>
  </r>
  <r>
    <n v="8"/>
    <n v="23"/>
    <n v="2"/>
    <n v="8"/>
    <n v="1"/>
    <n v="0"/>
    <x v="9"/>
    <x v="2"/>
    <s v="Orient Green"/>
    <n v="554"/>
    <n v="8.9"/>
    <x v="542"/>
  </r>
  <r>
    <n v="8"/>
    <n v="23"/>
    <n v="2"/>
    <n v="8"/>
    <n v="1"/>
    <n v="0"/>
    <x v="9"/>
    <x v="1"/>
    <s v="Jyoti Structure"/>
    <n v="597"/>
    <n v="8.3000000000000007"/>
    <x v="543"/>
  </r>
  <r>
    <n v="18"/>
    <n v="22"/>
    <n v="0"/>
    <n v="16"/>
    <n v="1"/>
    <n v="0"/>
    <x v="4"/>
    <x v="7"/>
    <s v="Tata Power Company Ltd."/>
    <n v="552"/>
    <n v="7.8"/>
    <x v="433"/>
  </r>
  <r>
    <n v="5"/>
    <n v="18"/>
    <n v="1"/>
    <n v="11"/>
    <n v="1"/>
    <n v="0"/>
    <x v="11"/>
    <x v="31"/>
    <s v="Bonfiglioli Transmission Pvt. Ltd."/>
    <n v="267"/>
    <n v="8.5"/>
    <x v="544"/>
  </r>
  <r>
    <n v="17"/>
    <n v="23"/>
    <n v="1"/>
    <n v="14"/>
    <n v="1"/>
    <n v="0"/>
    <x v="10"/>
    <x v="16"/>
    <s v="Tata Power Company Ltd."/>
    <n v="567"/>
    <n v="8.1999999999999993"/>
    <x v="24"/>
  </r>
  <r>
    <n v="7"/>
    <n v="23"/>
    <n v="1"/>
    <n v="12"/>
    <n v="7"/>
    <n v="0"/>
    <x v="5"/>
    <x v="5"/>
    <s v="unknown"/>
    <n v="611"/>
    <n v="7.7"/>
    <x v="171"/>
  </r>
  <r>
    <n v="5"/>
    <n v="23"/>
    <n v="1"/>
    <n v="5"/>
    <n v="1"/>
    <n v="0"/>
    <x v="2"/>
    <x v="19"/>
    <s v="Ratnagiri Gas and Power Pvt. Ltd. (RGPPL)"/>
    <n v="360"/>
    <n v="7.4"/>
    <x v="545"/>
  </r>
  <r>
    <n v="21"/>
    <n v="22"/>
    <n v="2"/>
    <n v="19"/>
    <n v="1"/>
    <n v="0"/>
    <x v="7"/>
    <x v="10"/>
    <s v="Kalpataru Power"/>
    <n v="702"/>
    <n v="8.5"/>
    <x v="546"/>
  </r>
  <r>
    <n v="20"/>
    <n v="22"/>
    <n v="1"/>
    <n v="17"/>
    <n v="1"/>
    <n v="0"/>
    <x v="9"/>
    <x v="5"/>
    <s v="Ringfeder Power Transmission India Pvt. Ltd."/>
    <n v="575"/>
    <n v="7.7"/>
    <x v="547"/>
  </r>
  <r>
    <n v="8"/>
    <n v="21"/>
    <n v="0"/>
    <n v="0"/>
    <n v="7"/>
    <n v="0"/>
    <x v="6"/>
    <x v="9"/>
    <s v="NHPC"/>
    <n v="413"/>
    <n v="7.9"/>
    <x v="548"/>
  </r>
  <r>
    <n v="22"/>
    <n v="22"/>
    <n v="1"/>
    <n v="15"/>
    <n v="1"/>
    <n v="0"/>
    <x v="5"/>
    <x v="7"/>
    <s v="Optibelt Power Transmission India Private Limited"/>
    <n v="633"/>
    <n v="7.8"/>
    <x v="549"/>
  </r>
  <r>
    <n v="11"/>
    <n v="22"/>
    <n v="1"/>
    <n v="0"/>
    <n v="1"/>
    <n v="0"/>
    <x v="8"/>
    <x v="8"/>
    <s v="NLC India"/>
    <n v="585"/>
    <n v="8.4"/>
    <x v="550"/>
  </r>
  <r>
    <n v="19"/>
    <n v="23"/>
    <n v="0"/>
    <n v="15"/>
    <n v="12"/>
    <n v="0"/>
    <x v="0"/>
    <x v="23"/>
    <s v="NTPC Pvt. Ltd."/>
    <n v="642"/>
    <n v="7.8"/>
    <x v="551"/>
  </r>
  <r>
    <n v="18"/>
    <n v="22"/>
    <n v="3"/>
    <n v="9"/>
    <n v="1"/>
    <n v="0"/>
    <x v="6"/>
    <x v="4"/>
    <s v="Kalpataru Power"/>
    <n v="653"/>
    <n v="8.6999999999999993"/>
    <x v="552"/>
  </r>
  <r>
    <n v="11"/>
    <n v="22"/>
    <n v="0"/>
    <n v="13"/>
    <n v="1"/>
    <n v="0"/>
    <x v="11"/>
    <x v="9"/>
    <s v="TransRail Lighting"/>
    <n v="490"/>
    <n v="7.9"/>
    <x v="553"/>
  </r>
  <r>
    <n v="20"/>
    <n v="0"/>
    <n v="2"/>
    <n v="5"/>
    <n v="1"/>
    <n v="0"/>
    <x v="4"/>
    <x v="7"/>
    <s v="Ringfeder Power Transmission India Pvt. Ltd."/>
    <n v="0"/>
    <n v="7.8"/>
    <x v="554"/>
  </r>
  <r>
    <n v="18"/>
    <n v="23"/>
    <n v="2"/>
    <n v="14"/>
    <n v="1"/>
    <n v="0"/>
    <x v="11"/>
    <x v="6"/>
    <s v="Unitech Power Transmission Ltd."/>
    <n v="660"/>
    <n v="9.1"/>
    <x v="555"/>
  </r>
  <r>
    <n v="9"/>
    <n v="18"/>
    <n v="1"/>
    <n v="14"/>
    <n v="1"/>
    <n v="0"/>
    <x v="10"/>
    <x v="0"/>
    <s v="jsw energy ltd."/>
    <n v="447"/>
    <n v="8.1"/>
    <x v="556"/>
  </r>
  <r>
    <n v="7"/>
    <n v="0"/>
    <n v="0"/>
    <n v="16"/>
    <n v="1"/>
    <n v="0"/>
    <x v="3"/>
    <x v="34"/>
    <s v="NTPC Pvt. Ltd."/>
    <n v="590"/>
    <n v="9.1"/>
    <x v="557"/>
  </r>
  <r>
    <n v="15"/>
    <n v="23"/>
    <n v="1"/>
    <n v="19"/>
    <n v="1"/>
    <n v="0"/>
    <x v="1"/>
    <x v="6"/>
    <s v="Sterlite Power Transmission Ltd"/>
    <n v="477"/>
    <n v="9.1"/>
    <x v="24"/>
  </r>
  <r>
    <n v="18"/>
    <n v="23"/>
    <n v="2"/>
    <n v="12"/>
    <n v="12"/>
    <n v="0"/>
    <x v="4"/>
    <x v="14"/>
    <s v="TransRail Lighting"/>
    <n v="532"/>
    <n v="7.6"/>
    <x v="558"/>
  </r>
  <r>
    <n v="15"/>
    <n v="22"/>
    <n v="0"/>
    <n v="14"/>
    <n v="1"/>
    <n v="0"/>
    <x v="6"/>
    <x v="13"/>
    <s v="Reliance Energy"/>
    <n v="598"/>
    <n v="9.1999999999999993"/>
    <x v="559"/>
  </r>
  <r>
    <n v="0"/>
    <n v="22"/>
    <n v="1"/>
    <n v="9"/>
    <n v="1"/>
    <n v="0"/>
    <x v="0"/>
    <x v="8"/>
    <s v="Jyoti Structure"/>
    <n v="314"/>
    <n v="8.4"/>
    <x v="560"/>
  </r>
  <r>
    <n v="0"/>
    <n v="22"/>
    <n v="2"/>
    <n v="7"/>
    <n v="12"/>
    <n v="0"/>
    <x v="5"/>
    <x v="17"/>
    <s v="Optibelt Power Transmission India Private Limited"/>
    <n v="588"/>
    <n v="8.8000000000000007"/>
    <x v="206"/>
  </r>
  <r>
    <n v="15"/>
    <n v="22"/>
    <n v="0"/>
    <n v="18"/>
    <n v="1"/>
    <n v="0"/>
    <x v="8"/>
    <x v="10"/>
    <s v="NLC India"/>
    <n v="439"/>
    <n v="8.5"/>
    <x v="561"/>
  </r>
  <r>
    <n v="6"/>
    <n v="18"/>
    <n v="0"/>
    <n v="5"/>
    <n v="1"/>
    <n v="0"/>
    <x v="8"/>
    <x v="9"/>
    <s v="Ratnagiri Gas and Power Pvt. Ltd. (RGPPL)"/>
    <n v="292"/>
    <n v="7.9"/>
    <x v="562"/>
  </r>
  <r>
    <n v="10"/>
    <n v="20"/>
    <n v="2"/>
    <n v="8"/>
    <n v="1"/>
    <n v="0"/>
    <x v="10"/>
    <x v="7"/>
    <s v="JSW Energy Ltd."/>
    <n v="427"/>
    <n v="7.8"/>
    <x v="563"/>
  </r>
  <r>
    <n v="13"/>
    <n v="23"/>
    <n v="0"/>
    <n v="17"/>
    <n v="1"/>
    <n v="0"/>
    <x v="5"/>
    <x v="16"/>
    <s v="Neueon Towers / Sujana Towers Ltd."/>
    <n v="528"/>
    <n v="8.1999999999999993"/>
    <x v="564"/>
  </r>
  <r>
    <n v="18"/>
    <n v="22"/>
    <n v="3"/>
    <n v="15"/>
    <n v="1"/>
    <n v="0"/>
    <x v="2"/>
    <x v="10"/>
    <s v="Reliance Power"/>
    <n v="600"/>
    <n v="8.5"/>
    <x v="565"/>
  </r>
  <r>
    <n v="6"/>
    <n v="21"/>
    <n v="1"/>
    <n v="15"/>
    <n v="7"/>
    <n v="0"/>
    <x v="3"/>
    <x v="14"/>
    <s v="Indowind Energy"/>
    <n v="388"/>
    <n v="7.6"/>
    <x v="566"/>
  </r>
  <r>
    <n v="0"/>
    <n v="23"/>
    <n v="1"/>
    <n v="10"/>
    <n v="1"/>
    <n v="0"/>
    <x v="8"/>
    <x v="10"/>
    <s v="Orient Green"/>
    <n v="659"/>
    <n v="8.5"/>
    <x v="567"/>
  </r>
  <r>
    <n v="16"/>
    <n v="22"/>
    <n v="3"/>
    <n v="15"/>
    <n v="12"/>
    <n v="0"/>
    <x v="3"/>
    <x v="15"/>
    <s v="Adani Power Ltd."/>
    <n v="827"/>
    <n v="9.3000000000000007"/>
    <x v="568"/>
  </r>
  <r>
    <n v="17"/>
    <n v="23"/>
    <n v="3"/>
    <n v="12"/>
    <n v="1"/>
    <n v="0"/>
    <x v="0"/>
    <x v="16"/>
    <s v="Guj Ind Power"/>
    <n v="622"/>
    <n v="8.1999999999999993"/>
    <x v="569"/>
  </r>
  <r>
    <n v="22"/>
    <n v="23"/>
    <n v="3"/>
    <n v="19"/>
    <n v="12"/>
    <n v="0"/>
    <x v="3"/>
    <x v="14"/>
    <s v="Tata Power Company Ltd."/>
    <n v="717"/>
    <n v="7.6"/>
    <x v="570"/>
  </r>
  <r>
    <n v="15"/>
    <n v="22"/>
    <n v="2"/>
    <n v="19"/>
    <n v="1"/>
    <n v="0"/>
    <x v="6"/>
    <x v="22"/>
    <s v="Reliance Power"/>
    <n v="500"/>
    <n v="7.4"/>
    <x v="571"/>
  </r>
  <r>
    <n v="0"/>
    <n v="23"/>
    <n v="0"/>
    <n v="9"/>
    <n v="1"/>
    <n v="0"/>
    <x v="3"/>
    <x v="16"/>
    <s v="TransRail Lighting"/>
    <n v="350"/>
    <n v="8.1999999999999993"/>
    <x v="572"/>
  </r>
  <r>
    <n v="5"/>
    <n v="21"/>
    <n v="3"/>
    <n v="16"/>
    <n v="7"/>
    <n v="0"/>
    <x v="4"/>
    <x v="5"/>
    <s v="Orient Green"/>
    <n v="682"/>
    <n v="7.7"/>
    <x v="573"/>
  </r>
  <r>
    <n v="17"/>
    <n v="0"/>
    <n v="3"/>
    <n v="19"/>
    <n v="1"/>
    <n v="0"/>
    <x v="2"/>
    <x v="15"/>
    <s v="Unitech Power Transmission Ltd."/>
    <n v="0"/>
    <n v="0"/>
    <x v="574"/>
  </r>
  <r>
    <n v="11"/>
    <n v="23"/>
    <n v="1"/>
    <n v="20"/>
    <n v="1"/>
    <n v="0"/>
    <x v="0"/>
    <x v="10"/>
    <s v="Sunil Hitech Eng"/>
    <n v="555"/>
    <n v="8.5"/>
    <x v="575"/>
  </r>
  <r>
    <n v="20"/>
    <n v="22"/>
    <n v="1"/>
    <n v="8"/>
    <n v="12"/>
    <n v="0"/>
    <x v="4"/>
    <x v="3"/>
    <s v="Ratnagiri Gas and Power Pvt. Ltd. (RGPPL)"/>
    <n v="717"/>
    <n v="8.9"/>
    <x v="576"/>
  </r>
  <r>
    <n v="19"/>
    <n v="23"/>
    <n v="0"/>
    <n v="6"/>
    <n v="1"/>
    <n v="0"/>
    <x v="6"/>
    <x v="6"/>
    <s v="maha transco â€“ maharashtra state electricity transmission co, ltd."/>
    <n v="0"/>
    <n v="9.1"/>
    <x v="577"/>
  </r>
  <r>
    <n v="12"/>
    <n v="22"/>
    <n v="3"/>
    <n v="0"/>
    <n v="12"/>
    <n v="0"/>
    <x v="10"/>
    <x v="4"/>
    <s v="Kalpataru Power"/>
    <n v="587"/>
    <n v="8.6999999999999993"/>
    <x v="578"/>
  </r>
  <r>
    <n v="8"/>
    <n v="21"/>
    <n v="2"/>
    <n v="5"/>
    <n v="1"/>
    <n v="0"/>
    <x v="8"/>
    <x v="13"/>
    <s v="Toshiba Transmission &amp; Distribution Systems (India) Pvt. Ltd."/>
    <n v="358"/>
    <n v="9.1999999999999993"/>
    <x v="579"/>
  </r>
  <r>
    <n v="0"/>
    <n v="23"/>
    <n v="0"/>
    <n v="3"/>
    <n v="1"/>
    <n v="0"/>
    <x v="2"/>
    <x v="6"/>
    <s v="L&amp;T Transmission &amp; Distribution"/>
    <n v="251"/>
    <n v="9.1"/>
    <x v="580"/>
  </r>
  <r>
    <n v="19"/>
    <n v="23"/>
    <n v="1"/>
    <n v="10"/>
    <n v="1"/>
    <n v="0"/>
    <x v="5"/>
    <x v="18"/>
    <s v="CESC"/>
    <n v="589"/>
    <n v="8.3000000000000007"/>
    <x v="108"/>
  </r>
  <r>
    <n v="14"/>
    <n v="23"/>
    <n v="1"/>
    <n v="16"/>
    <n v="1"/>
    <n v="0"/>
    <x v="4"/>
    <x v="28"/>
    <s v="Jyoti Structure"/>
    <n v="599"/>
    <n v="8.8000000000000007"/>
    <x v="581"/>
  </r>
  <r>
    <n v="22"/>
    <n v="23"/>
    <n v="0"/>
    <n v="14"/>
    <n v="12"/>
    <n v="0"/>
    <x v="4"/>
    <x v="7"/>
    <s v="tata power company ltd."/>
    <n v="579"/>
    <n v="7.8"/>
    <x v="582"/>
  </r>
  <r>
    <n v="11"/>
    <n v="22"/>
    <n v="3"/>
    <n v="18"/>
    <n v="1"/>
    <n v="0"/>
    <x v="2"/>
    <x v="13"/>
    <s v="unknown"/>
    <n v="443"/>
    <n v="0"/>
    <x v="583"/>
  </r>
  <r>
    <n v="20"/>
    <n v="22"/>
    <n v="0"/>
    <n v="22"/>
    <n v="1"/>
    <n v="0"/>
    <x v="8"/>
    <x v="16"/>
    <s v="Power Grid Corp"/>
    <n v="473"/>
    <n v="8.1999999999999993"/>
    <x v="584"/>
  </r>
  <r>
    <n v="0"/>
    <n v="23"/>
    <n v="0"/>
    <n v="4"/>
    <n v="1"/>
    <n v="0"/>
    <x v="3"/>
    <x v="10"/>
    <s v="Toshiba Transmission &amp; Distribution Systems (India) Pvt. Ltd."/>
    <n v="453"/>
    <n v="8.5"/>
    <x v="585"/>
  </r>
  <r>
    <n v="21"/>
    <n v="23"/>
    <n v="1"/>
    <n v="0"/>
    <n v="1"/>
    <n v="0"/>
    <x v="8"/>
    <x v="9"/>
    <s v="GE T&amp;D India Limited"/>
    <n v="661"/>
    <n v="7.9"/>
    <x v="586"/>
  </r>
  <r>
    <n v="18"/>
    <n v="22"/>
    <n v="0"/>
    <n v="18"/>
    <n v="1"/>
    <n v="0"/>
    <x v="4"/>
    <x v="8"/>
    <s v="Ringfeder Power Transmission India Pvt. Ltd."/>
    <n v="501"/>
    <n v="8.4"/>
    <x v="587"/>
  </r>
  <r>
    <n v="10"/>
    <n v="20"/>
    <n v="0"/>
    <n v="12"/>
    <n v="1"/>
    <n v="0"/>
    <x v="1"/>
    <x v="29"/>
    <s v="GE T&amp;D India Limited"/>
    <n v="366"/>
    <n v="9.3000000000000007"/>
    <x v="588"/>
  </r>
  <r>
    <n v="22"/>
    <n v="23"/>
    <n v="0"/>
    <n v="20"/>
    <n v="12"/>
    <n v="0"/>
    <x v="12"/>
    <x v="15"/>
    <s v="Reliance Power"/>
    <n v="684"/>
    <n v="9.3000000000000007"/>
    <x v="589"/>
  </r>
  <r>
    <n v="10"/>
    <n v="20"/>
    <n v="1"/>
    <n v="0"/>
    <n v="7"/>
    <n v="0"/>
    <x v="1"/>
    <x v="1"/>
    <s v="Orient Green"/>
    <n v="423"/>
    <n v="8.3000000000000007"/>
    <x v="590"/>
  </r>
  <r>
    <n v="17"/>
    <n v="23"/>
    <n v="1"/>
    <n v="9"/>
    <n v="0"/>
    <n v="0"/>
    <x v="9"/>
    <x v="17"/>
    <s v="Indowind Energy"/>
    <n v="568"/>
    <n v="8.8000000000000007"/>
    <x v="591"/>
  </r>
  <r>
    <n v="14"/>
    <n v="23"/>
    <n v="0"/>
    <n v="20"/>
    <n v="1"/>
    <n v="0"/>
    <x v="9"/>
    <x v="1"/>
    <s v="reliance energy"/>
    <n v="620"/>
    <n v="8.3000000000000007"/>
    <x v="592"/>
  </r>
  <r>
    <n v="0"/>
    <n v="23"/>
    <n v="1"/>
    <n v="6"/>
    <n v="1"/>
    <n v="0"/>
    <x v="4"/>
    <x v="1"/>
    <s v="CESC"/>
    <n v="607"/>
    <n v="8.3000000000000007"/>
    <x v="593"/>
  </r>
  <r>
    <n v="16"/>
    <n v="22"/>
    <n v="0"/>
    <n v="3"/>
    <n v="1"/>
    <n v="0"/>
    <x v="8"/>
    <x v="5"/>
    <s v="GE T&amp;D India Limited"/>
    <n v="363"/>
    <n v="7.7"/>
    <x v="594"/>
  </r>
  <r>
    <n v="22"/>
    <n v="23"/>
    <n v="2"/>
    <n v="14"/>
    <n v="1"/>
    <n v="0"/>
    <x v="7"/>
    <x v="5"/>
    <s v="Kalpataru Power"/>
    <n v="709"/>
    <n v="7.7"/>
    <x v="595"/>
  </r>
  <r>
    <n v="12"/>
    <n v="23"/>
    <n v="1"/>
    <n v="12"/>
    <n v="12"/>
    <n v="0"/>
    <x v="11"/>
    <x v="3"/>
    <s v="SJVN Ltd."/>
    <n v="589"/>
    <n v="8.9"/>
    <x v="596"/>
  </r>
  <r>
    <n v="16"/>
    <n v="22"/>
    <n v="3"/>
    <n v="7"/>
    <n v="1"/>
    <n v="0"/>
    <x v="12"/>
    <x v="6"/>
    <s v="Unitech Power Transmission Ltd."/>
    <n v="612"/>
    <n v="9.1"/>
    <x v="597"/>
  </r>
  <r>
    <n v="9"/>
    <n v="22"/>
    <n v="3"/>
    <n v="0"/>
    <n v="0"/>
    <n v="0"/>
    <x v="0"/>
    <x v="14"/>
    <s v="Tata Power Company Ltd."/>
    <n v="504"/>
    <n v="7.6"/>
    <x v="158"/>
  </r>
  <r>
    <n v="9"/>
    <n v="21"/>
    <n v="0"/>
    <n v="21"/>
    <n v="1"/>
    <n v="0"/>
    <x v="4"/>
    <x v="1"/>
    <s v="Ratnagiri Gas and Power Pvt. Ltd. (RGPPL)"/>
    <n v="419"/>
    <n v="8.3000000000000007"/>
    <x v="598"/>
  </r>
  <r>
    <n v="23"/>
    <n v="22"/>
    <n v="1"/>
    <n v="12"/>
    <n v="1"/>
    <n v="0"/>
    <x v="6"/>
    <x v="3"/>
    <s v="JSW Energy Ltd."/>
    <n v="544"/>
    <n v="8.9"/>
    <x v="24"/>
  </r>
  <r>
    <n v="21"/>
    <n v="23"/>
    <n v="2"/>
    <n v="16"/>
    <n v="0"/>
    <n v="0"/>
    <x v="4"/>
    <x v="7"/>
    <s v="KEC International"/>
    <n v="483"/>
    <n v="7.8"/>
    <x v="599"/>
  </r>
  <r>
    <n v="12"/>
    <n v="23"/>
    <n v="1"/>
    <n v="11"/>
    <n v="1"/>
    <n v="0"/>
    <x v="3"/>
    <x v="28"/>
    <s v="Jyoti Structure"/>
    <n v="477"/>
    <n v="8.8000000000000007"/>
    <x v="600"/>
  </r>
  <r>
    <n v="20"/>
    <n v="22"/>
    <n v="3"/>
    <n v="18"/>
    <n v="1"/>
    <n v="0"/>
    <x v="2"/>
    <x v="1"/>
    <s v="NLC India"/>
    <n v="512"/>
    <n v="8.3000000000000007"/>
    <x v="601"/>
  </r>
  <r>
    <n v="6"/>
    <n v="17"/>
    <n v="2"/>
    <n v="18"/>
    <n v="0"/>
    <n v="0"/>
    <x v="11"/>
    <x v="15"/>
    <s v="L&amp;T Transmission &amp; Distribution"/>
    <n v="547"/>
    <n v="9.3000000000000007"/>
    <x v="602"/>
  </r>
  <r>
    <n v="15"/>
    <n v="23"/>
    <n v="1"/>
    <n v="22"/>
    <n v="1"/>
    <n v="0"/>
    <x v="5"/>
    <x v="17"/>
    <s v="KEC International"/>
    <n v="489"/>
    <n v="8.8000000000000007"/>
    <x v="603"/>
  </r>
  <r>
    <n v="21"/>
    <n v="23"/>
    <n v="3"/>
    <n v="7"/>
    <n v="1"/>
    <n v="0"/>
    <x v="1"/>
    <x v="16"/>
    <s v="Power Grid Corp"/>
    <n v="483"/>
    <n v="8.1999999999999993"/>
    <x v="397"/>
  </r>
  <r>
    <n v="14"/>
    <n v="0"/>
    <n v="3"/>
    <n v="5"/>
    <n v="1"/>
    <n v="0"/>
    <x v="6"/>
    <x v="7"/>
    <s v="Jyoti Structure"/>
    <n v="563"/>
    <n v="7.8"/>
    <x v="604"/>
  </r>
  <r>
    <n v="19"/>
    <n v="22"/>
    <n v="3"/>
    <n v="19"/>
    <n v="1"/>
    <n v="0"/>
    <x v="8"/>
    <x v="6"/>
    <s v="jsw energy ltd."/>
    <n v="733"/>
    <n v="9.1"/>
    <x v="605"/>
  </r>
  <r>
    <n v="15"/>
    <n v="23"/>
    <n v="2"/>
    <n v="18"/>
    <n v="1"/>
    <n v="0"/>
    <x v="11"/>
    <x v="1"/>
    <s v="Tata Power Company Ltd."/>
    <n v="536"/>
    <n v="8.3000000000000007"/>
    <x v="606"/>
  </r>
  <r>
    <n v="15"/>
    <n v="22"/>
    <n v="3"/>
    <n v="8"/>
    <n v="1"/>
    <n v="0"/>
    <x v="6"/>
    <x v="8"/>
    <s v="Optibelt Power Transmission India Private Limited"/>
    <n v="427"/>
    <n v="8.4"/>
    <x v="607"/>
  </r>
  <r>
    <n v="11"/>
    <n v="23"/>
    <n v="1"/>
    <n v="0"/>
    <n v="12"/>
    <n v="0"/>
    <x v="4"/>
    <x v="15"/>
    <s v="Reliance Energy"/>
    <n v="799"/>
    <n v="9.3000000000000007"/>
    <x v="608"/>
  </r>
  <r>
    <n v="9"/>
    <n v="17"/>
    <n v="1"/>
    <n v="15"/>
    <n v="1"/>
    <n v="0"/>
    <x v="7"/>
    <x v="10"/>
    <s v="ringfeder power transmission india pvt. ltd."/>
    <n v="319"/>
    <n v="8.5"/>
    <x v="609"/>
  </r>
  <r>
    <n v="16"/>
    <n v="22"/>
    <n v="1"/>
    <n v="21"/>
    <n v="12"/>
    <n v="0"/>
    <x v="6"/>
    <x v="20"/>
    <s v="KEC International"/>
    <n v="730"/>
    <n v="8.5"/>
    <x v="24"/>
  </r>
  <r>
    <n v="12"/>
    <n v="23"/>
    <n v="2"/>
    <n v="20"/>
    <n v="12"/>
    <n v="0"/>
    <x v="3"/>
    <x v="15"/>
    <s v="Power Grid Corp"/>
    <n v="713"/>
    <n v="9.3000000000000007"/>
    <x v="610"/>
  </r>
  <r>
    <n v="20"/>
    <n v="22"/>
    <n v="2"/>
    <n v="17"/>
    <n v="1"/>
    <n v="0"/>
    <x v="1"/>
    <x v="5"/>
    <s v="Kalpataru Power"/>
    <n v="565"/>
    <n v="7.7"/>
    <x v="611"/>
  </r>
  <r>
    <n v="19"/>
    <n v="22"/>
    <n v="3"/>
    <n v="18"/>
    <n v="1"/>
    <n v="0"/>
    <x v="2"/>
    <x v="10"/>
    <s v="NHPC"/>
    <n v="582"/>
    <n v="8.5"/>
    <x v="612"/>
  </r>
  <r>
    <n v="20"/>
    <n v="22"/>
    <n v="3"/>
    <n v="6"/>
    <n v="1"/>
    <n v="0"/>
    <x v="3"/>
    <x v="1"/>
    <s v="NHPC"/>
    <n v="587"/>
    <n v="8.3000000000000007"/>
    <x v="613"/>
  </r>
  <r>
    <n v="6"/>
    <n v="18"/>
    <n v="0"/>
    <n v="17"/>
    <n v="1"/>
    <n v="0"/>
    <x v="12"/>
    <x v="22"/>
    <s v="Ratnagiri Gas and Power Pvt. Ltd. (RGPPL)"/>
    <n v="442"/>
    <n v="8.1999999999999993"/>
    <x v="614"/>
  </r>
  <r>
    <n v="0"/>
    <n v="22"/>
    <n v="3"/>
    <n v="18"/>
    <n v="12"/>
    <n v="0"/>
    <x v="9"/>
    <x v="20"/>
    <s v="Jyoti Structure"/>
    <n v="789"/>
    <n v="7.8"/>
    <x v="615"/>
  </r>
  <r>
    <n v="17"/>
    <n v="23"/>
    <n v="3"/>
    <n v="7"/>
    <n v="1"/>
    <n v="0"/>
    <x v="7"/>
    <x v="16"/>
    <s v="Torrent Power Ltd."/>
    <n v="513"/>
    <n v="8.1999999999999993"/>
    <x v="302"/>
  </r>
  <r>
    <n v="8"/>
    <n v="17"/>
    <n v="1"/>
    <n v="6"/>
    <n v="1"/>
    <n v="0"/>
    <x v="8"/>
    <x v="0"/>
    <s v="L&amp;T Transmission &amp; Distribution"/>
    <n v="292"/>
    <n v="8.1"/>
    <x v="616"/>
  </r>
  <r>
    <n v="9"/>
    <n v="19"/>
    <n v="0"/>
    <n v="13"/>
    <n v="7"/>
    <n v="0"/>
    <x v="8"/>
    <x v="9"/>
    <s v="Guj Ind Power"/>
    <n v="543"/>
    <n v="7.9"/>
    <x v="617"/>
  </r>
  <r>
    <n v="18"/>
    <n v="23"/>
    <n v="3"/>
    <n v="20"/>
    <n v="1"/>
    <n v="0"/>
    <x v="2"/>
    <x v="17"/>
    <s v="jaiprakash power"/>
    <n v="598"/>
    <n v="8.8000000000000007"/>
    <x v="618"/>
  </r>
  <r>
    <n v="10"/>
    <n v="23"/>
    <n v="1"/>
    <n v="22"/>
    <n v="0"/>
    <n v="0"/>
    <x v="7"/>
    <x v="4"/>
    <s v="Sterlite Power Transmission Ltd"/>
    <n v="565"/>
    <n v="8.6999999999999993"/>
    <x v="619"/>
  </r>
  <r>
    <n v="22"/>
    <n v="23"/>
    <n v="2"/>
    <n v="21"/>
    <n v="1"/>
    <n v="0"/>
    <x v="7"/>
    <x v="16"/>
    <s v="SJVN Ltd."/>
    <n v="737"/>
    <n v="8.1999999999999993"/>
    <x v="620"/>
  </r>
  <r>
    <n v="5"/>
    <n v="17"/>
    <n v="0"/>
    <n v="21"/>
    <n v="7"/>
    <n v="0"/>
    <x v="8"/>
    <x v="27"/>
    <s v="Orient Green"/>
    <n v="503"/>
    <n v="8.1"/>
    <x v="621"/>
  </r>
  <r>
    <n v="7"/>
    <n v="21"/>
    <n v="2"/>
    <n v="5"/>
    <n v="1"/>
    <n v="0"/>
    <x v="2"/>
    <x v="13"/>
    <s v="Jaiprakash Power"/>
    <n v="348"/>
    <n v="9.1999999999999993"/>
    <x v="622"/>
  </r>
  <r>
    <n v="20"/>
    <n v="23"/>
    <n v="1"/>
    <n v="19"/>
    <n v="1"/>
    <n v="0"/>
    <x v="0"/>
    <x v="16"/>
    <s v="Sterlite Power Transmission Ltd"/>
    <n v="464"/>
    <n v="8.1999999999999993"/>
    <x v="623"/>
  </r>
  <r>
    <n v="11"/>
    <n v="22"/>
    <n v="2"/>
    <n v="19"/>
    <n v="1"/>
    <n v="0"/>
    <x v="1"/>
    <x v="10"/>
    <s v="Neueon Towers / Sujana Towers Ltd."/>
    <n v="461"/>
    <n v="8.5"/>
    <x v="624"/>
  </r>
  <r>
    <n v="21"/>
    <n v="22"/>
    <n v="1"/>
    <n v="8"/>
    <n v="1"/>
    <n v="0"/>
    <x v="3"/>
    <x v="24"/>
    <s v="unknown"/>
    <n v="608"/>
    <n v="7.6"/>
    <x v="625"/>
  </r>
  <r>
    <n v="0"/>
    <n v="23"/>
    <n v="0"/>
    <n v="6"/>
    <n v="1"/>
    <n v="0"/>
    <x v="6"/>
    <x v="2"/>
    <s v="GE T&amp;D India Limited"/>
    <n v="564"/>
    <n v="8.9"/>
    <x v="4"/>
  </r>
  <r>
    <n v="19"/>
    <n v="22"/>
    <n v="2"/>
    <n v="16"/>
    <n v="1"/>
    <n v="0"/>
    <x v="11"/>
    <x v="10"/>
    <s v="Indowind Energy"/>
    <n v="700"/>
    <n v="8.5"/>
    <x v="626"/>
  </r>
  <r>
    <n v="0"/>
    <n v="22"/>
    <n v="1"/>
    <n v="6"/>
    <n v="1"/>
    <n v="0"/>
    <x v="10"/>
    <x v="17"/>
    <s v="Ratnagiri Gas and Power Pvt. Ltd. (RGPPL)"/>
    <n v="524"/>
    <n v="8.8000000000000007"/>
    <x v="446"/>
  </r>
  <r>
    <n v="14"/>
    <n v="22"/>
    <n v="1"/>
    <n v="21"/>
    <n v="1"/>
    <n v="0"/>
    <x v="0"/>
    <x v="15"/>
    <s v="NHPC"/>
    <n v="511"/>
    <n v="9.3000000000000007"/>
    <x v="627"/>
  </r>
  <r>
    <n v="15"/>
    <n v="22"/>
    <n v="3"/>
    <n v="13"/>
    <n v="12"/>
    <n v="0"/>
    <x v="7"/>
    <x v="13"/>
    <s v="TransRail Lighting"/>
    <n v="682"/>
    <n v="9.1999999999999993"/>
    <x v="628"/>
  </r>
  <r>
    <n v="17"/>
    <n v="23"/>
    <n v="2"/>
    <n v="8"/>
    <n v="12"/>
    <n v="0"/>
    <x v="6"/>
    <x v="15"/>
    <s v="Kalpataru Power"/>
    <n v="598"/>
    <n v="9.3000000000000007"/>
    <x v="629"/>
  </r>
  <r>
    <n v="23"/>
    <n v="23"/>
    <n v="0"/>
    <n v="11"/>
    <n v="1"/>
    <n v="0"/>
    <x v="12"/>
    <x v="16"/>
    <s v="Ringfeder Power Transmission India Pvt. Ltd."/>
    <n v="568"/>
    <n v="8.1999999999999993"/>
    <x v="630"/>
  </r>
  <r>
    <n v="16"/>
    <n v="22"/>
    <n v="1"/>
    <n v="15"/>
    <n v="12"/>
    <n v="0"/>
    <x v="4"/>
    <x v="20"/>
    <s v="Sterlite Power Transmission Ltd"/>
    <n v="640"/>
    <n v="9.1999999999999993"/>
    <x v="235"/>
  </r>
  <r>
    <n v="10"/>
    <n v="17"/>
    <n v="1"/>
    <n v="10"/>
    <n v="1"/>
    <n v="0"/>
    <x v="0"/>
    <x v="15"/>
    <s v="Jaiprakash Power"/>
    <n v="243"/>
    <n v="9.3000000000000007"/>
    <x v="631"/>
  </r>
  <r>
    <n v="16"/>
    <n v="23"/>
    <n v="0"/>
    <n v="21"/>
    <n v="1"/>
    <n v="0"/>
    <x v="1"/>
    <x v="7"/>
    <s v="unknown"/>
    <n v="440"/>
    <n v="0"/>
    <x v="530"/>
  </r>
  <r>
    <n v="18"/>
    <n v="23"/>
    <n v="0"/>
    <n v="12"/>
    <n v="1"/>
    <n v="0"/>
    <x v="6"/>
    <x v="15"/>
    <s v="Power Grid Corp"/>
    <n v="480"/>
    <n v="9.3000000000000007"/>
    <x v="632"/>
  </r>
  <r>
    <n v="19"/>
    <n v="22"/>
    <n v="0"/>
    <n v="16"/>
    <n v="1"/>
    <n v="0"/>
    <x v="10"/>
    <x v="7"/>
    <s v="Jyoti Structure"/>
    <n v="541"/>
    <n v="7.8"/>
    <x v="633"/>
  </r>
  <r>
    <n v="22"/>
    <n v="22"/>
    <n v="3"/>
    <n v="22"/>
    <n v="0"/>
    <n v="0"/>
    <x v="9"/>
    <x v="3"/>
    <s v="torrent power ltd."/>
    <n v="762"/>
    <n v="8.9"/>
    <x v="634"/>
  </r>
  <r>
    <n v="13"/>
    <n v="23"/>
    <n v="1"/>
    <n v="3"/>
    <n v="1"/>
    <n v="0"/>
    <x v="12"/>
    <x v="15"/>
    <s v="CESC"/>
    <n v="311"/>
    <n v="9.3000000000000007"/>
    <x v="635"/>
  </r>
  <r>
    <n v="18"/>
    <n v="22"/>
    <n v="2"/>
    <n v="22"/>
    <n v="1"/>
    <n v="0"/>
    <x v="10"/>
    <x v="3"/>
    <s v="NTPC Pvt. Ltd."/>
    <n v="715"/>
    <n v="8.9"/>
    <x v="636"/>
  </r>
  <r>
    <n v="7"/>
    <n v="20"/>
    <n v="2"/>
    <n v="12"/>
    <n v="0"/>
    <n v="0"/>
    <x v="7"/>
    <x v="8"/>
    <s v="l&amp;t transmission &amp; distribution"/>
    <n v="595"/>
    <n v="8.4"/>
    <x v="637"/>
  </r>
  <r>
    <n v="17"/>
    <n v="23"/>
    <n v="1"/>
    <n v="8"/>
    <n v="1"/>
    <n v="0"/>
    <x v="8"/>
    <x v="9"/>
    <s v="Orient Green"/>
    <n v="559"/>
    <n v="7.9"/>
    <x v="638"/>
  </r>
  <r>
    <n v="20"/>
    <n v="22"/>
    <n v="3"/>
    <n v="3"/>
    <n v="1"/>
    <n v="0"/>
    <x v="7"/>
    <x v="8"/>
    <s v="Unitech Power Transmission Ltd."/>
    <n v="566"/>
    <n v="8.4"/>
    <x v="193"/>
  </r>
  <r>
    <n v="16"/>
    <n v="22"/>
    <n v="2"/>
    <n v="3"/>
    <n v="12"/>
    <n v="0"/>
    <x v="11"/>
    <x v="16"/>
    <s v="Maha Transco â€“ Maharashtra State Electricity Transmission Co, Ltd."/>
    <n v="614"/>
    <n v="8.1999999999999993"/>
    <x v="639"/>
  </r>
  <r>
    <n v="12"/>
    <n v="22"/>
    <n v="2"/>
    <n v="6"/>
    <n v="1"/>
    <n v="0"/>
    <x v="9"/>
    <x v="10"/>
    <s v="GE T&amp;D India Limited"/>
    <n v="0"/>
    <n v="8.5"/>
    <x v="640"/>
  </r>
  <r>
    <n v="8"/>
    <n v="23"/>
    <n v="0"/>
    <n v="15"/>
    <n v="1"/>
    <n v="0"/>
    <x v="1"/>
    <x v="17"/>
    <s v="Sterlite Power Transmission Ltd"/>
    <n v="537"/>
    <n v="8.8000000000000007"/>
    <x v="641"/>
  </r>
  <r>
    <n v="8"/>
    <n v="23"/>
    <n v="0"/>
    <n v="8"/>
    <n v="1"/>
    <n v="0"/>
    <x v="4"/>
    <x v="14"/>
    <s v="unknown"/>
    <n v="292"/>
    <n v="7.6"/>
    <x v="24"/>
  </r>
  <r>
    <n v="22"/>
    <n v="22"/>
    <n v="3"/>
    <n v="9"/>
    <n v="0"/>
    <n v="0"/>
    <x v="0"/>
    <x v="13"/>
    <s v="NHPC"/>
    <n v="405"/>
    <n v="9.1999999999999993"/>
    <x v="317"/>
  </r>
  <r>
    <n v="0"/>
    <n v="22"/>
    <n v="2"/>
    <n v="5"/>
    <n v="1"/>
    <n v="0"/>
    <x v="5"/>
    <x v="1"/>
    <s v="Neueon Towers / Sujana Towers Ltd."/>
    <n v="380"/>
    <n v="8.3000000000000007"/>
    <x v="642"/>
  </r>
  <r>
    <n v="11"/>
    <n v="23"/>
    <n v="2"/>
    <n v="15"/>
    <n v="1"/>
    <n v="0"/>
    <x v="12"/>
    <x v="4"/>
    <s v="Adani Power Ltd."/>
    <n v="668"/>
    <n v="8.6999999999999993"/>
    <x v="25"/>
  </r>
  <r>
    <n v="16"/>
    <n v="23"/>
    <n v="2"/>
    <n v="5"/>
    <n v="1"/>
    <n v="0"/>
    <x v="9"/>
    <x v="3"/>
    <s v="Reliance Energy"/>
    <n v="462"/>
    <n v="8.9"/>
    <x v="24"/>
  </r>
  <r>
    <n v="23"/>
    <n v="22"/>
    <n v="3"/>
    <n v="20"/>
    <n v="12"/>
    <n v="0"/>
    <x v="10"/>
    <x v="10"/>
    <s v="Kalpataru Power"/>
    <n v="0"/>
    <n v="8.5"/>
    <x v="643"/>
  </r>
  <r>
    <n v="5"/>
    <n v="23"/>
    <n v="0"/>
    <n v="11"/>
    <n v="1"/>
    <n v="0"/>
    <x v="12"/>
    <x v="4"/>
    <s v="TransRail Lighting"/>
    <n v="547"/>
    <n v="8.6999999999999993"/>
    <x v="644"/>
  </r>
  <r>
    <n v="19"/>
    <n v="23"/>
    <n v="1"/>
    <n v="21"/>
    <n v="0"/>
    <n v="0"/>
    <x v="2"/>
    <x v="17"/>
    <s v="Guj Ind Power"/>
    <n v="725"/>
    <n v="8.8000000000000007"/>
    <x v="645"/>
  </r>
  <r>
    <n v="17"/>
    <n v="22"/>
    <n v="1"/>
    <n v="18"/>
    <n v="1"/>
    <n v="0"/>
    <x v="0"/>
    <x v="6"/>
    <s v="Jaiprakash Power"/>
    <n v="463"/>
    <n v="9.1"/>
    <x v="646"/>
  </r>
  <r>
    <n v="15"/>
    <n v="23"/>
    <n v="0"/>
    <n v="22"/>
    <n v="1"/>
    <n v="0"/>
    <x v="11"/>
    <x v="0"/>
    <s v="Adani Power Ltd."/>
    <n v="505"/>
    <n v="8.1"/>
    <x v="24"/>
  </r>
  <r>
    <n v="12"/>
    <n v="23"/>
    <n v="1"/>
    <n v="7"/>
    <n v="1"/>
    <n v="0"/>
    <x v="6"/>
    <x v="8"/>
    <s v="Unitech Power Transmission Ltd."/>
    <n v="459"/>
    <n v="0"/>
    <x v="647"/>
  </r>
  <r>
    <n v="17"/>
    <n v="23"/>
    <n v="0"/>
    <n v="17"/>
    <n v="1"/>
    <n v="0"/>
    <x v="5"/>
    <x v="7"/>
    <s v="Maha Transco â€“ Maharashtra State Electricity Transmission Co, Ltd."/>
    <n v="493"/>
    <n v="7.8"/>
    <x v="207"/>
  </r>
  <r>
    <n v="6"/>
    <n v="20"/>
    <n v="3"/>
    <n v="20"/>
    <n v="1"/>
    <n v="0"/>
    <x v="1"/>
    <x v="0"/>
    <s v="indowind energy"/>
    <n v="0"/>
    <n v="8.1"/>
    <x v="648"/>
  </r>
  <r>
    <n v="8"/>
    <n v="22"/>
    <n v="0"/>
    <n v="3"/>
    <n v="1"/>
    <n v="0"/>
    <x v="5"/>
    <x v="34"/>
    <s v="L&amp;T Transmission &amp; Distribution"/>
    <n v="331"/>
    <n v="9.1"/>
    <x v="649"/>
  </r>
  <r>
    <n v="14"/>
    <n v="22"/>
    <n v="2"/>
    <n v="14"/>
    <n v="1"/>
    <n v="0"/>
    <x v="6"/>
    <x v="15"/>
    <s v="Jaiprakash Power"/>
    <n v="647"/>
    <n v="9.3000000000000007"/>
    <x v="650"/>
  </r>
  <r>
    <n v="0"/>
    <n v="23"/>
    <n v="0"/>
    <n v="3"/>
    <n v="12"/>
    <n v="0"/>
    <x v="7"/>
    <x v="3"/>
    <s v="unknown"/>
    <n v="491"/>
    <n v="8.9"/>
    <x v="651"/>
  </r>
  <r>
    <n v="20"/>
    <n v="23"/>
    <n v="3"/>
    <n v="5"/>
    <n v="1"/>
    <n v="0"/>
    <x v="4"/>
    <x v="10"/>
    <s v="L&amp;T Transmission &amp; Distribution"/>
    <n v="656"/>
    <s v="nan "/>
    <x v="652"/>
  </r>
  <r>
    <n v="22"/>
    <n v="23"/>
    <n v="3"/>
    <n v="20"/>
    <n v="1"/>
    <n v="0"/>
    <x v="8"/>
    <x v="19"/>
    <s v="L&amp;T Transmission &amp; Distribution"/>
    <n v="655"/>
    <n v="7.4"/>
    <x v="324"/>
  </r>
  <r>
    <n v="14"/>
    <n v="23"/>
    <n v="2"/>
    <n v="18"/>
    <n v="1"/>
    <n v="0"/>
    <x v="12"/>
    <x v="30"/>
    <s v="KEC International"/>
    <n v="0"/>
    <n v="7.7"/>
    <x v="653"/>
  </r>
  <r>
    <n v="18"/>
    <n v="22"/>
    <n v="0"/>
    <n v="13"/>
    <n v="1"/>
    <n v="0"/>
    <x v="1"/>
    <x v="8"/>
    <s v="Kalpataru Power"/>
    <n v="0"/>
    <n v="0"/>
    <x v="138"/>
  </r>
  <r>
    <n v="5"/>
    <n v="18"/>
    <n v="0"/>
    <n v="9"/>
    <n v="1"/>
    <n v="0"/>
    <x v="8"/>
    <x v="30"/>
    <s v="Jyoti Structure"/>
    <n v="386"/>
    <n v="7.7"/>
    <x v="654"/>
  </r>
  <r>
    <n v="12"/>
    <n v="22"/>
    <n v="0"/>
    <n v="6"/>
    <n v="1"/>
    <n v="0"/>
    <x v="0"/>
    <x v="4"/>
    <s v="Reliance Energy"/>
    <n v="0"/>
    <n v="8.6999999999999993"/>
    <x v="655"/>
  </r>
  <r>
    <n v="22"/>
    <n v="22"/>
    <n v="0"/>
    <n v="11"/>
    <n v="0"/>
    <n v="0"/>
    <x v="2"/>
    <x v="4"/>
    <s v="Ringfeder Power Transmission India Pvt. Ltd."/>
    <n v="600"/>
    <n v="8.6999999999999993"/>
    <x v="656"/>
  </r>
  <r>
    <n v="9"/>
    <n v="17"/>
    <n v="3"/>
    <n v="5"/>
    <n v="7"/>
    <n v="0"/>
    <x v="10"/>
    <x v="8"/>
    <s v="Ratnagiri Gas and Power Pvt. Ltd. (RGPPL)"/>
    <n v="502"/>
    <n v="0"/>
    <x v="24"/>
  </r>
  <r>
    <n v="0"/>
    <n v="23"/>
    <n v="0"/>
    <n v="3"/>
    <n v="1"/>
    <n v="0"/>
    <x v="6"/>
    <x v="30"/>
    <s v="Bonfiglioli Transmission Pvt. Ltd."/>
    <n v="554"/>
    <n v="7.7"/>
    <x v="258"/>
  </r>
  <r>
    <n v="15"/>
    <n v="23"/>
    <n v="2"/>
    <n v="19"/>
    <n v="1"/>
    <n v="0"/>
    <x v="9"/>
    <x v="34"/>
    <s v="Unitech Power Transmission Ltd."/>
    <n v="731"/>
    <n v="9.1"/>
    <x v="657"/>
  </r>
  <r>
    <n v="13"/>
    <n v="0"/>
    <n v="0"/>
    <n v="10"/>
    <n v="12"/>
    <n v="0"/>
    <x v="9"/>
    <x v="10"/>
    <s v="Sterlite Power Transmission Ltd"/>
    <n v="615"/>
    <n v="8.5"/>
    <x v="350"/>
  </r>
  <r>
    <n v="8"/>
    <n v="20"/>
    <n v="1"/>
    <n v="7"/>
    <n v="1"/>
    <n v="0"/>
    <x v="2"/>
    <x v="10"/>
    <s v="Tata Power Company Ltd."/>
    <n v="474"/>
    <n v="8.5"/>
    <x v="658"/>
  </r>
  <r>
    <n v="18"/>
    <n v="22"/>
    <n v="0"/>
    <n v="6"/>
    <n v="1"/>
    <n v="0"/>
    <x v="9"/>
    <x v="20"/>
    <s v="Kalpataru Power"/>
    <n v="328"/>
    <n v="7.4"/>
    <x v="659"/>
  </r>
  <r>
    <n v="5"/>
    <n v="17"/>
    <n v="0"/>
    <n v="7"/>
    <n v="1"/>
    <n v="0"/>
    <x v="1"/>
    <x v="20"/>
    <s v="Reliance Power"/>
    <n v="411"/>
    <n v="8.9"/>
    <x v="660"/>
  </r>
  <r>
    <n v="19"/>
    <n v="23"/>
    <n v="1"/>
    <n v="4"/>
    <n v="1"/>
    <n v="0"/>
    <x v="4"/>
    <x v="4"/>
    <s v="Optibelt Power Transmission India Private Limited"/>
    <n v="596"/>
    <n v="8.6999999999999993"/>
    <x v="661"/>
  </r>
  <r>
    <n v="18"/>
    <n v="22"/>
    <n v="2"/>
    <n v="6"/>
    <n v="1"/>
    <n v="0"/>
    <x v="8"/>
    <x v="9"/>
    <s v="Indowind Energy"/>
    <n v="423"/>
    <n v="7.9"/>
    <x v="662"/>
  </r>
  <r>
    <n v="15"/>
    <n v="22"/>
    <n v="0"/>
    <n v="21"/>
    <n v="1"/>
    <n v="0"/>
    <x v="5"/>
    <x v="32"/>
    <s v="Tata Power Company Ltd."/>
    <n v="477"/>
    <n v="9.1999999999999993"/>
    <x v="663"/>
  </r>
  <r>
    <n v="7"/>
    <n v="23"/>
    <n v="0"/>
    <n v="7"/>
    <n v="1"/>
    <n v="0"/>
    <x v="9"/>
    <x v="13"/>
    <s v="Maha Transco â€“ Maharashtra State Electricity Transmission Co, Ltd."/>
    <n v="414"/>
    <n v="9.1999999999999993"/>
    <x v="664"/>
  </r>
  <r>
    <n v="12"/>
    <n v="22"/>
    <n v="2"/>
    <n v="11"/>
    <n v="1"/>
    <n v="0"/>
    <x v="4"/>
    <x v="10"/>
    <s v="CESC"/>
    <n v="438"/>
    <n v="8.5"/>
    <x v="665"/>
  </r>
  <r>
    <n v="10"/>
    <n v="17"/>
    <n v="0"/>
    <n v="0"/>
    <n v="1"/>
    <n v="0"/>
    <x v="12"/>
    <x v="20"/>
    <s v="Neueon Towers / Sujana Towers Ltd."/>
    <n v="175"/>
    <n v="7.7"/>
    <x v="666"/>
  </r>
  <r>
    <n v="15"/>
    <n v="0"/>
    <n v="3"/>
    <n v="10"/>
    <n v="1"/>
    <n v="0"/>
    <x v="8"/>
    <x v="18"/>
    <s v="Jyoti Structure"/>
    <n v="576"/>
    <n v="8.3000000000000007"/>
    <x v="667"/>
  </r>
  <r>
    <n v="6"/>
    <n v="22"/>
    <n v="3"/>
    <n v="10"/>
    <n v="1"/>
    <n v="0"/>
    <x v="3"/>
    <x v="13"/>
    <s v="Maha Transco â€“ Maharashtra State Electricity Transmission Co, Ltd."/>
    <n v="437"/>
    <n v="9.1999999999999993"/>
    <x v="668"/>
  </r>
  <r>
    <n v="15"/>
    <n v="23"/>
    <n v="1"/>
    <n v="3"/>
    <n v="1"/>
    <n v="0"/>
    <x v="12"/>
    <x v="17"/>
    <s v="Sterlite Power Transmission Ltd"/>
    <n v="510"/>
    <n v="8.8000000000000007"/>
    <x v="669"/>
  </r>
  <r>
    <n v="5"/>
    <n v="17"/>
    <n v="2"/>
    <n v="8"/>
    <n v="1"/>
    <n v="0"/>
    <x v="12"/>
    <x v="16"/>
    <s v="Orient Green"/>
    <n v="258"/>
    <n v="8.1999999999999993"/>
    <x v="670"/>
  </r>
  <r>
    <n v="11"/>
    <n v="23"/>
    <n v="2"/>
    <n v="3"/>
    <n v="0"/>
    <n v="0"/>
    <x v="12"/>
    <x v="20"/>
    <s v="Tata Power Company Ltd."/>
    <n v="513"/>
    <n v="7.8"/>
    <x v="671"/>
  </r>
  <r>
    <n v="7"/>
    <n v="21"/>
    <n v="0"/>
    <n v="5"/>
    <n v="1"/>
    <n v="0"/>
    <x v="3"/>
    <x v="31"/>
    <s v="Sterlite Power Transmission Ltd"/>
    <n v="417"/>
    <n v="8.5"/>
    <x v="672"/>
  </r>
  <r>
    <n v="7"/>
    <n v="21"/>
    <n v="0"/>
    <n v="3"/>
    <n v="1"/>
    <n v="0"/>
    <x v="8"/>
    <x v="8"/>
    <s v="Toshiba Transmission &amp; Distribution Systems (India) Pvt. Ltd."/>
    <n v="421"/>
    <n v="8.4"/>
    <x v="673"/>
  </r>
  <r>
    <n v="13"/>
    <n v="22"/>
    <n v="2"/>
    <n v="3"/>
    <n v="1"/>
    <n v="0"/>
    <x v="2"/>
    <x v="14"/>
    <s v="CESC"/>
    <n v="318"/>
    <n v="7.6"/>
    <x v="674"/>
  </r>
  <r>
    <n v="16"/>
    <n v="22"/>
    <n v="3"/>
    <n v="12"/>
    <n v="1"/>
    <n v="0"/>
    <x v="11"/>
    <x v="16"/>
    <s v="Reliance Energy"/>
    <n v="610"/>
    <n v="0"/>
    <x v="675"/>
  </r>
  <r>
    <n v="8"/>
    <n v="20"/>
    <n v="2"/>
    <n v="13"/>
    <n v="1"/>
    <n v="0"/>
    <x v="2"/>
    <x v="9"/>
    <s v="NHPC"/>
    <n v="364"/>
    <n v="7.9"/>
    <x v="676"/>
  </r>
  <r>
    <n v="8"/>
    <n v="17"/>
    <n v="1"/>
    <n v="4"/>
    <n v="7"/>
    <n v="0"/>
    <x v="10"/>
    <x v="9"/>
    <s v="Indowind Energy"/>
    <n v="460"/>
    <n v="7.9"/>
    <x v="477"/>
  </r>
  <r>
    <n v="12"/>
    <n v="22"/>
    <n v="3"/>
    <n v="14"/>
    <n v="1"/>
    <n v="0"/>
    <x v="10"/>
    <x v="15"/>
    <s v="Jaiprakash Power"/>
    <n v="643"/>
    <n v="9.3000000000000007"/>
    <x v="677"/>
  </r>
  <r>
    <n v="5"/>
    <n v="21"/>
    <n v="3"/>
    <n v="13"/>
    <n v="7"/>
    <n v="0"/>
    <x v="6"/>
    <x v="9"/>
    <s v="Unitech Power Transmission Ltd."/>
    <n v="589"/>
    <n v="7.9"/>
    <x v="488"/>
  </r>
  <r>
    <n v="16"/>
    <n v="23"/>
    <n v="0"/>
    <n v="6"/>
    <n v="1"/>
    <n v="0"/>
    <x v="8"/>
    <x v="20"/>
    <s v="Guj Ind Power"/>
    <n v="490"/>
    <n v="7.7"/>
    <x v="678"/>
  </r>
  <r>
    <n v="14"/>
    <n v="22"/>
    <n v="0"/>
    <n v="13"/>
    <n v="1"/>
    <n v="0"/>
    <x v="8"/>
    <x v="1"/>
    <s v="TransRail Lighting"/>
    <n v="485"/>
    <n v="8.3000000000000007"/>
    <x v="679"/>
  </r>
  <r>
    <n v="9"/>
    <n v="19"/>
    <n v="1"/>
    <n v="12"/>
    <n v="1"/>
    <n v="0"/>
    <x v="3"/>
    <x v="19"/>
    <s v="Torrent Power Ltd."/>
    <n v="472"/>
    <n v="7.4"/>
    <x v="680"/>
  </r>
  <r>
    <n v="22"/>
    <n v="0"/>
    <n v="3"/>
    <n v="3"/>
    <n v="1"/>
    <n v="0"/>
    <x v="4"/>
    <x v="3"/>
    <s v="KEC International"/>
    <n v="392"/>
    <n v="8.9"/>
    <x v="681"/>
  </r>
  <r>
    <n v="13"/>
    <n v="22"/>
    <n v="2"/>
    <n v="21"/>
    <n v="1"/>
    <n v="0"/>
    <x v="11"/>
    <x v="8"/>
    <s v="TransRail Lighting"/>
    <n v="546"/>
    <n v="8.4"/>
    <x v="682"/>
  </r>
  <r>
    <n v="23"/>
    <n v="22"/>
    <n v="3"/>
    <n v="20"/>
    <n v="1"/>
    <n v="0"/>
    <x v="9"/>
    <x v="3"/>
    <s v="NHPC"/>
    <n v="629"/>
    <n v="0"/>
    <x v="683"/>
  </r>
  <r>
    <n v="20"/>
    <n v="22"/>
    <n v="3"/>
    <n v="11"/>
    <n v="1"/>
    <n v="0"/>
    <x v="1"/>
    <x v="10"/>
    <s v="jsw energy ltd."/>
    <n v="629"/>
    <n v="8.5"/>
    <x v="684"/>
  </r>
  <r>
    <n v="12"/>
    <n v="23"/>
    <n v="0"/>
    <n v="18"/>
    <n v="1"/>
    <n v="0"/>
    <x v="4"/>
    <x v="10"/>
    <s v="Neueon Towers / Sujana Towers Ltd."/>
    <n v="467"/>
    <n v="8.5"/>
    <x v="685"/>
  </r>
  <r>
    <n v="7"/>
    <n v="21"/>
    <n v="3"/>
    <n v="15"/>
    <n v="1"/>
    <n v="0"/>
    <x v="8"/>
    <x v="3"/>
    <s v="Reliance Energy"/>
    <n v="558"/>
    <n v="8.9"/>
    <x v="686"/>
  </r>
  <r>
    <n v="20"/>
    <n v="22"/>
    <n v="0"/>
    <n v="5"/>
    <n v="1"/>
    <n v="0"/>
    <x v="8"/>
    <x v="15"/>
    <s v="Indowind Energy"/>
    <n v="370"/>
    <n v="9.3000000000000007"/>
    <x v="687"/>
  </r>
  <r>
    <n v="11"/>
    <n v="22"/>
    <n v="3"/>
    <n v="14"/>
    <n v="1"/>
    <n v="0"/>
    <x v="5"/>
    <x v="19"/>
    <s v="Indowind Energy"/>
    <n v="427"/>
    <n v="7.4"/>
    <x v="688"/>
  </r>
  <r>
    <n v="5"/>
    <n v="23"/>
    <n v="1"/>
    <n v="11"/>
    <n v="1"/>
    <n v="0"/>
    <x v="12"/>
    <x v="1"/>
    <s v="Toshiba Transmission &amp; Distribution Systems (India) Pvt. Ltd."/>
    <n v="571"/>
    <n v="8.3000000000000007"/>
    <x v="689"/>
  </r>
  <r>
    <n v="13"/>
    <n v="22"/>
    <n v="0"/>
    <n v="9"/>
    <n v="1"/>
    <n v="0"/>
    <x v="5"/>
    <x v="13"/>
    <s v="Indowind Energy"/>
    <n v="469"/>
    <n v="9.1999999999999993"/>
    <x v="690"/>
  </r>
  <r>
    <n v="22"/>
    <n v="22"/>
    <n v="2"/>
    <n v="11"/>
    <n v="1"/>
    <n v="0"/>
    <x v="3"/>
    <x v="14"/>
    <s v="NTPC Pvt. Ltd."/>
    <n v="473"/>
    <n v="7.6"/>
    <x v="691"/>
  </r>
  <r>
    <n v="6"/>
    <n v="19"/>
    <n v="2"/>
    <n v="22"/>
    <n v="1"/>
    <n v="0"/>
    <x v="9"/>
    <x v="9"/>
    <s v="Maha Transco â€“ Maharashtra State Electricity Transmission Co, Ltd."/>
    <n v="428"/>
    <n v="0"/>
    <x v="692"/>
  </r>
  <r>
    <n v="20"/>
    <n v="23"/>
    <n v="2"/>
    <n v="20"/>
    <n v="12"/>
    <n v="0"/>
    <x v="4"/>
    <x v="17"/>
    <s v="TransRail Lighting"/>
    <n v="884"/>
    <n v="8.8000000000000007"/>
    <x v="693"/>
  </r>
  <r>
    <n v="23"/>
    <n v="23"/>
    <n v="0"/>
    <n v="9"/>
    <n v="1"/>
    <n v="0"/>
    <x v="11"/>
    <x v="13"/>
    <s v="maha transco â€“ maharashtra state electricity transmission co, ltd."/>
    <n v="412"/>
    <n v="9.1999999999999993"/>
    <x v="694"/>
  </r>
  <r>
    <n v="5"/>
    <n v="21"/>
    <n v="1"/>
    <n v="17"/>
    <n v="1"/>
    <n v="0"/>
    <x v="1"/>
    <x v="21"/>
    <s v="JSW Energy Ltd."/>
    <n v="507"/>
    <n v="7.4"/>
    <x v="439"/>
  </r>
  <r>
    <n v="9"/>
    <n v="20"/>
    <n v="2"/>
    <n v="9"/>
    <n v="1"/>
    <n v="0"/>
    <x v="11"/>
    <x v="17"/>
    <s v="Reliance Power"/>
    <n v="281"/>
    <n v="8.8000000000000007"/>
    <x v="695"/>
  </r>
  <r>
    <n v="14"/>
    <n v="22"/>
    <n v="2"/>
    <n v="7"/>
    <n v="1"/>
    <n v="0"/>
    <x v="0"/>
    <x v="4"/>
    <s v="Adani Power Ltd."/>
    <n v="465"/>
    <n v="8.6999999999999993"/>
    <x v="696"/>
  </r>
  <r>
    <n v="20"/>
    <n v="22"/>
    <n v="2"/>
    <n v="6"/>
    <n v="1"/>
    <n v="0"/>
    <x v="12"/>
    <x v="7"/>
    <s v="unknown"/>
    <n v="623"/>
    <n v="7.8"/>
    <x v="355"/>
  </r>
  <r>
    <n v="10"/>
    <n v="19"/>
    <n v="0"/>
    <n v="22"/>
    <n v="1"/>
    <n v="0"/>
    <x v="3"/>
    <x v="16"/>
    <s v="Jaiprakash Power"/>
    <n v="383"/>
    <n v="8.1999999999999993"/>
    <x v="697"/>
  </r>
  <r>
    <n v="0"/>
    <n v="23"/>
    <n v="0"/>
    <n v="7"/>
    <n v="1"/>
    <n v="0"/>
    <x v="11"/>
    <x v="13"/>
    <s v="Guj Ind Power"/>
    <n v="284"/>
    <n v="9.1999999999999993"/>
    <x v="698"/>
  </r>
  <r>
    <n v="22"/>
    <n v="0"/>
    <n v="3"/>
    <n v="21"/>
    <n v="1"/>
    <n v="0"/>
    <x v="5"/>
    <x v="16"/>
    <s v="Sterlite Power Transmission Ltd"/>
    <n v="676"/>
    <n v="8.1999999999999993"/>
    <x v="24"/>
  </r>
  <r>
    <n v="17"/>
    <n v="23"/>
    <n v="0"/>
    <n v="11"/>
    <n v="1"/>
    <n v="0"/>
    <x v="1"/>
    <x v="1"/>
    <s v="Reliance Energy"/>
    <n v="521"/>
    <n v="8.3000000000000007"/>
    <x v="699"/>
  </r>
  <r>
    <n v="7"/>
    <n v="23"/>
    <n v="2"/>
    <n v="15"/>
    <n v="1"/>
    <n v="0"/>
    <x v="11"/>
    <x v="10"/>
    <s v="Maha Transco â€“ Maharashtra State Electricity Transmission Co, Ltd."/>
    <n v="593"/>
    <n v="8.5"/>
    <x v="700"/>
  </r>
  <r>
    <n v="6"/>
    <n v="20"/>
    <n v="1"/>
    <n v="20"/>
    <n v="7"/>
    <n v="0"/>
    <x v="11"/>
    <x v="8"/>
    <s v="Reliance Energy"/>
    <n v="584"/>
    <n v="8.4"/>
    <x v="701"/>
  </r>
  <r>
    <n v="18"/>
    <n v="23"/>
    <n v="3"/>
    <n v="16"/>
    <n v="1"/>
    <n v="0"/>
    <x v="9"/>
    <x v="10"/>
    <s v="GE T&amp;D India Limited"/>
    <n v="714"/>
    <n v="8.5"/>
    <x v="702"/>
  </r>
  <r>
    <n v="0"/>
    <n v="23"/>
    <n v="1"/>
    <n v="17"/>
    <n v="1"/>
    <n v="0"/>
    <x v="6"/>
    <x v="4"/>
    <s v="JSW Energy Ltd."/>
    <n v="462"/>
    <n v="8.6999999999999993"/>
    <x v="703"/>
  </r>
  <r>
    <n v="6"/>
    <n v="20"/>
    <n v="1"/>
    <n v="16"/>
    <n v="1"/>
    <n v="0"/>
    <x v="6"/>
    <x v="3"/>
    <s v="Reliance Power"/>
    <n v="323"/>
    <n v="0"/>
    <x v="704"/>
  </r>
  <r>
    <n v="8"/>
    <n v="17"/>
    <n v="3"/>
    <n v="3"/>
    <n v="1"/>
    <n v="0"/>
    <x v="5"/>
    <x v="17"/>
    <s v="NHPC"/>
    <n v="376"/>
    <n v="8.8000000000000007"/>
    <x v="24"/>
  </r>
  <r>
    <n v="9"/>
    <n v="19"/>
    <n v="1"/>
    <n v="4"/>
    <n v="7"/>
    <n v="0"/>
    <x v="11"/>
    <x v="5"/>
    <s v="Neueon Towers / Sujana Towers Ltd."/>
    <n v="369"/>
    <n v="7.7"/>
    <x v="705"/>
  </r>
  <r>
    <n v="18"/>
    <n v="22"/>
    <n v="0"/>
    <n v="7"/>
    <n v="1"/>
    <n v="0"/>
    <x v="8"/>
    <x v="3"/>
    <s v="nhpc"/>
    <n v="325"/>
    <n v="8.9"/>
    <x v="706"/>
  </r>
  <r>
    <n v="12"/>
    <n v="22"/>
    <n v="1"/>
    <n v="7"/>
    <n v="1"/>
    <n v="0"/>
    <x v="2"/>
    <x v="8"/>
    <s v="L&amp;T Transmission &amp; Distribution"/>
    <n v="490"/>
    <n v="8.4"/>
    <x v="707"/>
  </r>
  <r>
    <n v="23"/>
    <n v="23"/>
    <n v="0"/>
    <n v="10"/>
    <n v="1"/>
    <n v="0"/>
    <x v="10"/>
    <x v="6"/>
    <s v="Sunil Hitech Eng"/>
    <n v="395"/>
    <n v="9.1"/>
    <x v="708"/>
  </r>
  <r>
    <n v="21"/>
    <n v="22"/>
    <n v="0"/>
    <n v="9"/>
    <n v="1"/>
    <n v="0"/>
    <x v="4"/>
    <x v="21"/>
    <s v="sjvn ltd."/>
    <n v="512"/>
    <n v="7.4"/>
    <x v="709"/>
  </r>
  <r>
    <n v="13"/>
    <n v="0"/>
    <n v="2"/>
    <n v="8"/>
    <n v="1"/>
    <n v="0"/>
    <x v="6"/>
    <x v="7"/>
    <s v="Sterlite Power Transmission Ltd"/>
    <n v="539"/>
    <n v="7.8"/>
    <x v="295"/>
  </r>
  <r>
    <n v="5"/>
    <n v="0"/>
    <n v="2"/>
    <n v="12"/>
    <n v="1"/>
    <n v="0"/>
    <x v="11"/>
    <x v="14"/>
    <s v="Reliance Energy"/>
    <n v="384"/>
    <n v="0"/>
    <x v="24"/>
  </r>
  <r>
    <n v="0"/>
    <n v="22"/>
    <n v="2"/>
    <n v="10"/>
    <n v="1"/>
    <n v="0"/>
    <x v="8"/>
    <x v="13"/>
    <s v="Reliance Energy"/>
    <n v="473"/>
    <n v="9.1999999999999993"/>
    <x v="710"/>
  </r>
  <r>
    <n v="10"/>
    <n v="0"/>
    <n v="3"/>
    <n v="14"/>
    <n v="1"/>
    <n v="0"/>
    <x v="10"/>
    <x v="13"/>
    <s v="Power Grid Corp"/>
    <n v="652"/>
    <n v="9.1999999999999993"/>
    <x v="711"/>
  </r>
  <r>
    <n v="10"/>
    <n v="22"/>
    <n v="1"/>
    <n v="12"/>
    <n v="1"/>
    <n v="0"/>
    <x v="12"/>
    <x v="0"/>
    <s v="NTPC Pvt. Ltd."/>
    <n v="533"/>
    <n v="8.1"/>
    <x v="712"/>
  </r>
  <r>
    <n v="16"/>
    <n v="22"/>
    <n v="3"/>
    <n v="0"/>
    <n v="1"/>
    <n v="0"/>
    <x v="1"/>
    <x v="15"/>
    <s v="Jaiprakash Power"/>
    <n v="542"/>
    <n v="9.3000000000000007"/>
    <x v="713"/>
  </r>
  <r>
    <n v="22"/>
    <n v="22"/>
    <n v="0"/>
    <n v="9"/>
    <n v="1"/>
    <n v="0"/>
    <x v="11"/>
    <x v="17"/>
    <s v="NLC India"/>
    <n v="500"/>
    <n v="8.8000000000000007"/>
    <x v="714"/>
  </r>
  <r>
    <n v="7"/>
    <n v="19"/>
    <n v="0"/>
    <n v="0"/>
    <n v="7"/>
    <n v="0"/>
    <x v="6"/>
    <x v="8"/>
    <s v="Adani Power Ltd."/>
    <n v="556"/>
    <n v="8.4"/>
    <x v="715"/>
  </r>
  <r>
    <n v="16"/>
    <n v="22"/>
    <n v="1"/>
    <n v="14"/>
    <n v="1"/>
    <n v="0"/>
    <x v="2"/>
    <x v="7"/>
    <s v="Kalpataru Power"/>
    <n v="413"/>
    <n v="0"/>
    <x v="716"/>
  </r>
  <r>
    <n v="17"/>
    <n v="22"/>
    <n v="2"/>
    <n v="7"/>
    <n v="1"/>
    <n v="0"/>
    <x v="0"/>
    <x v="0"/>
    <s v="NHPC"/>
    <n v="439"/>
    <n v="8.1"/>
    <x v="717"/>
  </r>
  <r>
    <n v="9"/>
    <n v="18"/>
    <n v="0"/>
    <n v="4"/>
    <n v="7"/>
    <n v="0"/>
    <x v="7"/>
    <x v="22"/>
    <s v="Guj Ind Power"/>
    <n v="268"/>
    <n v="8.1999999999999993"/>
    <x v="718"/>
  </r>
  <r>
    <n v="15"/>
    <n v="22"/>
    <n v="2"/>
    <n v="16"/>
    <n v="0"/>
    <n v="0"/>
    <x v="7"/>
    <x v="1"/>
    <s v="unknown"/>
    <n v="462"/>
    <n v="8.3000000000000007"/>
    <x v="719"/>
  </r>
  <r>
    <n v="15"/>
    <n v="22"/>
    <n v="1"/>
    <n v="8"/>
    <n v="1"/>
    <n v="0"/>
    <x v="3"/>
    <x v="19"/>
    <s v="Adani Power Ltd."/>
    <n v="571"/>
    <n v="7.4"/>
    <x v="720"/>
  </r>
  <r>
    <n v="5"/>
    <n v="19"/>
    <n v="0"/>
    <n v="4"/>
    <n v="1"/>
    <n v="0"/>
    <x v="4"/>
    <x v="34"/>
    <s v="Optibelt Power Transmission India Private Limited"/>
    <n v="414"/>
    <n v="9.1"/>
    <x v="721"/>
  </r>
  <r>
    <n v="22"/>
    <n v="22"/>
    <n v="1"/>
    <n v="12"/>
    <n v="1"/>
    <n v="0"/>
    <x v="0"/>
    <x v="4"/>
    <s v="NLC India"/>
    <n v="564"/>
    <n v="8.6999999999999993"/>
    <x v="722"/>
  </r>
  <r>
    <n v="0"/>
    <n v="22"/>
    <n v="0"/>
    <n v="0"/>
    <n v="1"/>
    <n v="0"/>
    <x v="2"/>
    <x v="3"/>
    <s v="Ringfeder Power Transmission India Pvt. Ltd."/>
    <n v="495"/>
    <n v="8.9"/>
    <x v="723"/>
  </r>
  <r>
    <n v="17"/>
    <n v="23"/>
    <n v="0"/>
    <n v="14"/>
    <n v="1"/>
    <n v="0"/>
    <x v="11"/>
    <x v="10"/>
    <s v="Ratnagiri Gas and Power Pvt. Ltd. (RGPPL)"/>
    <n v="458"/>
    <n v="8.5"/>
    <x v="24"/>
  </r>
  <r>
    <n v="20"/>
    <n v="23"/>
    <n v="1"/>
    <n v="16"/>
    <n v="1"/>
    <n v="0"/>
    <x v="11"/>
    <x v="1"/>
    <s v="kalpataru power"/>
    <n v="699"/>
    <n v="8.3000000000000007"/>
    <x v="724"/>
  </r>
  <r>
    <n v="0"/>
    <n v="22"/>
    <n v="2"/>
    <n v="12"/>
    <n v="1"/>
    <n v="0"/>
    <x v="3"/>
    <x v="3"/>
    <s v="Bonfiglioli Transmission Pvt. Ltd."/>
    <n v="700"/>
    <n v="8.9"/>
    <x v="725"/>
  </r>
  <r>
    <n v="5"/>
    <n v="21"/>
    <n v="0"/>
    <n v="3"/>
    <n v="0"/>
    <n v="0"/>
    <x v="5"/>
    <x v="10"/>
    <s v="CESC"/>
    <n v="411"/>
    <n v="8.5"/>
    <x v="726"/>
  </r>
  <r>
    <n v="7"/>
    <n v="17"/>
    <n v="0"/>
    <n v="8"/>
    <n v="1"/>
    <n v="0"/>
    <x v="1"/>
    <x v="24"/>
    <s v="Tata Power Company Ltd."/>
    <n v="233"/>
    <n v="7.6"/>
    <x v="727"/>
  </r>
  <r>
    <n v="9"/>
    <n v="17"/>
    <n v="3"/>
    <n v="18"/>
    <n v="1"/>
    <n v="0"/>
    <x v="12"/>
    <x v="9"/>
    <s v="Torrent Power Ltd."/>
    <n v="517"/>
    <n v="0"/>
    <x v="728"/>
  </r>
  <r>
    <n v="13"/>
    <n v="22"/>
    <n v="3"/>
    <n v="12"/>
    <n v="1"/>
    <n v="0"/>
    <x v="1"/>
    <x v="3"/>
    <s v="Adani Power Ltd."/>
    <n v="607"/>
    <n v="8.9"/>
    <x v="729"/>
  </r>
  <r>
    <n v="10"/>
    <n v="18"/>
    <n v="3"/>
    <n v="15"/>
    <n v="1"/>
    <n v="0"/>
    <x v="9"/>
    <x v="15"/>
    <s v="Ringfeder Power Transmission India Pvt. Ltd."/>
    <n v="513"/>
    <n v="9.3000000000000007"/>
    <x v="264"/>
  </r>
  <r>
    <n v="17"/>
    <n v="22"/>
    <n v="3"/>
    <n v="18"/>
    <n v="1"/>
    <n v="0"/>
    <x v="3"/>
    <x v="5"/>
    <s v="Bonfiglioli Transmission Pvt. Ltd."/>
    <n v="715"/>
    <n v="7.7"/>
    <x v="730"/>
  </r>
  <r>
    <n v="22"/>
    <n v="23"/>
    <n v="1"/>
    <n v="13"/>
    <n v="1"/>
    <n v="0"/>
    <x v="3"/>
    <x v="15"/>
    <s v="NLC India"/>
    <n v="487"/>
    <n v="9.3000000000000007"/>
    <x v="731"/>
  </r>
  <r>
    <n v="10"/>
    <n v="20"/>
    <n v="3"/>
    <n v="22"/>
    <n v="1"/>
    <n v="0"/>
    <x v="6"/>
    <x v="1"/>
    <s v="Ratnagiri Gas and Power Pvt. Ltd. (RGPPL)"/>
    <n v="449"/>
    <n v="0"/>
    <x v="732"/>
  </r>
  <r>
    <n v="11"/>
    <n v="22"/>
    <n v="3"/>
    <n v="4"/>
    <n v="1"/>
    <n v="0"/>
    <x v="6"/>
    <x v="4"/>
    <s v="Jyoti Structure"/>
    <n v="503"/>
    <n v="8.6999999999999993"/>
    <x v="24"/>
  </r>
  <r>
    <n v="8"/>
    <n v="19"/>
    <n v="2"/>
    <n v="20"/>
    <n v="1"/>
    <n v="0"/>
    <x v="7"/>
    <x v="5"/>
    <s v="Ratnagiri Gas and Power Pvt. Ltd. (RGPPL)"/>
    <n v="423"/>
    <n v="7.7"/>
    <x v="733"/>
  </r>
  <r>
    <n v="7"/>
    <n v="21"/>
    <n v="2"/>
    <n v="9"/>
    <n v="1"/>
    <n v="0"/>
    <x v="5"/>
    <x v="19"/>
    <s v="Toshiba Transmission &amp; Distribution Systems (India) Pvt. Ltd."/>
    <n v="530"/>
    <n v="7.4"/>
    <x v="734"/>
  </r>
  <r>
    <n v="8"/>
    <n v="0"/>
    <n v="3"/>
    <n v="16"/>
    <n v="7"/>
    <n v="0"/>
    <x v="12"/>
    <x v="0"/>
    <s v="NTPC Pvt. Ltd."/>
    <n v="444"/>
    <n v="8.1"/>
    <x v="735"/>
  </r>
  <r>
    <n v="16"/>
    <n v="22"/>
    <n v="0"/>
    <n v="20"/>
    <n v="12"/>
    <n v="0"/>
    <x v="11"/>
    <x v="3"/>
    <s v="Reliance Energy"/>
    <n v="793"/>
    <n v="8.9"/>
    <x v="736"/>
  </r>
  <r>
    <n v="11"/>
    <n v="23"/>
    <n v="0"/>
    <n v="20"/>
    <n v="1"/>
    <n v="0"/>
    <x v="3"/>
    <x v="1"/>
    <s v="ratnagiri gas and power pvt. ltd. (rgppl)"/>
    <n v="0"/>
    <n v="8.3000000000000007"/>
    <x v="737"/>
  </r>
  <r>
    <n v="7"/>
    <n v="20"/>
    <n v="1"/>
    <n v="10"/>
    <n v="1"/>
    <n v="0"/>
    <x v="6"/>
    <x v="0"/>
    <s v="Indowind Energy"/>
    <n v="490"/>
    <n v="8.1"/>
    <x v="738"/>
  </r>
  <r>
    <n v="19"/>
    <n v="22"/>
    <n v="0"/>
    <n v="4"/>
    <n v="1"/>
    <n v="0"/>
    <x v="2"/>
    <x v="19"/>
    <s v="CESC"/>
    <n v="521"/>
    <n v="7.4"/>
    <x v="739"/>
  </r>
  <r>
    <n v="7"/>
    <n v="18"/>
    <n v="0"/>
    <n v="21"/>
    <n v="7"/>
    <n v="0"/>
    <x v="8"/>
    <x v="10"/>
    <s v="Sterlite Power Transmission Ltd"/>
    <n v="476"/>
    <n v="8.5"/>
    <x v="740"/>
  </r>
  <r>
    <n v="0"/>
    <n v="23"/>
    <n v="1"/>
    <n v="6"/>
    <n v="1"/>
    <n v="0"/>
    <x v="5"/>
    <x v="11"/>
    <s v="unknown"/>
    <n v="505"/>
    <n v="8.4"/>
    <x v="741"/>
  </r>
  <r>
    <n v="21"/>
    <n v="23"/>
    <n v="3"/>
    <n v="22"/>
    <n v="1"/>
    <n v="0"/>
    <x v="10"/>
    <x v="5"/>
    <s v="NLC India"/>
    <n v="590"/>
    <n v="7.7"/>
    <x v="742"/>
  </r>
  <r>
    <n v="8"/>
    <n v="22"/>
    <n v="0"/>
    <n v="8"/>
    <n v="1"/>
    <n v="0"/>
    <x v="8"/>
    <x v="14"/>
    <s v="nan"/>
    <n v="0"/>
    <n v="7.6"/>
    <x v="743"/>
  </r>
  <r>
    <n v="8"/>
    <n v="20"/>
    <n v="1"/>
    <n v="0"/>
    <n v="1"/>
    <n v="0"/>
    <x v="0"/>
    <x v="34"/>
    <s v="Torrent Power Ltd."/>
    <n v="472"/>
    <n v="9.1"/>
    <x v="744"/>
  </r>
  <r>
    <n v="17"/>
    <n v="0"/>
    <n v="3"/>
    <n v="8"/>
    <n v="0"/>
    <n v="0"/>
    <x v="0"/>
    <x v="6"/>
    <s v="optibelt power transmission india private limited"/>
    <n v="641"/>
    <n v="9.1"/>
    <x v="213"/>
  </r>
  <r>
    <n v="12"/>
    <n v="22"/>
    <n v="2"/>
    <n v="4"/>
    <n v="1"/>
    <n v="0"/>
    <x v="0"/>
    <x v="10"/>
    <s v="Torrent Power Ltd."/>
    <n v="377"/>
    <n v="0"/>
    <x v="745"/>
  </r>
  <r>
    <n v="21"/>
    <n v="22"/>
    <n v="1"/>
    <n v="20"/>
    <n v="1"/>
    <n v="0"/>
    <x v="11"/>
    <x v="7"/>
    <s v="unknown"/>
    <n v="642"/>
    <n v="7.8"/>
    <x v="551"/>
  </r>
  <r>
    <n v="15"/>
    <n v="23"/>
    <n v="1"/>
    <n v="15"/>
    <n v="12"/>
    <n v="0"/>
    <x v="8"/>
    <x v="4"/>
    <s v="SJVN Ltd."/>
    <n v="535"/>
    <n v="8.6999999999999993"/>
    <x v="11"/>
  </r>
  <r>
    <n v="19"/>
    <n v="22"/>
    <n v="0"/>
    <n v="10"/>
    <n v="1"/>
    <n v="0"/>
    <x v="6"/>
    <x v="19"/>
    <s v="NLC India"/>
    <n v="408"/>
    <n v="7.4"/>
    <x v="746"/>
  </r>
  <r>
    <n v="12"/>
    <n v="22"/>
    <n v="2"/>
    <n v="16"/>
    <n v="1"/>
    <n v="0"/>
    <x v="7"/>
    <x v="1"/>
    <s v="Sunil Hitech Eng"/>
    <n v="415"/>
    <n v="8.3000000000000007"/>
    <x v="747"/>
  </r>
  <r>
    <n v="17"/>
    <n v="0"/>
    <n v="3"/>
    <n v="3"/>
    <n v="1"/>
    <n v="0"/>
    <x v="3"/>
    <x v="4"/>
    <s v="unknown"/>
    <n v="455"/>
    <n v="8.6999999999999993"/>
    <x v="748"/>
  </r>
  <r>
    <n v="17"/>
    <n v="22"/>
    <n v="3"/>
    <n v="9"/>
    <n v="1"/>
    <n v="0"/>
    <x v="5"/>
    <x v="7"/>
    <s v="Jyoti Structure"/>
    <n v="660"/>
    <n v="7.8"/>
    <x v="749"/>
  </r>
  <r>
    <n v="18"/>
    <n v="22"/>
    <n v="0"/>
    <n v="10"/>
    <n v="1"/>
    <n v="0"/>
    <x v="10"/>
    <x v="15"/>
    <s v="L&amp;T Transmission &amp; Distribution"/>
    <n v="462"/>
    <n v="9.3000000000000007"/>
    <x v="750"/>
  </r>
  <r>
    <n v="14"/>
    <n v="22"/>
    <n v="3"/>
    <n v="9"/>
    <n v="1"/>
    <n v="0"/>
    <x v="6"/>
    <x v="14"/>
    <s v="Maha Transco â€“ Maharashtra State Electricity Transmission Co, Ltd."/>
    <n v="541"/>
    <n v="7.6"/>
    <x v="751"/>
  </r>
  <r>
    <n v="9"/>
    <n v="19"/>
    <n v="3"/>
    <n v="15"/>
    <n v="1"/>
    <n v="0"/>
    <x v="0"/>
    <x v="4"/>
    <s v="JSW Energy Ltd."/>
    <n v="493"/>
    <n v="8.6999999999999993"/>
    <x v="752"/>
  </r>
  <r>
    <n v="10"/>
    <n v="18"/>
    <n v="3"/>
    <n v="22"/>
    <n v="1"/>
    <n v="0"/>
    <x v="0"/>
    <x v="7"/>
    <s v="Optibelt Power Transmission India Private Limited"/>
    <n v="437"/>
    <n v="7.8"/>
    <x v="753"/>
  </r>
  <r>
    <n v="13"/>
    <n v="22"/>
    <n v="1"/>
    <n v="10"/>
    <n v="1"/>
    <n v="0"/>
    <x v="12"/>
    <x v="8"/>
    <s v="adani power ltd."/>
    <n v="527"/>
    <n v="8.4"/>
    <x v="754"/>
  </r>
  <r>
    <n v="8"/>
    <n v="23"/>
    <n v="1"/>
    <n v="10"/>
    <n v="1"/>
    <n v="0"/>
    <x v="5"/>
    <x v="16"/>
    <s v="Unitech Power Transmission Ltd."/>
    <n v="379"/>
    <n v="8.1999999999999993"/>
    <x v="24"/>
  </r>
  <r>
    <n v="19"/>
    <n v="23"/>
    <n v="0"/>
    <n v="5"/>
    <n v="1"/>
    <n v="0"/>
    <x v="8"/>
    <x v="1"/>
    <s v="Ringfeder Power Transmission India Pvt. Ltd."/>
    <n v="427"/>
    <n v="8.3000000000000007"/>
    <x v="755"/>
  </r>
  <r>
    <n v="15"/>
    <n v="22"/>
    <n v="0"/>
    <n v="8"/>
    <n v="1"/>
    <n v="0"/>
    <x v="11"/>
    <x v="7"/>
    <s v="NHPC"/>
    <n v="403"/>
    <n v="7.8"/>
    <x v="756"/>
  </r>
  <r>
    <n v="11"/>
    <n v="22"/>
    <n v="0"/>
    <n v="5"/>
    <n v="1"/>
    <n v="0"/>
    <x v="9"/>
    <x v="8"/>
    <s v="Kalpataru Power"/>
    <n v="344"/>
    <n v="8.4"/>
    <x v="757"/>
  </r>
  <r>
    <n v="22"/>
    <n v="22"/>
    <n v="1"/>
    <n v="16"/>
    <n v="1"/>
    <n v="0"/>
    <x v="7"/>
    <x v="17"/>
    <s v="CESC"/>
    <n v="532"/>
    <n v="8.8000000000000007"/>
    <x v="758"/>
  </r>
  <r>
    <n v="23"/>
    <n v="22"/>
    <n v="1"/>
    <n v="15"/>
    <n v="1"/>
    <n v="0"/>
    <x v="0"/>
    <x v="13"/>
    <s v="adani power ltd."/>
    <n v="536"/>
    <n v="9.1999999999999993"/>
    <x v="550"/>
  </r>
  <r>
    <n v="22"/>
    <n v="23"/>
    <n v="2"/>
    <n v="3"/>
    <n v="1"/>
    <n v="0"/>
    <x v="3"/>
    <x v="5"/>
    <s v="Sunil Hitech Eng"/>
    <n v="524"/>
    <n v="7.7"/>
    <x v="759"/>
  </r>
  <r>
    <n v="10"/>
    <n v="22"/>
    <n v="0"/>
    <n v="10"/>
    <n v="1"/>
    <n v="0"/>
    <x v="7"/>
    <x v="4"/>
    <s v="Toshiba Transmission &amp; Distribution Systems (India) Pvt. Ltd."/>
    <n v="0"/>
    <n v="8.6999999999999993"/>
    <x v="760"/>
  </r>
  <r>
    <n v="8"/>
    <n v="18"/>
    <n v="1"/>
    <n v="4"/>
    <n v="1"/>
    <n v="0"/>
    <x v="3"/>
    <x v="10"/>
    <s v="Jyoti Structure"/>
    <n v="413"/>
    <n v="8.5"/>
    <x v="761"/>
  </r>
  <r>
    <n v="11"/>
    <n v="23"/>
    <n v="0"/>
    <n v="22"/>
    <n v="1"/>
    <n v="0"/>
    <x v="0"/>
    <x v="20"/>
    <s v="NTPC Pvt. Ltd."/>
    <n v="508"/>
    <n v="0"/>
    <x v="762"/>
  </r>
  <r>
    <n v="21"/>
    <n v="22"/>
    <n v="2"/>
    <n v="21"/>
    <n v="1"/>
    <n v="0"/>
    <x v="12"/>
    <x v="17"/>
    <s v="Toshiba Transmission &amp; Distribution Systems (India) Pvt. Ltd."/>
    <n v="771"/>
    <n v="8.8000000000000007"/>
    <x v="266"/>
  </r>
  <r>
    <n v="7"/>
    <n v="0"/>
    <n v="3"/>
    <n v="3"/>
    <n v="1"/>
    <n v="0"/>
    <x v="8"/>
    <x v="6"/>
    <s v="Torrent Power Ltd."/>
    <n v="545"/>
    <n v="9.1"/>
    <x v="763"/>
  </r>
  <r>
    <n v="6"/>
    <n v="20"/>
    <n v="0"/>
    <n v="18"/>
    <n v="1"/>
    <n v="0"/>
    <x v="0"/>
    <x v="3"/>
    <s v="Reliance Energy"/>
    <n v="335"/>
    <n v="8.9"/>
    <x v="764"/>
  </r>
  <r>
    <n v="8"/>
    <n v="23"/>
    <n v="0"/>
    <n v="22"/>
    <n v="1"/>
    <n v="0"/>
    <x v="12"/>
    <x v="8"/>
    <s v="Ringfeder Power Transmission India Pvt. Ltd."/>
    <n v="457"/>
    <n v="8.4"/>
    <x v="765"/>
  </r>
  <r>
    <n v="20"/>
    <n v="22"/>
    <n v="3"/>
    <n v="6"/>
    <n v="12"/>
    <n v="0"/>
    <x v="2"/>
    <x v="6"/>
    <s v="Ringfeder Power Transmission India Pvt. Ltd."/>
    <n v="0"/>
    <n v="9.1"/>
    <x v="766"/>
  </r>
  <r>
    <n v="11"/>
    <n v="22"/>
    <n v="1"/>
    <n v="14"/>
    <n v="12"/>
    <n v="0"/>
    <x v="0"/>
    <x v="14"/>
    <s v="maha transco â€“ maharashtra state electricity transmission co, ltd."/>
    <n v="450"/>
    <n v="7.6"/>
    <x v="767"/>
  </r>
  <r>
    <n v="15"/>
    <n v="23"/>
    <n v="2"/>
    <n v="20"/>
    <n v="1"/>
    <n v="0"/>
    <x v="12"/>
    <x v="24"/>
    <s v="torrent power ltd."/>
    <n v="743"/>
    <n v="7.6"/>
    <x v="768"/>
  </r>
  <r>
    <n v="9"/>
    <n v="17"/>
    <n v="0"/>
    <n v="16"/>
    <n v="1"/>
    <n v="0"/>
    <x v="12"/>
    <x v="15"/>
    <s v="Kalpataru Power"/>
    <n v="313"/>
    <n v="9.3000000000000007"/>
    <x v="769"/>
  </r>
  <r>
    <n v="16"/>
    <n v="23"/>
    <n v="2"/>
    <n v="5"/>
    <n v="1"/>
    <n v="0"/>
    <x v="12"/>
    <x v="3"/>
    <s v="NHPC"/>
    <n v="386"/>
    <n v="8.9"/>
    <x v="770"/>
  </r>
  <r>
    <n v="9"/>
    <n v="17"/>
    <n v="1"/>
    <n v="3"/>
    <n v="1"/>
    <n v="0"/>
    <x v="1"/>
    <x v="14"/>
    <s v="Reliance Power"/>
    <n v="263"/>
    <n v="7.6"/>
    <x v="771"/>
  </r>
  <r>
    <n v="16"/>
    <n v="23"/>
    <n v="2"/>
    <n v="16"/>
    <n v="12"/>
    <n v="0"/>
    <x v="4"/>
    <x v="3"/>
    <s v="Unitech Power Transmission Ltd."/>
    <n v="597"/>
    <n v="8.9"/>
    <x v="772"/>
  </r>
  <r>
    <n v="10"/>
    <n v="18"/>
    <n v="0"/>
    <n v="4"/>
    <n v="1"/>
    <n v="0"/>
    <x v="1"/>
    <x v="17"/>
    <s v="Sunil Hitech Eng"/>
    <n v="231"/>
    <n v="8.8000000000000007"/>
    <x v="24"/>
  </r>
  <r>
    <n v="12"/>
    <n v="23"/>
    <n v="1"/>
    <n v="7"/>
    <n v="1"/>
    <n v="0"/>
    <x v="2"/>
    <x v="0"/>
    <s v="L&amp;T Transmission &amp; Distribution"/>
    <n v="0"/>
    <n v="8.1"/>
    <x v="773"/>
  </r>
  <r>
    <n v="17"/>
    <n v="23"/>
    <n v="1"/>
    <n v="12"/>
    <n v="12"/>
    <n v="0"/>
    <x v="6"/>
    <x v="15"/>
    <s v="NLC India"/>
    <n v="501"/>
    <n v="9.3000000000000007"/>
    <x v="774"/>
  </r>
  <r>
    <n v="7"/>
    <n v="20"/>
    <n v="2"/>
    <n v="11"/>
    <n v="1"/>
    <n v="0"/>
    <x v="11"/>
    <x v="14"/>
    <s v="jaiprakash power"/>
    <n v="351"/>
    <n v="7.6"/>
    <x v="775"/>
  </r>
  <r>
    <n v="23"/>
    <n v="22"/>
    <n v="1"/>
    <n v="3"/>
    <n v="12"/>
    <n v="0"/>
    <x v="5"/>
    <x v="8"/>
    <s v="Toshiba Transmission &amp; Distribution Systems (India) Pvt. Ltd."/>
    <n v="461"/>
    <n v="8.4"/>
    <x v="776"/>
  </r>
  <r>
    <n v="12"/>
    <n v="23"/>
    <n v="2"/>
    <n v="13"/>
    <n v="12"/>
    <n v="0"/>
    <x v="10"/>
    <x v="17"/>
    <s v="jaiprakash power"/>
    <n v="544"/>
    <n v="8.8000000000000007"/>
    <x v="777"/>
  </r>
  <r>
    <n v="11"/>
    <n v="22"/>
    <n v="2"/>
    <n v="4"/>
    <n v="1"/>
    <n v="0"/>
    <x v="2"/>
    <x v="10"/>
    <s v="GE T&amp;D India Limited"/>
    <n v="296"/>
    <n v="8.5"/>
    <x v="97"/>
  </r>
  <r>
    <n v="22"/>
    <n v="22"/>
    <n v="1"/>
    <n v="4"/>
    <n v="1"/>
    <n v="0"/>
    <x v="4"/>
    <x v="0"/>
    <s v="Ringfeder Power Transmission India Pvt. Ltd."/>
    <n v="388"/>
    <n v="8.1"/>
    <x v="778"/>
  </r>
  <r>
    <n v="9"/>
    <n v="0"/>
    <n v="2"/>
    <n v="0"/>
    <n v="7"/>
    <n v="0"/>
    <x v="1"/>
    <x v="6"/>
    <s v="Sterlite Power Transmission Ltd"/>
    <n v="449"/>
    <n v="9.1"/>
    <x v="779"/>
  </r>
  <r>
    <n v="15"/>
    <n v="23"/>
    <n v="0"/>
    <n v="19"/>
    <n v="1"/>
    <n v="0"/>
    <x v="1"/>
    <x v="6"/>
    <s v="Tata Power Company Ltd."/>
    <n v="551"/>
    <n v="9.1"/>
    <x v="780"/>
  </r>
  <r>
    <n v="11"/>
    <n v="23"/>
    <n v="2"/>
    <n v="15"/>
    <n v="1"/>
    <n v="0"/>
    <x v="1"/>
    <x v="1"/>
    <s v="Jaiprakash Power"/>
    <n v="615"/>
    <n v="8.3000000000000007"/>
    <x v="406"/>
  </r>
  <r>
    <n v="19"/>
    <n v="22"/>
    <n v="2"/>
    <n v="0"/>
    <n v="12"/>
    <n v="0"/>
    <x v="8"/>
    <x v="5"/>
    <s v="Torrent Power Ltd."/>
    <n v="732"/>
    <n v="7.7"/>
    <x v="781"/>
  </r>
  <r>
    <n v="6"/>
    <n v="18"/>
    <n v="0"/>
    <n v="18"/>
    <n v="1"/>
    <n v="0"/>
    <x v="10"/>
    <x v="5"/>
    <s v="JSW Energy Ltd."/>
    <n v="489"/>
    <n v="7.7"/>
    <x v="212"/>
  </r>
  <r>
    <n v="14"/>
    <n v="22"/>
    <n v="3"/>
    <n v="15"/>
    <n v="12"/>
    <n v="0"/>
    <x v="2"/>
    <x v="1"/>
    <s v="Unitech Power Transmission Ltd."/>
    <n v="541"/>
    <n v="8.3000000000000007"/>
    <x v="782"/>
  </r>
  <r>
    <n v="11"/>
    <n v="23"/>
    <n v="3"/>
    <n v="19"/>
    <n v="1"/>
    <n v="0"/>
    <x v="5"/>
    <x v="7"/>
    <s v="NLC India"/>
    <n v="712"/>
    <n v="7.8"/>
    <x v="783"/>
  </r>
  <r>
    <n v="21"/>
    <n v="23"/>
    <n v="0"/>
    <n v="13"/>
    <n v="12"/>
    <n v="0"/>
    <x v="3"/>
    <x v="1"/>
    <s v="ratnagiri gas and power pvt. ltd. (rgppl)"/>
    <n v="644"/>
    <n v="8.3000000000000007"/>
    <x v="784"/>
  </r>
  <r>
    <n v="15"/>
    <n v="22"/>
    <n v="3"/>
    <n v="15"/>
    <n v="12"/>
    <n v="0"/>
    <x v="5"/>
    <x v="17"/>
    <s v="Neueon Towers / Sujana Towers Ltd."/>
    <n v="625"/>
    <n v="8.8000000000000007"/>
    <x v="785"/>
  </r>
  <r>
    <n v="16"/>
    <n v="22"/>
    <n v="3"/>
    <n v="14"/>
    <n v="1"/>
    <n v="0"/>
    <x v="7"/>
    <x v="9"/>
    <s v="Neueon Towers / Sujana Towers Ltd."/>
    <n v="450"/>
    <n v="7.9"/>
    <x v="24"/>
  </r>
  <r>
    <n v="15"/>
    <n v="22"/>
    <n v="0"/>
    <n v="12"/>
    <n v="1"/>
    <n v="0"/>
    <x v="8"/>
    <x v="16"/>
    <s v="Orient Green"/>
    <n v="463"/>
    <n v="8.1999999999999993"/>
    <x v="24"/>
  </r>
  <r>
    <n v="6"/>
    <n v="20"/>
    <n v="1"/>
    <n v="15"/>
    <n v="7"/>
    <n v="0"/>
    <x v="3"/>
    <x v="9"/>
    <s v="Jaiprakash Power"/>
    <n v="454"/>
    <n v="7.9"/>
    <x v="786"/>
  </r>
  <r>
    <n v="19"/>
    <n v="22"/>
    <n v="3"/>
    <n v="14"/>
    <n v="1"/>
    <n v="0"/>
    <x v="3"/>
    <x v="16"/>
    <s v="Indowind Energy"/>
    <n v="527"/>
    <n v="8.1999999999999993"/>
    <x v="787"/>
  </r>
  <r>
    <n v="6"/>
    <n v="22"/>
    <n v="1"/>
    <n v="16"/>
    <n v="1"/>
    <n v="0"/>
    <x v="10"/>
    <x v="31"/>
    <s v="Tata Power Company Ltd."/>
    <n v="456"/>
    <n v="8.5"/>
    <x v="788"/>
  </r>
  <r>
    <n v="21"/>
    <n v="23"/>
    <n v="3"/>
    <n v="22"/>
    <n v="1"/>
    <n v="0"/>
    <x v="8"/>
    <x v="13"/>
    <s v="Bonfiglioli Transmission Pvt. Ltd."/>
    <n v="727"/>
    <n v="9.1999999999999993"/>
    <x v="789"/>
  </r>
  <r>
    <n v="7"/>
    <n v="20"/>
    <n v="0"/>
    <n v="5"/>
    <n v="1"/>
    <n v="0"/>
    <x v="5"/>
    <x v="16"/>
    <s v="Power Grid Corp"/>
    <n v="192"/>
    <s v="nan "/>
    <x v="790"/>
  </r>
  <r>
    <n v="11"/>
    <n v="22"/>
    <n v="2"/>
    <n v="7"/>
    <n v="1"/>
    <n v="0"/>
    <x v="5"/>
    <x v="0"/>
    <s v="Kalpataru Power"/>
    <n v="492"/>
    <n v="8.1"/>
    <x v="791"/>
  </r>
  <r>
    <n v="19"/>
    <n v="23"/>
    <n v="2"/>
    <n v="7"/>
    <n v="12"/>
    <n v="0"/>
    <x v="10"/>
    <x v="3"/>
    <s v="L&amp;T Transmission &amp; Distribution"/>
    <n v="674"/>
    <n v="8.9"/>
    <x v="792"/>
  </r>
  <r>
    <n v="19"/>
    <n v="22"/>
    <n v="0"/>
    <n v="16"/>
    <n v="12"/>
    <n v="0"/>
    <x v="7"/>
    <x v="6"/>
    <s v="Indowind Energy"/>
    <n v="687"/>
    <n v="9.1"/>
    <x v="793"/>
  </r>
  <r>
    <n v="11"/>
    <n v="22"/>
    <n v="0"/>
    <n v="10"/>
    <n v="1"/>
    <n v="0"/>
    <x v="12"/>
    <x v="1"/>
    <s v="Power Grid Corp"/>
    <n v="533"/>
    <n v="8.3000000000000007"/>
    <x v="794"/>
  </r>
  <r>
    <n v="17"/>
    <n v="22"/>
    <n v="1"/>
    <n v="13"/>
    <n v="1"/>
    <n v="0"/>
    <x v="3"/>
    <x v="16"/>
    <s v="Ringfeder Power Transmission India Pvt. Ltd."/>
    <n v="519"/>
    <n v="8.1999999999999993"/>
    <x v="795"/>
  </r>
  <r>
    <n v="0"/>
    <n v="22"/>
    <n v="1"/>
    <n v="4"/>
    <n v="1"/>
    <n v="0"/>
    <x v="12"/>
    <x v="20"/>
    <s v="Optibelt Power Transmission India Private Limited"/>
    <n v="516"/>
    <n v="7.8"/>
    <x v="796"/>
  </r>
  <r>
    <n v="23"/>
    <n v="22"/>
    <n v="0"/>
    <n v="14"/>
    <n v="1"/>
    <n v="0"/>
    <x v="8"/>
    <x v="6"/>
    <s v="guj ind power"/>
    <n v="571"/>
    <n v="9.1"/>
    <x v="797"/>
  </r>
  <r>
    <n v="6"/>
    <n v="23"/>
    <n v="1"/>
    <n v="22"/>
    <n v="1"/>
    <n v="0"/>
    <x v="10"/>
    <x v="16"/>
    <s v="Indowind Energy"/>
    <n v="362"/>
    <n v="8.1999999999999993"/>
    <x v="798"/>
  </r>
  <r>
    <n v="0"/>
    <n v="18"/>
    <n v="3"/>
    <n v="14"/>
    <n v="1"/>
    <n v="0"/>
    <x v="5"/>
    <x v="8"/>
    <s v="JSW Energy Ltd."/>
    <n v="383"/>
    <n v="8.4"/>
    <x v="799"/>
  </r>
  <r>
    <n v="0"/>
    <n v="22"/>
    <n v="3"/>
    <n v="5"/>
    <n v="1"/>
    <n v="0"/>
    <x v="5"/>
    <x v="3"/>
    <s v="SJVN Ltd."/>
    <n v="574"/>
    <n v="8.9"/>
    <x v="800"/>
  </r>
  <r>
    <n v="7"/>
    <n v="19"/>
    <n v="2"/>
    <n v="19"/>
    <n v="1"/>
    <n v="0"/>
    <x v="6"/>
    <x v="20"/>
    <s v="reliance energy"/>
    <n v="494"/>
    <n v="7.7"/>
    <x v="801"/>
  </r>
  <r>
    <n v="5"/>
    <n v="21"/>
    <n v="0"/>
    <n v="5"/>
    <n v="1"/>
    <n v="0"/>
    <x v="12"/>
    <x v="5"/>
    <s v="Reliance Power"/>
    <n v="316"/>
    <n v="7.7"/>
    <x v="802"/>
  </r>
  <r>
    <n v="11"/>
    <n v="23"/>
    <n v="1"/>
    <n v="8"/>
    <n v="1"/>
    <n v="0"/>
    <x v="2"/>
    <x v="16"/>
    <s v="L&amp;T Transmission &amp; Distribution"/>
    <n v="510"/>
    <n v="8.1999999999999993"/>
    <x v="803"/>
  </r>
  <r>
    <n v="5"/>
    <n v="0"/>
    <n v="2"/>
    <n v="5"/>
    <n v="7"/>
    <n v="0"/>
    <x v="11"/>
    <x v="19"/>
    <s v="Toshiba Transmission &amp; Distribution Systems (India) Pvt. Ltd."/>
    <n v="280"/>
    <n v="7.4"/>
    <x v="804"/>
  </r>
  <r>
    <n v="21"/>
    <n v="23"/>
    <n v="0"/>
    <n v="22"/>
    <n v="1"/>
    <n v="0"/>
    <x v="8"/>
    <x v="5"/>
    <s v="Reliance Power"/>
    <n v="534"/>
    <n v="7.7"/>
    <x v="805"/>
  </r>
  <r>
    <n v="12"/>
    <n v="22"/>
    <n v="3"/>
    <n v="0"/>
    <n v="1"/>
    <n v="0"/>
    <x v="4"/>
    <x v="1"/>
    <s v="TransRail Lighting"/>
    <n v="465"/>
    <n v="8.3000000000000007"/>
    <x v="806"/>
  </r>
  <r>
    <n v="0"/>
    <n v="23"/>
    <n v="3"/>
    <n v="11"/>
    <n v="7"/>
    <n v="0"/>
    <x v="5"/>
    <x v="13"/>
    <s v="NLC India"/>
    <n v="469"/>
    <n v="9.1999999999999993"/>
    <x v="690"/>
  </r>
  <r>
    <n v="0"/>
    <n v="18"/>
    <n v="3"/>
    <n v="15"/>
    <n v="1"/>
    <n v="0"/>
    <x v="0"/>
    <x v="9"/>
    <s v="Ratnagiri Gas and Power Pvt. Ltd. (RGPPL)"/>
    <n v="520"/>
    <n v="7.9"/>
    <x v="807"/>
  </r>
  <r>
    <n v="23"/>
    <n v="22"/>
    <n v="2"/>
    <n v="17"/>
    <n v="1"/>
    <n v="0"/>
    <x v="2"/>
    <x v="8"/>
    <s v="Sunil Hitech Eng"/>
    <n v="497"/>
    <n v="8.4"/>
    <x v="808"/>
  </r>
  <r>
    <n v="22"/>
    <n v="23"/>
    <n v="0"/>
    <n v="0"/>
    <n v="0"/>
    <n v="0"/>
    <x v="6"/>
    <x v="16"/>
    <s v="unknown"/>
    <n v="540"/>
    <n v="8.1999999999999993"/>
    <x v="809"/>
  </r>
  <r>
    <n v="8"/>
    <n v="19"/>
    <n v="3"/>
    <n v="5"/>
    <n v="7"/>
    <n v="0"/>
    <x v="8"/>
    <x v="8"/>
    <s v="Power Grid Corp"/>
    <n v="589"/>
    <n v="8.4"/>
    <x v="810"/>
  </r>
  <r>
    <n v="7"/>
    <n v="18"/>
    <n v="1"/>
    <n v="22"/>
    <n v="1"/>
    <n v="0"/>
    <x v="6"/>
    <x v="9"/>
    <s v="Kalpataru Power"/>
    <n v="489"/>
    <n v="7.9"/>
    <x v="811"/>
  </r>
  <r>
    <n v="23"/>
    <n v="22"/>
    <n v="2"/>
    <n v="22"/>
    <n v="0"/>
    <n v="0"/>
    <x v="5"/>
    <x v="1"/>
    <s v="JSW Energy Ltd."/>
    <n v="913"/>
    <n v="8.3000000000000007"/>
    <x v="812"/>
  </r>
  <r>
    <n v="15"/>
    <n v="23"/>
    <n v="2"/>
    <n v="3"/>
    <n v="1"/>
    <n v="0"/>
    <x v="1"/>
    <x v="16"/>
    <s v="Ratnagiri Gas and Power Pvt. Ltd. (RGPPL)"/>
    <n v="480"/>
    <n v="8.1999999999999993"/>
    <x v="813"/>
  </r>
  <r>
    <n v="11"/>
    <n v="22"/>
    <n v="1"/>
    <n v="12"/>
    <n v="1"/>
    <n v="0"/>
    <x v="6"/>
    <x v="7"/>
    <s v="Adani Power Ltd."/>
    <n v="338"/>
    <n v="7.8"/>
    <x v="814"/>
  </r>
  <r>
    <n v="10"/>
    <n v="23"/>
    <n v="0"/>
    <n v="5"/>
    <n v="1"/>
    <n v="0"/>
    <x v="0"/>
    <x v="20"/>
    <s v="JSW Energy Ltd."/>
    <n v="213"/>
    <n v="9.3000000000000007"/>
    <x v="815"/>
  </r>
  <r>
    <n v="17"/>
    <n v="23"/>
    <n v="3"/>
    <n v="17"/>
    <n v="1"/>
    <n v="0"/>
    <x v="12"/>
    <x v="3"/>
    <s v="Maha Transco â€“ Maharashtra State Electricity Transmission Co, Ltd."/>
    <n v="648"/>
    <n v="8.9"/>
    <x v="816"/>
  </r>
  <r>
    <n v="18"/>
    <n v="22"/>
    <n v="1"/>
    <n v="12"/>
    <n v="12"/>
    <n v="0"/>
    <x v="8"/>
    <x v="3"/>
    <s v="adani power ltd."/>
    <n v="680"/>
    <n v="8.9"/>
    <x v="817"/>
  </r>
  <r>
    <n v="6"/>
    <n v="18"/>
    <n v="3"/>
    <n v="21"/>
    <n v="1"/>
    <n v="0"/>
    <x v="2"/>
    <x v="13"/>
    <s v="Orient Green"/>
    <n v="406"/>
    <n v="9.1999999999999993"/>
    <x v="818"/>
  </r>
  <r>
    <n v="7"/>
    <n v="20"/>
    <n v="2"/>
    <n v="20"/>
    <n v="1"/>
    <n v="0"/>
    <x v="5"/>
    <x v="7"/>
    <s v="Sunil Hitech Eng"/>
    <n v="456"/>
    <n v="7.8"/>
    <x v="67"/>
  </r>
  <r>
    <n v="22"/>
    <n v="23"/>
    <n v="2"/>
    <n v="4"/>
    <n v="1"/>
    <n v="0"/>
    <x v="11"/>
    <x v="1"/>
    <s v="Power Grid Corp"/>
    <n v="415"/>
    <n v="8.3000000000000007"/>
    <x v="747"/>
  </r>
  <r>
    <n v="13"/>
    <n v="22"/>
    <n v="2"/>
    <n v="10"/>
    <n v="1"/>
    <n v="0"/>
    <x v="8"/>
    <x v="0"/>
    <s v="Torrent Power Ltd."/>
    <n v="595"/>
    <n v="8.1"/>
    <x v="819"/>
  </r>
  <r>
    <n v="19"/>
    <n v="23"/>
    <n v="1"/>
    <n v="10"/>
    <n v="1"/>
    <n v="0"/>
    <x v="5"/>
    <x v="1"/>
    <s v="CESC"/>
    <n v="589"/>
    <n v="8.3000000000000007"/>
    <x v="108"/>
  </r>
  <r>
    <n v="23"/>
    <n v="23"/>
    <n v="3"/>
    <n v="22"/>
    <n v="1"/>
    <n v="0"/>
    <x v="2"/>
    <x v="20"/>
    <s v="Toshiba Transmission &amp; Distribution Systems (India) Pvt. Ltd."/>
    <n v="655"/>
    <n v="7.4"/>
    <x v="324"/>
  </r>
  <r>
    <n v="22"/>
    <n v="22"/>
    <n v="3"/>
    <n v="5"/>
    <n v="1"/>
    <n v="0"/>
    <x v="6"/>
    <x v="6"/>
    <s v="KEC International"/>
    <n v="560"/>
    <n v="9.1"/>
    <x v="820"/>
  </r>
  <r>
    <n v="23"/>
    <n v="22"/>
    <n v="3"/>
    <n v="11"/>
    <n v="1"/>
    <n v="0"/>
    <x v="3"/>
    <x v="8"/>
    <s v="Torrent Power Ltd."/>
    <n v="503"/>
    <n v="8.4"/>
    <x v="821"/>
  </r>
  <r>
    <n v="23"/>
    <n v="23"/>
    <n v="2"/>
    <n v="0"/>
    <n v="12"/>
    <n v="0"/>
    <x v="6"/>
    <x v="16"/>
    <s v="Reliance Energy"/>
    <n v="639"/>
    <n v="8.1999999999999993"/>
    <x v="822"/>
  </r>
  <r>
    <n v="19"/>
    <n v="23"/>
    <n v="2"/>
    <n v="5"/>
    <n v="1"/>
    <n v="0"/>
    <x v="12"/>
    <x v="9"/>
    <s v="TransRail Lighting"/>
    <n v="449"/>
    <n v="7.9"/>
    <x v="823"/>
  </r>
  <r>
    <n v="17"/>
    <n v="22"/>
    <n v="3"/>
    <n v="6"/>
    <n v="1"/>
    <n v="0"/>
    <x v="1"/>
    <x v="0"/>
    <s v="CESC"/>
    <n v="0"/>
    <n v="8.1"/>
    <x v="824"/>
  </r>
  <r>
    <n v="16"/>
    <n v="23"/>
    <n v="2"/>
    <n v="20"/>
    <n v="1"/>
    <n v="0"/>
    <x v="5"/>
    <x v="0"/>
    <s v="Kalpataru Power"/>
    <n v="698"/>
    <n v="8.1"/>
    <x v="825"/>
  </r>
  <r>
    <n v="14"/>
    <n v="23"/>
    <n v="3"/>
    <n v="17"/>
    <n v="1"/>
    <n v="0"/>
    <x v="1"/>
    <x v="1"/>
    <s v="Toshiba Transmission &amp; Distribution Systems (India) Pvt. Ltd."/>
    <n v="728"/>
    <n v="8.3000000000000007"/>
    <x v="826"/>
  </r>
  <r>
    <n v="5"/>
    <n v="20"/>
    <n v="3"/>
    <n v="11"/>
    <n v="1"/>
    <n v="0"/>
    <x v="12"/>
    <x v="0"/>
    <s v="Bonfiglioli Transmission Pvt. Ltd."/>
    <n v="547"/>
    <n v="8.1"/>
    <x v="827"/>
  </r>
  <r>
    <n v="16"/>
    <n v="22"/>
    <n v="3"/>
    <n v="3"/>
    <n v="1"/>
    <n v="0"/>
    <x v="8"/>
    <x v="13"/>
    <s v="Torrent Power Ltd."/>
    <n v="601"/>
    <n v="9.1999999999999993"/>
    <x v="303"/>
  </r>
  <r>
    <n v="20"/>
    <n v="22"/>
    <n v="1"/>
    <n v="19"/>
    <n v="1"/>
    <n v="0"/>
    <x v="1"/>
    <x v="0"/>
    <s v="Optibelt Power Transmission India Private Limited"/>
    <n v="0"/>
    <n v="8.1"/>
    <x v="828"/>
  </r>
  <r>
    <n v="7"/>
    <n v="20"/>
    <n v="1"/>
    <n v="13"/>
    <n v="1"/>
    <n v="0"/>
    <x v="7"/>
    <x v="4"/>
    <s v="Optibelt Power Transmission India Private Limited"/>
    <n v="412"/>
    <n v="8.6999999999999993"/>
    <x v="829"/>
  </r>
  <r>
    <n v="23"/>
    <n v="22"/>
    <n v="3"/>
    <n v="11"/>
    <n v="1"/>
    <n v="0"/>
    <x v="5"/>
    <x v="16"/>
    <s v="adani power ltd."/>
    <n v="524"/>
    <n v="8.1999999999999993"/>
    <x v="24"/>
  </r>
  <r>
    <n v="0"/>
    <n v="23"/>
    <n v="0"/>
    <n v="14"/>
    <n v="1"/>
    <n v="0"/>
    <x v="3"/>
    <x v="14"/>
    <s v="Neueon Towers / Sujana Towers Ltd."/>
    <n v="0"/>
    <n v="7.6"/>
    <x v="830"/>
  </r>
  <r>
    <n v="15"/>
    <n v="22"/>
    <n v="0"/>
    <n v="18"/>
    <n v="1"/>
    <n v="0"/>
    <x v="12"/>
    <x v="8"/>
    <s v="Power Grid Corp"/>
    <n v="400"/>
    <n v="8.4"/>
    <x v="831"/>
  </r>
  <r>
    <n v="13"/>
    <n v="23"/>
    <n v="2"/>
    <n v="10"/>
    <n v="1"/>
    <n v="0"/>
    <x v="1"/>
    <x v="9"/>
    <s v="Jaiprakash Power"/>
    <n v="508"/>
    <n v="7.9"/>
    <x v="832"/>
  </r>
  <r>
    <n v="14"/>
    <n v="22"/>
    <n v="0"/>
    <n v="10"/>
    <n v="12"/>
    <n v="0"/>
    <x v="9"/>
    <x v="0"/>
    <s v="NHPC"/>
    <n v="701"/>
    <n v="8.1"/>
    <x v="833"/>
  </r>
  <r>
    <n v="11"/>
    <n v="22"/>
    <n v="0"/>
    <n v="22"/>
    <n v="1"/>
    <n v="0"/>
    <x v="1"/>
    <x v="7"/>
    <s v="Optibelt Power Transmission India Private Limited"/>
    <n v="641"/>
    <n v="7.8"/>
    <x v="834"/>
  </r>
  <r>
    <n v="14"/>
    <n v="23"/>
    <n v="2"/>
    <n v="5"/>
    <n v="1"/>
    <n v="0"/>
    <x v="8"/>
    <x v="4"/>
    <s v="SJVN Ltd."/>
    <n v="367"/>
    <n v="8.6999999999999993"/>
    <x v="835"/>
  </r>
  <r>
    <n v="18"/>
    <n v="22"/>
    <n v="0"/>
    <n v="13"/>
    <n v="12"/>
    <n v="0"/>
    <x v="2"/>
    <x v="30"/>
    <s v="Toshiba Transmission &amp; Distribution Systems (India) Pvt. Ltd."/>
    <n v="544"/>
    <n v="7.7"/>
    <x v="836"/>
  </r>
  <r>
    <n v="8"/>
    <n v="21"/>
    <n v="0"/>
    <n v="17"/>
    <n v="1"/>
    <n v="0"/>
    <x v="4"/>
    <x v="4"/>
    <s v="Bonfiglioli Transmission Pvt. Ltd."/>
    <n v="513"/>
    <n v="8.6999999999999993"/>
    <x v="837"/>
  </r>
  <r>
    <n v="20"/>
    <n v="22"/>
    <n v="3"/>
    <n v="20"/>
    <n v="1"/>
    <n v="0"/>
    <x v="4"/>
    <x v="31"/>
    <s v="GE T&amp;D India Limited"/>
    <n v="709"/>
    <n v="8.5"/>
    <x v="838"/>
  </r>
  <r>
    <n v="10"/>
    <n v="22"/>
    <n v="3"/>
    <n v="21"/>
    <n v="1"/>
    <n v="0"/>
    <x v="12"/>
    <x v="7"/>
    <s v="JSW Energy Ltd."/>
    <n v="479"/>
    <n v="7.8"/>
    <x v="21"/>
  </r>
  <r>
    <n v="14"/>
    <n v="22"/>
    <n v="3"/>
    <n v="16"/>
    <n v="1"/>
    <n v="0"/>
    <x v="9"/>
    <x v="8"/>
    <s v="Tata Power Company Ltd."/>
    <n v="504"/>
    <n v="8.4"/>
    <x v="839"/>
  </r>
  <r>
    <n v="17"/>
    <n v="23"/>
    <n v="1"/>
    <n v="0"/>
    <n v="1"/>
    <n v="0"/>
    <x v="0"/>
    <x v="28"/>
    <s v="toshiba transmission &amp; distribution systems (india) pvt. ltd."/>
    <n v="651"/>
    <n v="8.8000000000000007"/>
    <x v="840"/>
  </r>
  <r>
    <n v="11"/>
    <n v="22"/>
    <n v="1"/>
    <n v="0"/>
    <n v="1"/>
    <n v="0"/>
    <x v="3"/>
    <x v="7"/>
    <s v="SJVN Ltd."/>
    <n v="596"/>
    <n v="7.8"/>
    <x v="841"/>
  </r>
  <r>
    <n v="5"/>
    <n v="17"/>
    <n v="3"/>
    <n v="22"/>
    <n v="1"/>
    <n v="0"/>
    <x v="10"/>
    <x v="27"/>
    <s v="CESC"/>
    <n v="364"/>
    <n v="8.5"/>
    <x v="842"/>
  </r>
  <r>
    <n v="21"/>
    <n v="22"/>
    <n v="0"/>
    <n v="14"/>
    <n v="1"/>
    <n v="0"/>
    <x v="11"/>
    <x v="5"/>
    <s v="transrail lighting"/>
    <n v="611"/>
    <n v="7.7"/>
    <x v="171"/>
  </r>
  <r>
    <n v="13"/>
    <n v="22"/>
    <n v="3"/>
    <n v="7"/>
    <n v="1"/>
    <n v="0"/>
    <x v="5"/>
    <x v="10"/>
    <s v="Sterlite Power Transmission Ltd"/>
    <n v="443"/>
    <n v="8.5"/>
    <x v="843"/>
  </r>
  <r>
    <n v="7"/>
    <n v="23"/>
    <n v="2"/>
    <n v="18"/>
    <n v="1"/>
    <n v="0"/>
    <x v="10"/>
    <x v="10"/>
    <s v="Indowind Energy"/>
    <n v="662"/>
    <n v="0"/>
    <x v="844"/>
  </r>
  <r>
    <n v="8"/>
    <n v="21"/>
    <n v="3"/>
    <n v="19"/>
    <n v="1"/>
    <n v="0"/>
    <x v="3"/>
    <x v="20"/>
    <s v="Indowind Energy"/>
    <n v="611"/>
    <n v="8.6999999999999993"/>
    <x v="24"/>
  </r>
  <r>
    <n v="16"/>
    <n v="23"/>
    <n v="0"/>
    <n v="14"/>
    <n v="1"/>
    <n v="0"/>
    <x v="9"/>
    <x v="4"/>
    <s v="sunil hitech eng"/>
    <n v="535"/>
    <n v="8.6999999999999993"/>
    <x v="11"/>
  </r>
  <r>
    <n v="19"/>
    <n v="23"/>
    <n v="0"/>
    <n v="20"/>
    <n v="12"/>
    <n v="0"/>
    <x v="6"/>
    <x v="14"/>
    <s v="Neueon Towers / Sujana Towers Ltd."/>
    <s v="nan "/>
    <n v="7.6"/>
    <x v="845"/>
  </r>
  <r>
    <n v="15"/>
    <n v="23"/>
    <n v="3"/>
    <n v="4"/>
    <n v="1"/>
    <n v="0"/>
    <x v="11"/>
    <x v="24"/>
    <s v="Kalpataru Power"/>
    <n v="569"/>
    <n v="7.6"/>
    <x v="846"/>
  </r>
  <r>
    <n v="14"/>
    <n v="23"/>
    <n v="1"/>
    <n v="13"/>
    <n v="0"/>
    <n v="0"/>
    <x v="5"/>
    <x v="15"/>
    <s v="Guj Ind Power"/>
    <n v="529"/>
    <n v="9.3000000000000007"/>
    <x v="847"/>
  </r>
  <r>
    <n v="9"/>
    <n v="18"/>
    <n v="2"/>
    <n v="17"/>
    <n v="7"/>
    <n v="0"/>
    <x v="3"/>
    <x v="16"/>
    <s v="Reliance Power"/>
    <n v="438"/>
    <n v="8.1999999999999993"/>
    <x v="848"/>
  </r>
  <r>
    <n v="20"/>
    <n v="22"/>
    <n v="2"/>
    <n v="3"/>
    <n v="12"/>
    <n v="0"/>
    <x v="9"/>
    <x v="5"/>
    <s v="Torrent Power Ltd."/>
    <n v="480"/>
    <n v="7.7"/>
    <x v="436"/>
  </r>
  <r>
    <n v="8"/>
    <n v="17"/>
    <n v="2"/>
    <n v="16"/>
    <n v="1"/>
    <n v="0"/>
    <x v="3"/>
    <x v="7"/>
    <s v="Power Grid Corp"/>
    <n v="520"/>
    <n v="7.8"/>
    <x v="849"/>
  </r>
  <r>
    <n v="0"/>
    <n v="23"/>
    <n v="1"/>
    <n v="11"/>
    <n v="1"/>
    <n v="0"/>
    <x v="4"/>
    <x v="16"/>
    <s v="Optibelt Power Transmission India Private Limited"/>
    <n v="0"/>
    <n v="8.1999999999999993"/>
    <x v="104"/>
  </r>
  <r>
    <n v="15"/>
    <n v="22"/>
    <n v="1"/>
    <n v="22"/>
    <n v="1"/>
    <n v="0"/>
    <x v="0"/>
    <x v="21"/>
    <s v="Jaiprakash Power"/>
    <n v="584"/>
    <n v="0"/>
    <x v="44"/>
  </r>
  <r>
    <n v="21"/>
    <n v="23"/>
    <n v="3"/>
    <n v="4"/>
    <n v="1"/>
    <n v="0"/>
    <x v="1"/>
    <x v="5"/>
    <s v="Indowind Energy"/>
    <n v="436"/>
    <n v="7.7"/>
    <x v="850"/>
  </r>
  <r>
    <n v="9"/>
    <n v="22"/>
    <n v="2"/>
    <n v="19"/>
    <n v="1"/>
    <n v="0"/>
    <x v="9"/>
    <x v="10"/>
    <s v="Bonfiglioli Transmission Pvt. Ltd."/>
    <n v="498"/>
    <n v="8.5"/>
    <x v="851"/>
  </r>
  <r>
    <n v="6"/>
    <n v="20"/>
    <n v="0"/>
    <n v="15"/>
    <n v="1"/>
    <n v="0"/>
    <x v="8"/>
    <x v="8"/>
    <s v="Optibelt Power Transmission India Private Limited"/>
    <n v="306"/>
    <n v="8.4"/>
    <x v="852"/>
  </r>
  <r>
    <n v="6"/>
    <n v="23"/>
    <n v="0"/>
    <n v="10"/>
    <n v="7"/>
    <n v="0"/>
    <x v="8"/>
    <x v="3"/>
    <s v="Optibelt Power Transmission India Private Limited"/>
    <n v="576"/>
    <n v="8.9"/>
    <x v="853"/>
  </r>
  <r>
    <n v="12"/>
    <n v="0"/>
    <n v="1"/>
    <n v="8"/>
    <n v="1"/>
    <n v="0"/>
    <x v="3"/>
    <x v="27"/>
    <s v="Ringfeder Power Transmission India Pvt. Ltd."/>
    <n v="572"/>
    <n v="8.1"/>
    <x v="854"/>
  </r>
  <r>
    <n v="16"/>
    <n v="23"/>
    <n v="2"/>
    <n v="21"/>
    <n v="1"/>
    <n v="0"/>
    <x v="7"/>
    <x v="19"/>
    <s v="Maha Transco â€“ Maharashtra State Electricity Transmission Co, Ltd."/>
    <n v="528"/>
    <n v="7.4"/>
    <x v="855"/>
  </r>
  <r>
    <n v="23"/>
    <n v="22"/>
    <n v="3"/>
    <n v="21"/>
    <n v="0"/>
    <n v="0"/>
    <x v="12"/>
    <x v="4"/>
    <s v="TransRail Lighting"/>
    <n v="672"/>
    <n v="0"/>
    <x v="856"/>
  </r>
  <r>
    <n v="7"/>
    <n v="21"/>
    <n v="0"/>
    <n v="4"/>
    <n v="1"/>
    <n v="0"/>
    <x v="8"/>
    <x v="8"/>
    <s v="Toshiba Transmission &amp; Distribution Systems (India) Pvt. Ltd."/>
    <n v="300"/>
    <n v="8.4"/>
    <x v="857"/>
  </r>
  <r>
    <n v="8"/>
    <n v="17"/>
    <n v="3"/>
    <n v="5"/>
    <n v="1"/>
    <n v="0"/>
    <x v="9"/>
    <x v="1"/>
    <s v="Ringfeder Power Transmission India Pvt. Ltd."/>
    <n v="385"/>
    <n v="8.3000000000000007"/>
    <x v="858"/>
  </r>
  <r>
    <n v="17"/>
    <n v="23"/>
    <n v="3"/>
    <n v="16"/>
    <n v="1"/>
    <n v="0"/>
    <x v="11"/>
    <x v="10"/>
    <s v="KEC International"/>
    <n v="469"/>
    <n v="8.5"/>
    <x v="859"/>
  </r>
  <r>
    <n v="12"/>
    <n v="23"/>
    <n v="0"/>
    <n v="4"/>
    <n v="1"/>
    <n v="0"/>
    <x v="10"/>
    <x v="1"/>
    <s v="Guj Ind Power"/>
    <n v="302"/>
    <n v="8.3000000000000007"/>
    <x v="860"/>
  </r>
  <r>
    <n v="17"/>
    <n v="22"/>
    <n v="0"/>
    <n v="21"/>
    <n v="1"/>
    <n v="0"/>
    <x v="3"/>
    <x v="29"/>
    <s v="Bonfiglioli Transmission Pvt. Ltd."/>
    <n v="634"/>
    <n v="9.3000000000000007"/>
    <x v="861"/>
  </r>
  <r>
    <n v="14"/>
    <n v="22"/>
    <n v="3"/>
    <n v="6"/>
    <n v="1"/>
    <n v="0"/>
    <x v="1"/>
    <x v="3"/>
    <s v="Jaiprakash Power"/>
    <n v="0"/>
    <n v="8.9"/>
    <x v="862"/>
  </r>
  <r>
    <n v="11"/>
    <n v="23"/>
    <n v="0"/>
    <n v="17"/>
    <n v="1"/>
    <n v="0"/>
    <x v="11"/>
    <x v="20"/>
    <s v="JSW Energy Ltd."/>
    <n v="521"/>
    <n v="7.9"/>
    <x v="863"/>
  </r>
  <r>
    <n v="10"/>
    <n v="17"/>
    <n v="2"/>
    <n v="20"/>
    <n v="7"/>
    <n v="0"/>
    <x v="6"/>
    <x v="19"/>
    <s v="Orient Green"/>
    <n v="552"/>
    <n v="7.4"/>
    <x v="864"/>
  </r>
  <r>
    <n v="11"/>
    <n v="23"/>
    <n v="1"/>
    <n v="18"/>
    <n v="12"/>
    <n v="0"/>
    <x v="0"/>
    <x v="16"/>
    <s v="Adani Power Ltd."/>
    <n v="597"/>
    <n v="8.1999999999999993"/>
    <x v="865"/>
  </r>
  <r>
    <n v="17"/>
    <n v="23"/>
    <n v="2"/>
    <n v="20"/>
    <n v="1"/>
    <n v="0"/>
    <x v="1"/>
    <x v="18"/>
    <s v="unknown"/>
    <n v="689"/>
    <n v="8.3000000000000007"/>
    <x v="866"/>
  </r>
  <r>
    <n v="5"/>
    <n v="18"/>
    <n v="3"/>
    <n v="9"/>
    <n v="1"/>
    <n v="0"/>
    <x v="0"/>
    <x v="9"/>
    <s v="Tata Power Company Ltd."/>
    <n v="458"/>
    <n v="7.9"/>
    <x v="867"/>
  </r>
  <r>
    <n v="17"/>
    <n v="23"/>
    <n v="0"/>
    <n v="22"/>
    <n v="1"/>
    <n v="0"/>
    <x v="12"/>
    <x v="13"/>
    <s v="Guj Ind Power"/>
    <n v="472"/>
    <n v="0"/>
    <x v="868"/>
  </r>
  <r>
    <n v="23"/>
    <n v="22"/>
    <n v="2"/>
    <n v="4"/>
    <n v="1"/>
    <n v="0"/>
    <x v="7"/>
    <x v="15"/>
    <s v="ratnagiri gas and power pvt. ltd. (rgppl)"/>
    <n v="426"/>
    <n v="0"/>
    <x v="869"/>
  </r>
  <r>
    <n v="12"/>
    <n v="23"/>
    <n v="0"/>
    <n v="12"/>
    <n v="1"/>
    <n v="0"/>
    <x v="0"/>
    <x v="19"/>
    <s v="Ratnagiri Gas and Power Pvt. Ltd. (RGPPL)"/>
    <n v="396"/>
    <n v="0"/>
    <x v="870"/>
  </r>
  <r>
    <n v="12"/>
    <n v="22"/>
    <n v="1"/>
    <n v="11"/>
    <n v="1"/>
    <n v="0"/>
    <x v="12"/>
    <x v="17"/>
    <s v="L&amp;T Transmission &amp; Distribution"/>
    <n v="349"/>
    <n v="8.8000000000000007"/>
    <x v="871"/>
  </r>
  <r>
    <n v="22"/>
    <n v="0"/>
    <n v="3"/>
    <n v="0"/>
    <n v="0"/>
    <n v="0"/>
    <x v="7"/>
    <x v="0"/>
    <s v="Sunil Hitech Eng"/>
    <n v="674"/>
    <n v="8.1"/>
    <x v="872"/>
  </r>
  <r>
    <n v="5"/>
    <n v="20"/>
    <n v="2"/>
    <n v="13"/>
    <n v="7"/>
    <n v="0"/>
    <x v="9"/>
    <x v="0"/>
    <s v="NLC India"/>
    <n v="515"/>
    <n v="8.1"/>
    <x v="873"/>
  </r>
  <r>
    <n v="0"/>
    <n v="18"/>
    <n v="1"/>
    <n v="11"/>
    <n v="1"/>
    <n v="0"/>
    <x v="6"/>
    <x v="8"/>
    <s v="Jaiprakash Power"/>
    <n v="399"/>
    <n v="8.4"/>
    <x v="874"/>
  </r>
  <r>
    <n v="0"/>
    <n v="22"/>
    <n v="3"/>
    <n v="8"/>
    <n v="1"/>
    <n v="0"/>
    <x v="7"/>
    <x v="6"/>
    <s v="Indowind Energy"/>
    <n v="428"/>
    <n v="9.1"/>
    <x v="875"/>
  </r>
  <r>
    <n v="18"/>
    <n v="22"/>
    <n v="2"/>
    <n v="18"/>
    <n v="1"/>
    <n v="0"/>
    <x v="4"/>
    <x v="6"/>
    <s v="unknown"/>
    <n v="543"/>
    <n v="9.1"/>
    <x v="876"/>
  </r>
  <r>
    <n v="8"/>
    <n v="21"/>
    <n v="1"/>
    <n v="9"/>
    <n v="1"/>
    <n v="0"/>
    <x v="8"/>
    <x v="7"/>
    <s v="unknown"/>
    <n v="446"/>
    <n v="7.8"/>
    <x v="877"/>
  </r>
  <r>
    <n v="21"/>
    <n v="22"/>
    <n v="3"/>
    <n v="18"/>
    <n v="1"/>
    <n v="0"/>
    <x v="10"/>
    <x v="29"/>
    <s v="Jaiprakash Power"/>
    <n v="512"/>
    <n v="9.3000000000000007"/>
    <x v="878"/>
  </r>
  <r>
    <n v="22"/>
    <n v="22"/>
    <n v="0"/>
    <n v="13"/>
    <n v="1"/>
    <n v="0"/>
    <x v="1"/>
    <x v="20"/>
    <s v="unknown"/>
    <n v="571"/>
    <n v="8.3000000000000007"/>
    <x v="689"/>
  </r>
  <r>
    <n v="7"/>
    <n v="19"/>
    <n v="0"/>
    <n v="10"/>
    <n v="1"/>
    <n v="0"/>
    <x v="7"/>
    <x v="29"/>
    <s v="Orient Green"/>
    <n v="258"/>
    <n v="9.3000000000000007"/>
    <x v="879"/>
  </r>
  <r>
    <n v="12"/>
    <n v="22"/>
    <n v="2"/>
    <n v="21"/>
    <n v="1"/>
    <n v="0"/>
    <x v="9"/>
    <x v="17"/>
    <s v="optibelt power transmission india private limited"/>
    <s v="nan "/>
    <n v="8.8000000000000007"/>
    <x v="880"/>
  </r>
  <r>
    <n v="19"/>
    <n v="22"/>
    <n v="3"/>
    <n v="3"/>
    <n v="12"/>
    <n v="0"/>
    <x v="6"/>
    <x v="15"/>
    <s v="Indowind Energy"/>
    <n v="562"/>
    <n v="9.3000000000000007"/>
    <x v="24"/>
  </r>
  <r>
    <n v="9"/>
    <n v="19"/>
    <n v="0"/>
    <n v="12"/>
    <n v="1"/>
    <n v="0"/>
    <x v="9"/>
    <x v="16"/>
    <s v="jyoti structure"/>
    <n v="501"/>
    <n v="8.1999999999999993"/>
    <x v="881"/>
  </r>
  <r>
    <n v="13"/>
    <n v="22"/>
    <n v="3"/>
    <n v="4"/>
    <n v="1"/>
    <n v="0"/>
    <x v="0"/>
    <x v="30"/>
    <s v="Ringfeder Power Transmission India Pvt. Ltd."/>
    <n v="507"/>
    <n v="7.7"/>
    <x v="882"/>
  </r>
  <r>
    <n v="7"/>
    <n v="17"/>
    <n v="3"/>
    <n v="0"/>
    <n v="1"/>
    <n v="0"/>
    <x v="7"/>
    <x v="14"/>
    <s v="Jaiprakash Power"/>
    <n v="254"/>
    <n v="7.6"/>
    <x v="883"/>
  </r>
  <r>
    <n v="5"/>
    <n v="18"/>
    <n v="0"/>
    <n v="5"/>
    <n v="1"/>
    <n v="0"/>
    <x v="11"/>
    <x v="20"/>
    <s v="Adani Power Ltd."/>
    <n v="375"/>
    <n v="7.8"/>
    <x v="884"/>
  </r>
  <r>
    <n v="6"/>
    <n v="23"/>
    <n v="2"/>
    <n v="11"/>
    <n v="1"/>
    <n v="0"/>
    <x v="1"/>
    <x v="19"/>
    <s v="Tata Power Company Ltd."/>
    <n v="0"/>
    <n v="7.4"/>
    <x v="885"/>
  </r>
  <r>
    <n v="12"/>
    <n v="23"/>
    <n v="2"/>
    <n v="7"/>
    <n v="12"/>
    <n v="0"/>
    <x v="1"/>
    <x v="8"/>
    <s v="NHPC"/>
    <n v="564"/>
    <n v="8.4"/>
    <x v="342"/>
  </r>
  <r>
    <n v="20"/>
    <n v="23"/>
    <n v="3"/>
    <n v="17"/>
    <n v="1"/>
    <n v="0"/>
    <x v="9"/>
    <x v="6"/>
    <s v="Jyoti Structure"/>
    <n v="568"/>
    <n v="9.1"/>
    <x v="886"/>
  </r>
  <r>
    <n v="12"/>
    <n v="23"/>
    <n v="0"/>
    <n v="10"/>
    <n v="1"/>
    <n v="0"/>
    <x v="9"/>
    <x v="20"/>
    <s v="Toshiba Transmission &amp; Distribution Systems (India) Pvt. Ltd."/>
    <n v="543"/>
    <n v="8.8000000000000007"/>
    <x v="887"/>
  </r>
  <r>
    <n v="8"/>
    <n v="18"/>
    <n v="0"/>
    <n v="21"/>
    <n v="1"/>
    <n v="0"/>
    <x v="8"/>
    <x v="9"/>
    <s v="Maha Transco â€“ Maharashtra State Electricity Transmission Co, Ltd."/>
    <n v="553"/>
    <n v="0"/>
    <x v="888"/>
  </r>
  <r>
    <n v="16"/>
    <n v="23"/>
    <n v="1"/>
    <n v="20"/>
    <n v="0"/>
    <n v="0"/>
    <x v="3"/>
    <x v="17"/>
    <s v="NLC India"/>
    <n v="766"/>
    <n v="8.8000000000000007"/>
    <x v="889"/>
  </r>
  <r>
    <n v="0"/>
    <n v="23"/>
    <n v="1"/>
    <n v="22"/>
    <n v="1"/>
    <n v="0"/>
    <x v="6"/>
    <x v="8"/>
    <s v="KEC International"/>
    <n v="492"/>
    <n v="8.4"/>
    <x v="512"/>
  </r>
  <r>
    <n v="8"/>
    <n v="19"/>
    <n v="3"/>
    <n v="22"/>
    <n v="1"/>
    <n v="0"/>
    <x v="2"/>
    <x v="22"/>
    <s v="Reliance Power"/>
    <n v="607"/>
    <n v="8.6999999999999993"/>
    <x v="387"/>
  </r>
  <r>
    <n v="16"/>
    <n v="23"/>
    <n v="1"/>
    <n v="22"/>
    <n v="12"/>
    <n v="0"/>
    <x v="4"/>
    <x v="15"/>
    <s v="SJVN Ltd."/>
    <n v="768"/>
    <n v="9.3000000000000007"/>
    <x v="890"/>
  </r>
  <r>
    <n v="23"/>
    <n v="22"/>
    <n v="1"/>
    <n v="16"/>
    <n v="0"/>
    <n v="0"/>
    <x v="10"/>
    <x v="13"/>
    <s v="Orient Green"/>
    <n v="719"/>
    <n v="9.1999999999999993"/>
    <x v="891"/>
  </r>
  <r>
    <n v="7"/>
    <n v="19"/>
    <n v="3"/>
    <n v="13"/>
    <n v="1"/>
    <n v="0"/>
    <x v="7"/>
    <x v="19"/>
    <s v="Bonfiglioli Transmission Pvt. Ltd."/>
    <n v="482"/>
    <n v="7.4"/>
    <x v="892"/>
  </r>
  <r>
    <n v="13"/>
    <n v="22"/>
    <n v="3"/>
    <n v="19"/>
    <n v="12"/>
    <n v="0"/>
    <x v="7"/>
    <x v="5"/>
    <s v="Indowind Energy"/>
    <n v="750"/>
    <n v="7.7"/>
    <x v="893"/>
  </r>
  <r>
    <n v="9"/>
    <n v="23"/>
    <n v="3"/>
    <n v="15"/>
    <n v="7"/>
    <n v="0"/>
    <x v="9"/>
    <x v="1"/>
    <s v="Unitech Power Transmission Ltd."/>
    <n v="529"/>
    <n v="8.3000000000000007"/>
    <x v="894"/>
  </r>
  <r>
    <n v="8"/>
    <n v="20"/>
    <n v="3"/>
    <n v="13"/>
    <n v="7"/>
    <n v="0"/>
    <x v="1"/>
    <x v="8"/>
    <s v="unknown"/>
    <n v="594"/>
    <n v="8.4"/>
    <x v="895"/>
  </r>
  <r>
    <n v="10"/>
    <n v="0"/>
    <n v="2"/>
    <n v="9"/>
    <n v="1"/>
    <n v="0"/>
    <x v="7"/>
    <x v="3"/>
    <s v="NLC India"/>
    <n v="0"/>
    <n v="8.9"/>
    <x v="896"/>
  </r>
  <r>
    <n v="18"/>
    <n v="22"/>
    <n v="1"/>
    <n v="16"/>
    <n v="1"/>
    <n v="0"/>
    <x v="12"/>
    <x v="16"/>
    <s v="Bonfiglioli Transmission Pvt. Ltd."/>
    <n v="599"/>
    <n v="8.1999999999999993"/>
    <x v="897"/>
  </r>
  <r>
    <n v="7"/>
    <n v="20"/>
    <n v="3"/>
    <n v="13"/>
    <n v="1"/>
    <n v="0"/>
    <x v="11"/>
    <x v="3"/>
    <s v="reliance energy"/>
    <n v="508"/>
    <n v="8.9"/>
    <x v="898"/>
  </r>
  <r>
    <n v="10"/>
    <n v="19"/>
    <n v="0"/>
    <n v="9"/>
    <n v="7"/>
    <n v="0"/>
    <x v="7"/>
    <x v="6"/>
    <s v="Sterlite Power Transmission Ltd"/>
    <n v="369"/>
    <n v="9.1"/>
    <x v="899"/>
  </r>
  <r>
    <n v="14"/>
    <n v="22"/>
    <n v="2"/>
    <n v="0"/>
    <n v="1"/>
    <n v="0"/>
    <x v="10"/>
    <x v="3"/>
    <s v="Maha Transco â€“ Maharashtra State Electricity Transmission Co, Ltd."/>
    <n v="606"/>
    <n v="8.9"/>
    <x v="900"/>
  </r>
  <r>
    <n v="8"/>
    <n v="19"/>
    <n v="3"/>
    <n v="19"/>
    <n v="1"/>
    <n v="0"/>
    <x v="3"/>
    <x v="1"/>
    <s v="Jaiprakash Power"/>
    <n v="431"/>
    <n v="8.3000000000000007"/>
    <x v="901"/>
  </r>
  <r>
    <n v="8"/>
    <n v="20"/>
    <n v="0"/>
    <n v="7"/>
    <n v="0"/>
    <n v="0"/>
    <x v="4"/>
    <x v="15"/>
    <s v="L&amp;T Transmission &amp; Distribution"/>
    <n v="422"/>
    <n v="9.3000000000000007"/>
    <x v="902"/>
  </r>
  <r>
    <n v="9"/>
    <n v="20"/>
    <n v="0"/>
    <n v="5"/>
    <n v="1"/>
    <n v="0"/>
    <x v="11"/>
    <x v="13"/>
    <s v="JSW Energy Ltd."/>
    <n v="309"/>
    <n v="9.1999999999999993"/>
    <x v="903"/>
  </r>
  <r>
    <n v="9"/>
    <n v="23"/>
    <n v="0"/>
    <n v="9"/>
    <n v="1"/>
    <n v="0"/>
    <x v="6"/>
    <x v="8"/>
    <s v="Jyoti Structure"/>
    <n v="525"/>
    <n v="8.4"/>
    <x v="904"/>
  </r>
  <r>
    <n v="11"/>
    <n v="23"/>
    <n v="3"/>
    <n v="0"/>
    <n v="1"/>
    <n v="0"/>
    <x v="12"/>
    <x v="8"/>
    <s v="Sunil Hitech Eng"/>
    <n v="678"/>
    <n v="8.4"/>
    <x v="905"/>
  </r>
  <r>
    <n v="8"/>
    <n v="21"/>
    <n v="0"/>
    <n v="9"/>
    <n v="1"/>
    <n v="0"/>
    <x v="8"/>
    <x v="5"/>
    <s v="unknown"/>
    <n v="317"/>
    <n v="7.7"/>
    <x v="906"/>
  </r>
  <r>
    <n v="13"/>
    <n v="22"/>
    <n v="2"/>
    <n v="20"/>
    <n v="12"/>
    <n v="0"/>
    <x v="5"/>
    <x v="15"/>
    <s v="Sterlite Power Transmission Ltd"/>
    <n v="585"/>
    <n v="9.3000000000000007"/>
    <x v="907"/>
  </r>
  <r>
    <n v="22"/>
    <n v="22"/>
    <n v="2"/>
    <n v="15"/>
    <n v="1"/>
    <n v="0"/>
    <x v="6"/>
    <x v="13"/>
    <s v="SJVN Ltd."/>
    <n v="690"/>
    <n v="0"/>
    <x v="908"/>
  </r>
  <r>
    <n v="22"/>
    <n v="23"/>
    <n v="0"/>
    <n v="21"/>
    <n v="1"/>
    <n v="0"/>
    <x v="6"/>
    <x v="5"/>
    <s v="Guj Ind Power"/>
    <n v="576"/>
    <n v="7.7"/>
    <x v="238"/>
  </r>
  <r>
    <n v="22"/>
    <n v="22"/>
    <n v="0"/>
    <n v="14"/>
    <n v="1"/>
    <n v="0"/>
    <x v="4"/>
    <x v="3"/>
    <s v="JSW Energy Ltd."/>
    <n v="411"/>
    <n v="8.9"/>
    <x v="660"/>
  </r>
  <r>
    <n v="18"/>
    <n v="22"/>
    <n v="1"/>
    <n v="0"/>
    <n v="1"/>
    <n v="0"/>
    <x v="5"/>
    <x v="7"/>
    <s v="Neueon Towers / Sujana Towers Ltd."/>
    <n v="609"/>
    <n v="7.8"/>
    <x v="164"/>
  </r>
  <r>
    <n v="21"/>
    <n v="22"/>
    <n v="2"/>
    <n v="15"/>
    <n v="1"/>
    <n v="0"/>
    <x v="12"/>
    <x v="15"/>
    <s v="Ratnagiri Gas and Power Pvt. Ltd. (RGPPL)"/>
    <n v="460"/>
    <n v="9.3000000000000007"/>
    <x v="909"/>
  </r>
  <r>
    <n v="7"/>
    <n v="23"/>
    <n v="1"/>
    <n v="14"/>
    <n v="1"/>
    <n v="0"/>
    <x v="11"/>
    <x v="20"/>
    <s v="Reliance Power"/>
    <n v="0"/>
    <n v="8.8000000000000007"/>
    <x v="910"/>
  </r>
  <r>
    <n v="7"/>
    <n v="18"/>
    <n v="3"/>
    <n v="18"/>
    <n v="7"/>
    <n v="0"/>
    <x v="3"/>
    <x v="10"/>
    <s v="Jaiprakash Power"/>
    <n v="663"/>
    <n v="8.5"/>
    <x v="911"/>
  </r>
  <r>
    <n v="10"/>
    <n v="23"/>
    <n v="2"/>
    <n v="22"/>
    <n v="1"/>
    <n v="0"/>
    <x v="0"/>
    <x v="9"/>
    <s v="Tata Power Company Ltd."/>
    <n v="0"/>
    <n v="7.9"/>
    <x v="912"/>
  </r>
  <r>
    <n v="17"/>
    <n v="22"/>
    <n v="2"/>
    <n v="7"/>
    <n v="1"/>
    <n v="0"/>
    <x v="9"/>
    <x v="4"/>
    <s v="Bonfiglioli Transmission Pvt. Ltd."/>
    <n v="525"/>
    <n v="8.6999999999999993"/>
    <x v="482"/>
  </r>
  <r>
    <n v="9"/>
    <n v="23"/>
    <n v="3"/>
    <n v="5"/>
    <n v="1"/>
    <n v="0"/>
    <x v="7"/>
    <x v="20"/>
    <s v="GE T&amp;D India Limited"/>
    <n v="0"/>
    <n v="9.3000000000000007"/>
    <x v="913"/>
  </r>
  <r>
    <n v="14"/>
    <n v="22"/>
    <n v="0"/>
    <n v="10"/>
    <n v="12"/>
    <n v="0"/>
    <x v="11"/>
    <x v="1"/>
    <s v="CESC"/>
    <n v="423"/>
    <n v="8.3000000000000007"/>
    <x v="590"/>
  </r>
  <r>
    <n v="22"/>
    <n v="22"/>
    <n v="2"/>
    <n v="10"/>
    <n v="1"/>
    <n v="0"/>
    <x v="10"/>
    <x v="3"/>
    <s v="unknown"/>
    <n v="578"/>
    <n v="8.9"/>
    <x v="330"/>
  </r>
  <r>
    <n v="7"/>
    <n v="22"/>
    <n v="3"/>
    <n v="21"/>
    <n v="1"/>
    <n v="0"/>
    <x v="7"/>
    <x v="13"/>
    <s v="power grid corp"/>
    <n v="475"/>
    <n v="9.1999999999999993"/>
    <x v="914"/>
  </r>
  <r>
    <n v="11"/>
    <n v="23"/>
    <n v="3"/>
    <n v="20"/>
    <n v="1"/>
    <n v="0"/>
    <x v="1"/>
    <x v="19"/>
    <s v="Bonfiglioli Transmission Pvt. Ltd."/>
    <n v="632"/>
    <n v="7.4"/>
    <x v="915"/>
  </r>
  <r>
    <n v="22"/>
    <n v="22"/>
    <n v="1"/>
    <n v="10"/>
    <n v="12"/>
    <n v="0"/>
    <x v="5"/>
    <x v="16"/>
    <s v="SJVN Ltd."/>
    <n v="697"/>
    <n v="8.1999999999999993"/>
    <x v="916"/>
  </r>
  <r>
    <n v="13"/>
    <n v="22"/>
    <n v="0"/>
    <n v="18"/>
    <n v="1"/>
    <n v="0"/>
    <x v="7"/>
    <x v="19"/>
    <s v="Adani Power Ltd."/>
    <n v="471"/>
    <n v="7.4"/>
    <x v="917"/>
  </r>
  <r>
    <n v="0"/>
    <n v="22"/>
    <n v="2"/>
    <n v="6"/>
    <n v="1"/>
    <n v="0"/>
    <x v="1"/>
    <x v="2"/>
    <s v="Ratnagiri Gas and Power Pvt. Ltd. (RGPPL)"/>
    <n v="589"/>
    <n v="8.9"/>
    <x v="596"/>
  </r>
  <r>
    <n v="18"/>
    <n v="0"/>
    <n v="3"/>
    <n v="12"/>
    <n v="1"/>
    <n v="0"/>
    <x v="0"/>
    <x v="10"/>
    <s v="Jaiprakash Power"/>
    <n v="431"/>
    <n v="8.5"/>
    <x v="918"/>
  </r>
  <r>
    <n v="5"/>
    <n v="22"/>
    <n v="3"/>
    <n v="9"/>
    <n v="1"/>
    <n v="0"/>
    <x v="5"/>
    <x v="15"/>
    <s v="Tata Power Company Ltd."/>
    <n v="0"/>
    <n v="9.3000000000000007"/>
    <x v="919"/>
  </r>
  <r>
    <n v="6"/>
    <n v="21"/>
    <n v="2"/>
    <n v="7"/>
    <n v="1"/>
    <n v="0"/>
    <x v="8"/>
    <x v="17"/>
    <s v="ringfeder power transmission india pvt. ltd."/>
    <n v="281"/>
    <n v="8.8000000000000007"/>
    <x v="695"/>
  </r>
  <r>
    <n v="18"/>
    <n v="23"/>
    <n v="3"/>
    <n v="17"/>
    <n v="12"/>
    <n v="0"/>
    <x v="7"/>
    <x v="1"/>
    <s v="Unitech Power Transmission Ltd."/>
    <n v="812"/>
    <n v="8.3000000000000007"/>
    <x v="920"/>
  </r>
  <r>
    <n v="10"/>
    <n v="23"/>
    <n v="2"/>
    <n v="19"/>
    <n v="1"/>
    <n v="0"/>
    <x v="8"/>
    <x v="1"/>
    <s v="L&amp;T Transmission &amp; Distribution"/>
    <n v="504"/>
    <n v="8.3000000000000007"/>
    <x v="921"/>
  </r>
  <r>
    <n v="23"/>
    <n v="22"/>
    <n v="3"/>
    <n v="22"/>
    <n v="0"/>
    <n v="0"/>
    <x v="6"/>
    <x v="6"/>
    <s v="l&amp;t transmission &amp; distribution"/>
    <n v="811"/>
    <n v="9.1"/>
    <x v="922"/>
  </r>
  <r>
    <n v="19"/>
    <n v="23"/>
    <n v="1"/>
    <n v="4"/>
    <n v="1"/>
    <n v="0"/>
    <x v="2"/>
    <x v="13"/>
    <s v="JSW Energy Ltd."/>
    <n v="396"/>
    <n v="9.1999999999999993"/>
    <x v="923"/>
  </r>
  <r>
    <n v="8"/>
    <n v="20"/>
    <n v="0"/>
    <n v="21"/>
    <n v="7"/>
    <n v="0"/>
    <x v="7"/>
    <x v="8"/>
    <s v="Sterlite Power Transmission Ltd"/>
    <n v="644"/>
    <n v="8.4"/>
    <x v="924"/>
  </r>
  <r>
    <n v="19"/>
    <n v="23"/>
    <n v="2"/>
    <n v="20"/>
    <n v="1"/>
    <n v="0"/>
    <x v="10"/>
    <x v="13"/>
    <s v="Toshiba Transmission &amp; Distribution Systems (India) Pvt. Ltd."/>
    <n v="608"/>
    <n v="9.1999999999999993"/>
    <x v="925"/>
  </r>
  <r>
    <n v="11"/>
    <n v="23"/>
    <n v="0"/>
    <n v="20"/>
    <n v="1"/>
    <n v="0"/>
    <x v="8"/>
    <x v="10"/>
    <s v="Neueon Towers / Sujana Towers Ltd."/>
    <n v="497"/>
    <n v="8.5"/>
    <x v="926"/>
  </r>
  <r>
    <n v="6"/>
    <n v="21"/>
    <n v="0"/>
    <n v="13"/>
    <n v="1"/>
    <n v="0"/>
    <x v="6"/>
    <x v="9"/>
    <s v="JSW Energy Ltd."/>
    <n v="367"/>
    <n v="7.9"/>
    <x v="927"/>
  </r>
  <r>
    <n v="23"/>
    <n v="23"/>
    <n v="2"/>
    <n v="11"/>
    <n v="1"/>
    <n v="0"/>
    <x v="9"/>
    <x v="16"/>
    <s v="Kalpataru Power"/>
    <n v="542"/>
    <n v="8.1999999999999993"/>
    <x v="928"/>
  </r>
  <r>
    <n v="11"/>
    <n v="23"/>
    <n v="0"/>
    <n v="9"/>
    <n v="12"/>
    <n v="0"/>
    <x v="2"/>
    <x v="20"/>
    <s v="NHPC"/>
    <n v="602"/>
    <n v="8.6999999999999993"/>
    <x v="929"/>
  </r>
  <r>
    <n v="20"/>
    <n v="22"/>
    <n v="1"/>
    <n v="14"/>
    <n v="1"/>
    <n v="0"/>
    <x v="11"/>
    <x v="19"/>
    <s v="Maha Transco â€“ Maharashtra State Electricity Transmission Co, Ltd."/>
    <n v="645"/>
    <n v="7.4"/>
    <x v="930"/>
  </r>
  <r>
    <n v="9"/>
    <n v="20"/>
    <n v="0"/>
    <n v="6"/>
    <n v="7"/>
    <n v="0"/>
    <x v="6"/>
    <x v="10"/>
    <s v="NHPC"/>
    <n v="258"/>
    <n v="8.5"/>
    <x v="931"/>
  </r>
  <r>
    <n v="17"/>
    <n v="22"/>
    <n v="3"/>
    <n v="21"/>
    <n v="0"/>
    <n v="0"/>
    <x v="5"/>
    <x v="4"/>
    <s v="L&amp;T Transmission &amp; Distribution"/>
    <n v="888"/>
    <n v="8.6999999999999993"/>
    <x v="932"/>
  </r>
  <r>
    <n v="20"/>
    <n v="22"/>
    <n v="2"/>
    <n v="18"/>
    <n v="1"/>
    <n v="0"/>
    <x v="1"/>
    <x v="13"/>
    <s v="Torrent Power Ltd."/>
    <n v="0"/>
    <n v="9.1999999999999993"/>
    <x v="933"/>
  </r>
  <r>
    <n v="21"/>
    <n v="22"/>
    <n v="2"/>
    <n v="19"/>
    <n v="12"/>
    <n v="0"/>
    <x v="5"/>
    <x v="16"/>
    <s v="nlc india"/>
    <n v="717"/>
    <n v="8.1999999999999993"/>
    <x v="934"/>
  </r>
  <r>
    <n v="6"/>
    <n v="21"/>
    <n v="1"/>
    <n v="22"/>
    <n v="7"/>
    <n v="0"/>
    <x v="10"/>
    <x v="16"/>
    <s v="Orient Green"/>
    <n v="598"/>
    <n v="8.1999999999999993"/>
    <x v="935"/>
  </r>
  <r>
    <n v="9"/>
    <n v="22"/>
    <n v="2"/>
    <n v="0"/>
    <n v="1"/>
    <n v="0"/>
    <x v="11"/>
    <x v="4"/>
    <s v="Indowind Energy"/>
    <n v="334"/>
    <n v="8.6999999999999993"/>
    <x v="936"/>
  </r>
  <r>
    <n v="20"/>
    <n v="22"/>
    <n v="1"/>
    <n v="5"/>
    <n v="12"/>
    <n v="0"/>
    <x v="0"/>
    <x v="8"/>
    <s v="Maha Transco â€“ Maharashtra State Electricity Transmission Co, Ltd."/>
    <n v="528"/>
    <n v="8.4"/>
    <x v="406"/>
  </r>
  <r>
    <n v="13"/>
    <n v="22"/>
    <n v="1"/>
    <n v="13"/>
    <n v="1"/>
    <n v="0"/>
    <x v="2"/>
    <x v="0"/>
    <s v="unknown"/>
    <n v="477"/>
    <n v="0"/>
    <x v="325"/>
  </r>
  <r>
    <n v="10"/>
    <n v="21"/>
    <n v="3"/>
    <n v="3"/>
    <n v="1"/>
    <n v="0"/>
    <x v="2"/>
    <x v="19"/>
    <s v="neueon towers / sujana towers ltd."/>
    <n v="288"/>
    <n v="0"/>
    <x v="937"/>
  </r>
  <r>
    <n v="7"/>
    <n v="22"/>
    <n v="0"/>
    <n v="4"/>
    <n v="1"/>
    <n v="0"/>
    <x v="11"/>
    <x v="13"/>
    <s v="Tata Power Company Ltd."/>
    <n v="459"/>
    <n v="9.1999999999999993"/>
    <x v="406"/>
  </r>
  <r>
    <n v="21"/>
    <n v="22"/>
    <n v="2"/>
    <n v="15"/>
    <n v="1"/>
    <n v="0"/>
    <x v="9"/>
    <x v="17"/>
    <s v="Toshiba Transmission &amp; Distribution Systems (India) Pvt. Ltd."/>
    <n v="617"/>
    <n v="8.8000000000000007"/>
    <x v="938"/>
  </r>
  <r>
    <n v="14"/>
    <n v="22"/>
    <n v="1"/>
    <n v="4"/>
    <n v="12"/>
    <n v="0"/>
    <x v="3"/>
    <x v="5"/>
    <s v="Unitech Power Transmission Ltd."/>
    <n v="453"/>
    <n v="7.7"/>
    <x v="939"/>
  </r>
  <r>
    <n v="15"/>
    <n v="22"/>
    <n v="1"/>
    <n v="6"/>
    <n v="12"/>
    <n v="0"/>
    <x v="6"/>
    <x v="14"/>
    <s v="CESC"/>
    <n v="556"/>
    <n v="7.6"/>
    <x v="940"/>
  </r>
  <r>
    <n v="8"/>
    <n v="22"/>
    <n v="0"/>
    <n v="19"/>
    <n v="7"/>
    <n v="0"/>
    <x v="12"/>
    <x v="23"/>
    <s v="Sunil Hitech Eng"/>
    <n v="508"/>
    <n v="7.8"/>
    <x v="941"/>
  </r>
  <r>
    <n v="8"/>
    <n v="19"/>
    <n v="2"/>
    <n v="20"/>
    <n v="1"/>
    <n v="0"/>
    <x v="8"/>
    <x v="5"/>
    <s v="Reliance Energy"/>
    <n v="476"/>
    <n v="7.7"/>
    <x v="24"/>
  </r>
  <r>
    <n v="19"/>
    <n v="22"/>
    <n v="2"/>
    <n v="11"/>
    <n v="1"/>
    <n v="0"/>
    <x v="4"/>
    <x v="16"/>
    <s v="Guj Ind Power"/>
    <n v="480"/>
    <n v="8.1999999999999993"/>
    <x v="813"/>
  </r>
  <r>
    <n v="17"/>
    <n v="22"/>
    <n v="0"/>
    <n v="13"/>
    <n v="1"/>
    <n v="0"/>
    <x v="12"/>
    <x v="0"/>
    <s v="Ringfeder Power Transmission India Pvt. Ltd."/>
    <n v="467"/>
    <n v="8.1"/>
    <x v="208"/>
  </r>
  <r>
    <n v="22"/>
    <n v="23"/>
    <n v="2"/>
    <n v="6"/>
    <n v="1"/>
    <n v="0"/>
    <x v="7"/>
    <x v="16"/>
    <s v="Adani Power Ltd."/>
    <n v="448"/>
    <n v="8.1999999999999993"/>
    <x v="942"/>
  </r>
  <r>
    <n v="14"/>
    <n v="22"/>
    <n v="2"/>
    <n v="20"/>
    <n v="1"/>
    <n v="0"/>
    <x v="2"/>
    <x v="8"/>
    <s v="GE T&amp;D India Limited"/>
    <n v="657"/>
    <n v="8.4"/>
    <x v="24"/>
  </r>
  <r>
    <n v="7"/>
    <n v="17"/>
    <n v="2"/>
    <n v="16"/>
    <n v="7"/>
    <n v="0"/>
    <x v="5"/>
    <x v="3"/>
    <s v="KEC International"/>
    <n v="489"/>
    <n v="8.9"/>
    <x v="943"/>
  </r>
  <r>
    <n v="8"/>
    <n v="18"/>
    <n v="3"/>
    <n v="19"/>
    <n v="1"/>
    <n v="0"/>
    <x v="2"/>
    <x v="8"/>
    <s v="nan"/>
    <n v="388"/>
    <n v="8.4"/>
    <x v="944"/>
  </r>
  <r>
    <n v="0"/>
    <n v="23"/>
    <n v="3"/>
    <n v="12"/>
    <n v="1"/>
    <n v="0"/>
    <x v="1"/>
    <x v="19"/>
    <s v="Sunil Hitech Eng"/>
    <n v="566"/>
    <n v="7.4"/>
    <x v="945"/>
  </r>
  <r>
    <n v="20"/>
    <n v="22"/>
    <n v="0"/>
    <n v="13"/>
    <n v="1"/>
    <n v="0"/>
    <x v="9"/>
    <x v="17"/>
    <s v="KEC International"/>
    <n v="460"/>
    <n v="8.8000000000000007"/>
    <x v="946"/>
  </r>
  <r>
    <n v="16"/>
    <n v="23"/>
    <n v="0"/>
    <n v="19"/>
    <n v="1"/>
    <n v="0"/>
    <x v="1"/>
    <x v="0"/>
    <s v="Ringfeder Power Transmission India Pvt. Ltd."/>
    <n v="585"/>
    <n v="8.1"/>
    <x v="406"/>
  </r>
  <r>
    <n v="15"/>
    <n v="23"/>
    <n v="0"/>
    <n v="14"/>
    <n v="12"/>
    <n v="0"/>
    <x v="5"/>
    <x v="7"/>
    <s v="Reliance Energy"/>
    <n v="550"/>
    <n v="7.8"/>
    <x v="217"/>
  </r>
  <r>
    <n v="20"/>
    <n v="22"/>
    <n v="3"/>
    <n v="9"/>
    <n v="1"/>
    <n v="0"/>
    <x v="5"/>
    <x v="20"/>
    <s v="Unitech Power Transmission Ltd."/>
    <n v="533"/>
    <n v="7.9"/>
    <x v="947"/>
  </r>
  <r>
    <n v="14"/>
    <n v="22"/>
    <n v="1"/>
    <n v="17"/>
    <n v="1"/>
    <n v="0"/>
    <x v="8"/>
    <x v="8"/>
    <s v="Jyoti Structure"/>
    <n v="600"/>
    <n v="8.4"/>
    <x v="948"/>
  </r>
  <r>
    <n v="19"/>
    <n v="22"/>
    <n v="0"/>
    <n v="17"/>
    <n v="1"/>
    <n v="0"/>
    <x v="9"/>
    <x v="5"/>
    <s v="Sterlite Power Transmission Ltd"/>
    <n v="464"/>
    <n v="7.7"/>
    <x v="949"/>
  </r>
  <r>
    <n v="22"/>
    <n v="22"/>
    <n v="0"/>
    <n v="8"/>
    <n v="12"/>
    <n v="0"/>
    <x v="3"/>
    <x v="9"/>
    <s v="Sunil Hitech Eng"/>
    <n v="556"/>
    <n v="7.9"/>
    <x v="950"/>
  </r>
  <r>
    <n v="0"/>
    <n v="18"/>
    <n v="1"/>
    <n v="12"/>
    <n v="1"/>
    <n v="0"/>
    <x v="1"/>
    <x v="20"/>
    <s v="Optibelt Power Transmission India Private Limited"/>
    <n v="454"/>
    <n v="7.9"/>
    <x v="786"/>
  </r>
  <r>
    <n v="9"/>
    <n v="21"/>
    <n v="0"/>
    <n v="3"/>
    <n v="1"/>
    <n v="0"/>
    <x v="3"/>
    <x v="12"/>
    <s v="guj ind power"/>
    <n v="314"/>
    <n v="8.6999999999999993"/>
    <x v="951"/>
  </r>
  <r>
    <n v="20"/>
    <n v="23"/>
    <n v="0"/>
    <n v="12"/>
    <n v="1"/>
    <n v="0"/>
    <x v="9"/>
    <x v="28"/>
    <s v="L&amp;T Transmission &amp; Distribution"/>
    <n v="686"/>
    <n v="8.8000000000000007"/>
    <x v="406"/>
  </r>
  <r>
    <n v="5"/>
    <n v="17"/>
    <n v="0"/>
    <n v="6"/>
    <n v="7"/>
    <n v="0"/>
    <x v="2"/>
    <x v="19"/>
    <s v="GE T&amp;D India Limited"/>
    <n v="210"/>
    <n v="7.4"/>
    <x v="952"/>
  </r>
  <r>
    <n v="7"/>
    <n v="17"/>
    <n v="1"/>
    <n v="12"/>
    <n v="1"/>
    <n v="0"/>
    <x v="12"/>
    <x v="3"/>
    <s v="unknown"/>
    <n v="488"/>
    <n v="8.9"/>
    <x v="953"/>
  </r>
  <r>
    <n v="14"/>
    <n v="22"/>
    <n v="1"/>
    <n v="14"/>
    <n v="1"/>
    <n v="0"/>
    <x v="9"/>
    <x v="1"/>
    <s v="Torrent Power Ltd."/>
    <n v="384"/>
    <n v="8.3000000000000007"/>
    <x v="954"/>
  </r>
  <r>
    <n v="9"/>
    <n v="22"/>
    <n v="2"/>
    <n v="16"/>
    <n v="1"/>
    <n v="0"/>
    <x v="1"/>
    <x v="30"/>
    <s v="Reliance Energy"/>
    <n v="586"/>
    <n v="7.7"/>
    <x v="24"/>
  </r>
  <r>
    <n v="14"/>
    <n v="22"/>
    <n v="0"/>
    <n v="11"/>
    <n v="1"/>
    <n v="0"/>
    <x v="10"/>
    <x v="7"/>
    <s v="Power Grid Corp"/>
    <n v="598"/>
    <n v="7.8"/>
    <x v="955"/>
  </r>
  <r>
    <n v="20"/>
    <n v="23"/>
    <n v="0"/>
    <n v="15"/>
    <n v="1"/>
    <n v="0"/>
    <x v="12"/>
    <x v="8"/>
    <s v="TransRail Lighting"/>
    <n v="500"/>
    <n v="8.4"/>
    <x v="956"/>
  </r>
  <r>
    <n v="7"/>
    <n v="22"/>
    <n v="2"/>
    <n v="16"/>
    <n v="1"/>
    <n v="0"/>
    <x v="1"/>
    <x v="3"/>
    <s v="GE T&amp;D India Limited"/>
    <n v="515"/>
    <n v="8.9"/>
    <x v="957"/>
  </r>
  <r>
    <n v="7"/>
    <n v="18"/>
    <n v="0"/>
    <n v="11"/>
    <n v="1"/>
    <n v="0"/>
    <x v="6"/>
    <x v="9"/>
    <s v="Unitech Power Transmission Ltd."/>
    <n v="218"/>
    <n v="0"/>
    <x v="958"/>
  </r>
  <r>
    <n v="22"/>
    <n v="23"/>
    <n v="1"/>
    <n v="14"/>
    <n v="1"/>
    <n v="0"/>
    <x v="11"/>
    <x v="4"/>
    <s v="Ratnagiri Gas and Power Pvt. Ltd. (RGPPL)"/>
    <n v="631"/>
    <n v="8.6999999999999993"/>
    <x v="959"/>
  </r>
  <r>
    <n v="10"/>
    <n v="17"/>
    <n v="2"/>
    <n v="12"/>
    <n v="1"/>
    <n v="0"/>
    <x v="4"/>
    <x v="3"/>
    <s v="Jyoti Structure"/>
    <n v="295"/>
    <n v="8.9"/>
    <x v="960"/>
  </r>
  <r>
    <n v="10"/>
    <n v="19"/>
    <n v="0"/>
    <n v="3"/>
    <n v="1"/>
    <n v="0"/>
    <x v="7"/>
    <x v="17"/>
    <s v="NTPC Pvt. Ltd."/>
    <n v="421"/>
    <n v="8.8000000000000007"/>
    <x v="24"/>
  </r>
  <r>
    <n v="22"/>
    <n v="22"/>
    <n v="2"/>
    <n v="18"/>
    <n v="1"/>
    <n v="0"/>
    <x v="5"/>
    <x v="13"/>
    <s v="Unitech Power Transmission Ltd."/>
    <n v="726"/>
    <n v="9.1999999999999993"/>
    <x v="961"/>
  </r>
  <r>
    <n v="20"/>
    <n v="23"/>
    <n v="2"/>
    <n v="12"/>
    <n v="1"/>
    <n v="0"/>
    <x v="1"/>
    <x v="10"/>
    <s v="NHPC"/>
    <n v="615"/>
    <n v="8.5"/>
    <x v="350"/>
  </r>
  <r>
    <n v="7"/>
    <n v="23"/>
    <n v="2"/>
    <n v="9"/>
    <n v="1"/>
    <n v="0"/>
    <x v="7"/>
    <x v="0"/>
    <s v="Power Grid Corp"/>
    <n v="481"/>
    <n v="8.1"/>
    <x v="962"/>
  </r>
  <r>
    <n v="5"/>
    <n v="19"/>
    <n v="2"/>
    <n v="18"/>
    <n v="7"/>
    <n v="0"/>
    <x v="10"/>
    <x v="16"/>
    <s v="Adani Power Ltd."/>
    <n v="505"/>
    <n v="8.1999999999999993"/>
    <x v="963"/>
  </r>
  <r>
    <n v="22"/>
    <n v="23"/>
    <n v="0"/>
    <n v="21"/>
    <n v="1"/>
    <n v="0"/>
    <x v="8"/>
    <x v="10"/>
    <s v="Adani Power Ltd."/>
    <n v="492"/>
    <n v="8.5"/>
    <x v="803"/>
  </r>
  <r>
    <n v="17"/>
    <n v="22"/>
    <n v="3"/>
    <n v="3"/>
    <n v="1"/>
    <n v="0"/>
    <x v="12"/>
    <x v="30"/>
    <s v="Sunil Hitech Eng"/>
    <n v="429"/>
    <n v="7.7"/>
    <x v="964"/>
  </r>
  <r>
    <n v="7"/>
    <n v="19"/>
    <n v="0"/>
    <n v="6"/>
    <n v="1"/>
    <n v="0"/>
    <x v="11"/>
    <x v="1"/>
    <s v="Maha Transco â€“ Maharashtra State Electricity Transmission Co, Ltd."/>
    <n v="395"/>
    <n v="8.3000000000000007"/>
    <x v="965"/>
  </r>
  <r>
    <n v="11"/>
    <n v="0"/>
    <n v="1"/>
    <n v="11"/>
    <n v="1"/>
    <n v="0"/>
    <x v="6"/>
    <x v="32"/>
    <s v="Ringfeder Power Transmission India Pvt. Ltd."/>
    <n v="452"/>
    <n v="9.1999999999999993"/>
    <x v="966"/>
  </r>
  <r>
    <n v="8"/>
    <n v="22"/>
    <n v="2"/>
    <n v="8"/>
    <n v="1"/>
    <n v="0"/>
    <x v="9"/>
    <x v="14"/>
    <s v="GE T&amp;D India Limited"/>
    <n v="360"/>
    <n v="7.6"/>
    <x v="967"/>
  </r>
  <r>
    <n v="14"/>
    <n v="22"/>
    <n v="0"/>
    <n v="0"/>
    <n v="1"/>
    <n v="0"/>
    <x v="8"/>
    <x v="6"/>
    <s v="unknown"/>
    <n v="574"/>
    <n v="0"/>
    <x v="968"/>
  </r>
  <r>
    <n v="22"/>
    <n v="22"/>
    <n v="3"/>
    <n v="4"/>
    <n v="1"/>
    <n v="0"/>
    <x v="6"/>
    <x v="16"/>
    <s v="unknown"/>
    <n v="643"/>
    <n v="8.1999999999999993"/>
    <x v="969"/>
  </r>
  <r>
    <n v="20"/>
    <n v="22"/>
    <n v="0"/>
    <n v="18"/>
    <n v="1"/>
    <n v="0"/>
    <x v="1"/>
    <x v="19"/>
    <s v="Optibelt Power Transmission India Private Limited"/>
    <n v="678"/>
    <n v="7.4"/>
    <x v="970"/>
  </r>
  <r>
    <n v="17"/>
    <n v="23"/>
    <n v="2"/>
    <n v="5"/>
    <n v="1"/>
    <n v="0"/>
    <x v="2"/>
    <x v="13"/>
    <s v="Sunil Hitech Eng"/>
    <n v="451"/>
    <n v="9.1999999999999993"/>
    <x v="971"/>
  </r>
  <r>
    <n v="11"/>
    <n v="23"/>
    <n v="3"/>
    <n v="20"/>
    <n v="1"/>
    <n v="0"/>
    <x v="3"/>
    <x v="20"/>
    <s v="Unitech Power Transmission Ltd."/>
    <n v="648"/>
    <s v="nan "/>
    <x v="816"/>
  </r>
  <r>
    <n v="9"/>
    <n v="17"/>
    <n v="0"/>
    <n v="11"/>
    <n v="7"/>
    <n v="0"/>
    <x v="5"/>
    <x v="4"/>
    <s v="CESC"/>
    <n v="348"/>
    <n v="8.6999999999999993"/>
    <x v="24"/>
  </r>
  <r>
    <n v="9"/>
    <n v="17"/>
    <n v="3"/>
    <n v="9"/>
    <n v="0"/>
    <n v="0"/>
    <x v="7"/>
    <x v="15"/>
    <s v="NTPC Pvt. Ltd."/>
    <n v="389"/>
    <n v="9.3000000000000007"/>
    <x v="972"/>
  </r>
  <r>
    <n v="12"/>
    <n v="22"/>
    <n v="1"/>
    <n v="5"/>
    <n v="12"/>
    <n v="0"/>
    <x v="6"/>
    <x v="8"/>
    <s v="unknown"/>
    <n v="389"/>
    <n v="8.4"/>
    <x v="973"/>
  </r>
  <r>
    <n v="7"/>
    <n v="23"/>
    <n v="3"/>
    <n v="7"/>
    <n v="1"/>
    <n v="0"/>
    <x v="4"/>
    <x v="9"/>
    <s v="Adani Power Ltd."/>
    <n v="564"/>
    <n v="0"/>
    <x v="24"/>
  </r>
  <r>
    <n v="16"/>
    <n v="22"/>
    <n v="0"/>
    <n v="19"/>
    <n v="1"/>
    <n v="0"/>
    <x v="0"/>
    <x v="15"/>
    <s v="unknown"/>
    <n v="344"/>
    <n v="9.3000000000000007"/>
    <x v="974"/>
  </r>
  <r>
    <n v="18"/>
    <n v="23"/>
    <n v="2"/>
    <n v="0"/>
    <n v="1"/>
    <n v="0"/>
    <x v="5"/>
    <x v="13"/>
    <s v="Sunil Hitech Eng"/>
    <n v="621"/>
    <n v="9.1999999999999993"/>
    <x v="975"/>
  </r>
  <r>
    <n v="15"/>
    <n v="23"/>
    <n v="0"/>
    <n v="16"/>
    <n v="1"/>
    <n v="0"/>
    <x v="10"/>
    <x v="7"/>
    <s v="Reliance Energy"/>
    <n v="490"/>
    <n v="7.8"/>
    <x v="976"/>
  </r>
  <r>
    <n v="17"/>
    <n v="23"/>
    <n v="3"/>
    <n v="10"/>
    <n v="12"/>
    <n v="0"/>
    <x v="11"/>
    <x v="24"/>
    <s v="Indowind Energy"/>
    <n v="673"/>
    <n v="7.6"/>
    <x v="977"/>
  </r>
  <r>
    <n v="21"/>
    <n v="22"/>
    <n v="1"/>
    <n v="18"/>
    <n v="12"/>
    <n v="0"/>
    <x v="5"/>
    <x v="3"/>
    <s v="Tata Power Company Ltd."/>
    <n v="682"/>
    <n v="8.9"/>
    <x v="978"/>
  </r>
  <r>
    <n v="7"/>
    <n v="22"/>
    <n v="2"/>
    <n v="10"/>
    <n v="1"/>
    <n v="0"/>
    <x v="2"/>
    <x v="20"/>
    <s v="KEC International"/>
    <n v="361"/>
    <n v="0"/>
    <x v="979"/>
  </r>
  <r>
    <n v="9"/>
    <n v="20"/>
    <n v="2"/>
    <n v="19"/>
    <n v="1"/>
    <n v="0"/>
    <x v="11"/>
    <x v="6"/>
    <s v="Unitech Power Transmission Ltd."/>
    <n v="569"/>
    <n v="9.1"/>
    <x v="980"/>
  </r>
  <r>
    <n v="13"/>
    <n v="23"/>
    <n v="1"/>
    <n v="17"/>
    <n v="1"/>
    <n v="0"/>
    <x v="7"/>
    <x v="15"/>
    <s v="Tata Power Company Ltd."/>
    <n v="412"/>
    <n v="9.3000000000000007"/>
    <x v="981"/>
  </r>
  <r>
    <n v="20"/>
    <n v="22"/>
    <n v="3"/>
    <n v="3"/>
    <n v="1"/>
    <n v="0"/>
    <x v="5"/>
    <x v="13"/>
    <s v="TransRail Lighting"/>
    <n v="435"/>
    <n v="9.1999999999999993"/>
    <x v="982"/>
  </r>
  <r>
    <n v="0"/>
    <n v="17"/>
    <n v="0"/>
    <n v="4"/>
    <n v="1"/>
    <n v="0"/>
    <x v="6"/>
    <x v="4"/>
    <s v="Reliance Energy"/>
    <n v="306"/>
    <n v="8.6999999999999993"/>
    <x v="983"/>
  </r>
  <r>
    <n v="23"/>
    <n v="23"/>
    <n v="0"/>
    <n v="20"/>
    <n v="1"/>
    <n v="0"/>
    <x v="2"/>
    <x v="19"/>
    <s v="NHPC"/>
    <n v="506"/>
    <n v="7.4"/>
    <x v="984"/>
  </r>
  <r>
    <n v="14"/>
    <n v="23"/>
    <n v="1"/>
    <n v="0"/>
    <n v="1"/>
    <n v="0"/>
    <x v="10"/>
    <x v="14"/>
    <s v="Neueon Towers / Sujana Towers Ltd."/>
    <n v="545"/>
    <n v="7.6"/>
    <x v="464"/>
  </r>
  <r>
    <n v="12"/>
    <n v="0"/>
    <n v="2"/>
    <n v="14"/>
    <n v="1"/>
    <n v="0"/>
    <x v="10"/>
    <x v="6"/>
    <s v="Sunil Hitech Eng"/>
    <n v="471"/>
    <n v="9.1"/>
    <x v="985"/>
  </r>
  <r>
    <n v="8"/>
    <n v="19"/>
    <n v="2"/>
    <n v="6"/>
    <n v="1"/>
    <n v="0"/>
    <x v="2"/>
    <x v="9"/>
    <s v="GE T&amp;D India Limited"/>
    <n v="501"/>
    <n v="0"/>
    <x v="59"/>
  </r>
  <r>
    <n v="15"/>
    <n v="22"/>
    <n v="2"/>
    <n v="22"/>
    <n v="1"/>
    <n v="0"/>
    <x v="5"/>
    <x v="13"/>
    <s v="unknown"/>
    <n v="634"/>
    <n v="9.1999999999999993"/>
    <x v="986"/>
  </r>
  <r>
    <n v="7"/>
    <n v="23"/>
    <n v="3"/>
    <n v="11"/>
    <n v="1"/>
    <n v="0"/>
    <x v="11"/>
    <x v="8"/>
    <s v="Kalpataru Power"/>
    <n v="458"/>
    <n v="8.4"/>
    <x v="987"/>
  </r>
  <r>
    <n v="15"/>
    <n v="22"/>
    <n v="2"/>
    <n v="11"/>
    <n v="12"/>
    <n v="0"/>
    <x v="3"/>
    <x v="15"/>
    <s v="Bonfiglioli Transmission Pvt. Ltd."/>
    <n v="626"/>
    <n v="9.3000000000000007"/>
    <x v="988"/>
  </r>
  <r>
    <n v="20"/>
    <n v="23"/>
    <n v="3"/>
    <n v="11"/>
    <n v="1"/>
    <n v="0"/>
    <x v="9"/>
    <x v="13"/>
    <s v="Neueon Towers / Sujana Towers Ltd."/>
    <n v="628"/>
    <n v="9.1999999999999993"/>
    <x v="989"/>
  </r>
  <r>
    <n v="9"/>
    <n v="21"/>
    <n v="0"/>
    <n v="9"/>
    <n v="7"/>
    <n v="0"/>
    <x v="10"/>
    <x v="0"/>
    <s v="JSW Energy Ltd."/>
    <n v="498"/>
    <n v="8.1"/>
    <x v="990"/>
  </r>
  <r>
    <n v="12"/>
    <n v="22"/>
    <n v="0"/>
    <n v="3"/>
    <n v="1"/>
    <n v="0"/>
    <x v="4"/>
    <x v="1"/>
    <s v="Jyoti Structure"/>
    <n v="246"/>
    <n v="8.3000000000000007"/>
    <x v="991"/>
  </r>
  <r>
    <n v="14"/>
    <n v="22"/>
    <n v="0"/>
    <n v="15"/>
    <n v="12"/>
    <n v="0"/>
    <x v="3"/>
    <x v="28"/>
    <s v="unknown"/>
    <n v="578"/>
    <n v="8.8000000000000007"/>
    <x v="992"/>
  </r>
  <r>
    <n v="7"/>
    <n v="18"/>
    <n v="1"/>
    <n v="9"/>
    <n v="1"/>
    <n v="0"/>
    <x v="5"/>
    <x v="7"/>
    <s v="L&amp;T Transmission &amp; Distribution"/>
    <n v="381"/>
    <n v="7.8"/>
    <x v="993"/>
  </r>
  <r>
    <n v="21"/>
    <n v="22"/>
    <n v="3"/>
    <n v="4"/>
    <n v="12"/>
    <n v="0"/>
    <x v="7"/>
    <x v="19"/>
    <s v="KEC International"/>
    <n v="0"/>
    <n v="7.4"/>
    <x v="994"/>
  </r>
  <r>
    <n v="20"/>
    <n v="22"/>
    <n v="3"/>
    <n v="16"/>
    <n v="12"/>
    <n v="0"/>
    <x v="1"/>
    <x v="10"/>
    <s v="NTPC Pvt. Ltd."/>
    <n v="704"/>
    <n v="8.5"/>
    <x v="995"/>
  </r>
  <r>
    <n v="15"/>
    <n v="22"/>
    <n v="3"/>
    <n v="14"/>
    <n v="12"/>
    <n v="0"/>
    <x v="3"/>
    <x v="9"/>
    <s v="Jaiprakash Power"/>
    <n v="805"/>
    <n v="7.9"/>
    <x v="996"/>
  </r>
  <r>
    <n v="8"/>
    <n v="17"/>
    <n v="3"/>
    <n v="4"/>
    <n v="1"/>
    <n v="0"/>
    <x v="6"/>
    <x v="30"/>
    <s v="TransRail Lighting"/>
    <n v="407"/>
    <n v="7.7"/>
    <x v="24"/>
  </r>
  <r>
    <n v="8"/>
    <n v="23"/>
    <n v="2"/>
    <n v="17"/>
    <n v="1"/>
    <n v="0"/>
    <x v="9"/>
    <x v="13"/>
    <s v="Kalpataru Power"/>
    <n v="681"/>
    <n v="9.1999999999999993"/>
    <x v="997"/>
  </r>
  <r>
    <n v="9"/>
    <n v="22"/>
    <n v="0"/>
    <n v="10"/>
    <n v="7"/>
    <n v="0"/>
    <x v="8"/>
    <x v="10"/>
    <s v="Orient Green"/>
    <n v="491"/>
    <n v="8.5"/>
    <x v="480"/>
  </r>
  <r>
    <n v="6"/>
    <n v="22"/>
    <n v="1"/>
    <n v="11"/>
    <n v="1"/>
    <n v="0"/>
    <x v="9"/>
    <x v="16"/>
    <s v="Ratnagiri Gas and Power Pvt. Ltd. (RGPPL)"/>
    <n v="345"/>
    <n v="8.1999999999999993"/>
    <x v="998"/>
  </r>
  <r>
    <n v="16"/>
    <n v="23"/>
    <n v="3"/>
    <n v="5"/>
    <n v="1"/>
    <n v="0"/>
    <x v="1"/>
    <x v="4"/>
    <s v="orient green"/>
    <n v="543"/>
    <n v="8.6999999999999993"/>
    <x v="999"/>
  </r>
  <r>
    <n v="11"/>
    <n v="22"/>
    <n v="1"/>
    <n v="0"/>
    <n v="1"/>
    <n v="0"/>
    <x v="2"/>
    <x v="1"/>
    <s v="Sunil Hitech Eng"/>
    <n v="398"/>
    <n v="8.3000000000000007"/>
    <x v="1000"/>
  </r>
  <r>
    <n v="21"/>
    <n v="23"/>
    <n v="2"/>
    <n v="16"/>
    <n v="1"/>
    <n v="0"/>
    <x v="4"/>
    <x v="4"/>
    <s v="Reliance Power"/>
    <n v="497"/>
    <n v="8.6999999999999993"/>
    <x v="1001"/>
  </r>
  <r>
    <n v="7"/>
    <n v="23"/>
    <n v="0"/>
    <n v="17"/>
    <n v="1"/>
    <n v="0"/>
    <x v="4"/>
    <x v="7"/>
    <s v="unknown"/>
    <n v="0"/>
    <n v="7.8"/>
    <x v="1002"/>
  </r>
  <r>
    <n v="11"/>
    <n v="0"/>
    <n v="0"/>
    <n v="15"/>
    <n v="12"/>
    <n v="0"/>
    <x v="10"/>
    <x v="3"/>
    <s v="kalpataru power"/>
    <n v="624"/>
    <n v="8.9"/>
    <x v="1003"/>
  </r>
  <r>
    <n v="7"/>
    <n v="17"/>
    <n v="0"/>
    <n v="15"/>
    <n v="1"/>
    <n v="0"/>
    <x v="6"/>
    <x v="16"/>
    <s v="torrent power ltd."/>
    <n v="305"/>
    <n v="8.1999999999999993"/>
    <x v="1004"/>
  </r>
  <r>
    <n v="6"/>
    <n v="23"/>
    <n v="2"/>
    <n v="19"/>
    <n v="7"/>
    <n v="0"/>
    <x v="9"/>
    <x v="8"/>
    <s v="SJVN Ltd."/>
    <n v="0"/>
    <n v="8.4"/>
    <x v="1005"/>
  </r>
  <r>
    <n v="16"/>
    <n v="22"/>
    <n v="0"/>
    <n v="0"/>
    <n v="1"/>
    <n v="0"/>
    <x v="8"/>
    <x v="34"/>
    <s v="Neueon Towers / Sujana Towers Ltd."/>
    <n v="373"/>
    <n v="9.1"/>
    <x v="1006"/>
  </r>
  <r>
    <n v="22"/>
    <n v="23"/>
    <n v="2"/>
    <n v="15"/>
    <n v="1"/>
    <n v="0"/>
    <x v="1"/>
    <x v="13"/>
    <s v="NHPC"/>
    <n v="695"/>
    <n v="9.1999999999999993"/>
    <x v="1007"/>
  </r>
  <r>
    <n v="22"/>
    <n v="23"/>
    <n v="3"/>
    <n v="15"/>
    <n v="1"/>
    <n v="0"/>
    <x v="11"/>
    <x v="6"/>
    <s v="Ringfeder Power Transmission India Pvt. Ltd."/>
    <n v="752"/>
    <n v="9.1"/>
    <x v="1008"/>
  </r>
  <r>
    <n v="12"/>
    <n v="23"/>
    <n v="0"/>
    <n v="16"/>
    <n v="1"/>
    <n v="0"/>
    <x v="0"/>
    <x v="10"/>
    <s v="unknown"/>
    <n v="582"/>
    <n v="8.5"/>
    <x v="612"/>
  </r>
  <r>
    <n v="13"/>
    <n v="23"/>
    <n v="3"/>
    <n v="8"/>
    <n v="12"/>
    <n v="0"/>
    <x v="1"/>
    <x v="20"/>
    <s v="Neueon Towers / Sujana Towers Ltd."/>
    <n v="589"/>
    <n v="0"/>
    <x v="264"/>
  </r>
  <r>
    <n v="23"/>
    <n v="22"/>
    <n v="3"/>
    <n v="10"/>
    <n v="1"/>
    <n v="0"/>
    <x v="9"/>
    <x v="7"/>
    <s v="Guj Ind Power"/>
    <n v="581"/>
    <n v="7.8"/>
    <x v="152"/>
  </r>
  <r>
    <n v="19"/>
    <n v="22"/>
    <n v="3"/>
    <n v="14"/>
    <n v="12"/>
    <n v="0"/>
    <x v="12"/>
    <x v="15"/>
    <s v="Ringfeder Power Transmission India Pvt. Ltd."/>
    <n v="692"/>
    <n v="9.3000000000000007"/>
    <x v="1009"/>
  </r>
  <r>
    <n v="15"/>
    <n v="23"/>
    <n v="1"/>
    <n v="15"/>
    <n v="1"/>
    <n v="0"/>
    <x v="0"/>
    <x v="4"/>
    <s v="Unitech Power Transmission Ltd."/>
    <n v="589"/>
    <n v="8.6999999999999993"/>
    <x v="531"/>
  </r>
  <r>
    <n v="12"/>
    <n v="23"/>
    <n v="1"/>
    <n v="19"/>
    <n v="1"/>
    <n v="0"/>
    <x v="7"/>
    <x v="0"/>
    <s v="Ratnagiri Gas and Power Pvt. Ltd. (RGPPL)"/>
    <n v="482"/>
    <n v="8.1"/>
    <x v="1010"/>
  </r>
  <r>
    <n v="13"/>
    <n v="23"/>
    <n v="1"/>
    <n v="9"/>
    <n v="1"/>
    <n v="0"/>
    <x v="6"/>
    <x v="16"/>
    <s v="Unitech Power Transmission Ltd."/>
    <n v="388"/>
    <n v="0"/>
    <x v="1011"/>
  </r>
  <r>
    <n v="16"/>
    <n v="22"/>
    <n v="3"/>
    <n v="8"/>
    <n v="12"/>
    <n v="0"/>
    <x v="0"/>
    <x v="20"/>
    <s v="Toshiba Transmission &amp; Distribution Systems (India) Pvt. Ltd."/>
    <n v="666"/>
    <n v="8.8000000000000007"/>
    <x v="1012"/>
  </r>
  <r>
    <n v="13"/>
    <n v="23"/>
    <n v="3"/>
    <n v="17"/>
    <n v="1"/>
    <n v="0"/>
    <x v="2"/>
    <x v="20"/>
    <s v="Sterlite Power Transmission Ltd"/>
    <n v="522"/>
    <n v="9.1"/>
    <x v="164"/>
  </r>
  <r>
    <n v="14"/>
    <n v="22"/>
    <n v="0"/>
    <n v="11"/>
    <n v="1"/>
    <n v="0"/>
    <x v="1"/>
    <x v="8"/>
    <s v="Power Grid Corp"/>
    <n v="490"/>
    <n v="8.4"/>
    <x v="707"/>
  </r>
  <r>
    <n v="5"/>
    <n v="18"/>
    <n v="0"/>
    <n v="20"/>
    <n v="1"/>
    <n v="0"/>
    <x v="5"/>
    <x v="28"/>
    <s v="Guj Ind Power"/>
    <n v="419"/>
    <n v="8.8000000000000007"/>
    <x v="1013"/>
  </r>
  <r>
    <n v="9"/>
    <n v="19"/>
    <n v="2"/>
    <n v="20"/>
    <n v="1"/>
    <n v="0"/>
    <x v="0"/>
    <x v="8"/>
    <s v="TransRail Lighting"/>
    <n v="488"/>
    <n v="8.4"/>
    <x v="1014"/>
  </r>
  <r>
    <n v="21"/>
    <n v="22"/>
    <n v="3"/>
    <n v="4"/>
    <n v="1"/>
    <n v="0"/>
    <x v="3"/>
    <x v="14"/>
    <s v="unknown"/>
    <n v="514"/>
    <n v="7.6"/>
    <x v="1015"/>
  </r>
  <r>
    <n v="15"/>
    <n v="23"/>
    <n v="1"/>
    <n v="13"/>
    <n v="1"/>
    <n v="0"/>
    <x v="2"/>
    <x v="0"/>
    <s v="Kalpataru Power"/>
    <n v="389"/>
    <n v="8.1"/>
    <x v="1016"/>
  </r>
  <r>
    <n v="17"/>
    <n v="22"/>
    <n v="0"/>
    <n v="16"/>
    <n v="12"/>
    <n v="0"/>
    <x v="11"/>
    <x v="14"/>
    <s v="Sunil Hitech Eng"/>
    <n v="569"/>
    <n v="7.6"/>
    <x v="846"/>
  </r>
  <r>
    <n v="23"/>
    <n v="22"/>
    <n v="3"/>
    <n v="3"/>
    <n v="12"/>
    <n v="0"/>
    <x v="6"/>
    <x v="4"/>
    <s v="Toshiba Transmission &amp; Distribution Systems (India) Pvt. Ltd."/>
    <n v="726"/>
    <n v="8.6999999999999993"/>
    <x v="1017"/>
  </r>
  <r>
    <n v="14"/>
    <n v="22"/>
    <n v="1"/>
    <n v="14"/>
    <n v="1"/>
    <n v="0"/>
    <x v="11"/>
    <x v="0"/>
    <s v="NHPC"/>
    <n v="442"/>
    <n v="8.1"/>
    <x v="1018"/>
  </r>
  <r>
    <n v="22"/>
    <n v="23"/>
    <n v="1"/>
    <n v="6"/>
    <n v="0"/>
    <n v="0"/>
    <x v="8"/>
    <x v="10"/>
    <s v="Tata Power Company Ltd."/>
    <n v="561"/>
    <n v="8.5"/>
    <x v="1019"/>
  </r>
  <r>
    <n v="6"/>
    <n v="18"/>
    <n v="1"/>
    <n v="22"/>
    <n v="1"/>
    <n v="0"/>
    <x v="3"/>
    <x v="4"/>
    <s v="Reliance Energy"/>
    <n v="419"/>
    <n v="8.6999999999999993"/>
    <x v="24"/>
  </r>
  <r>
    <n v="7"/>
    <n v="22"/>
    <n v="2"/>
    <n v="11"/>
    <n v="7"/>
    <n v="0"/>
    <x v="1"/>
    <x v="16"/>
    <s v="Optibelt Power Transmission India Private Limited"/>
    <n v="468"/>
    <n v="8.1999999999999993"/>
    <x v="1020"/>
  </r>
  <r>
    <n v="9"/>
    <n v="22"/>
    <n v="1"/>
    <n v="6"/>
    <n v="7"/>
    <n v="0"/>
    <x v="8"/>
    <x v="10"/>
    <s v="Ringfeder Power Transmission India Pvt. Ltd."/>
    <n v="483"/>
    <n v="8.5"/>
    <x v="550"/>
  </r>
  <r>
    <n v="6"/>
    <n v="19"/>
    <n v="2"/>
    <n v="9"/>
    <n v="1"/>
    <n v="0"/>
    <x v="0"/>
    <x v="9"/>
    <s v="unknown"/>
    <n v="301"/>
    <n v="7.9"/>
    <x v="1021"/>
  </r>
  <r>
    <n v="22"/>
    <n v="22"/>
    <n v="2"/>
    <n v="20"/>
    <n v="1"/>
    <n v="0"/>
    <x v="5"/>
    <x v="1"/>
    <s v="Adani Power Ltd."/>
    <n v="569"/>
    <n v="8.3000000000000007"/>
    <x v="242"/>
  </r>
  <r>
    <n v="10"/>
    <n v="19"/>
    <n v="0"/>
    <n v="22"/>
    <n v="7"/>
    <n v="0"/>
    <x v="8"/>
    <x v="19"/>
    <s v="NTPC Pvt. Ltd."/>
    <n v="546"/>
    <n v="7.4"/>
    <x v="1022"/>
  </r>
  <r>
    <n v="0"/>
    <n v="22"/>
    <n v="3"/>
    <n v="8"/>
    <n v="1"/>
    <n v="0"/>
    <x v="4"/>
    <x v="3"/>
    <s v="Orient Green"/>
    <n v="553"/>
    <n v="8.9"/>
    <x v="1023"/>
  </r>
  <r>
    <n v="13"/>
    <n v="23"/>
    <n v="0"/>
    <n v="3"/>
    <n v="1"/>
    <n v="0"/>
    <x v="0"/>
    <x v="13"/>
    <s v="Sunil Hitech Eng"/>
    <n v="246"/>
    <n v="9.1999999999999993"/>
    <x v="1024"/>
  </r>
  <r>
    <n v="8"/>
    <n v="21"/>
    <n v="0"/>
    <n v="15"/>
    <n v="0"/>
    <n v="0"/>
    <x v="0"/>
    <x v="17"/>
    <s v="GE T&amp;D India Limited"/>
    <n v="522"/>
    <n v="8.8000000000000007"/>
    <x v="1025"/>
  </r>
  <r>
    <n v="11"/>
    <n v="23"/>
    <n v="0"/>
    <n v="3"/>
    <n v="1"/>
    <n v="0"/>
    <x v="2"/>
    <x v="16"/>
    <s v="TransRail Lighting"/>
    <n v="284"/>
    <n v="0"/>
    <x v="1026"/>
  </r>
  <r>
    <n v="16"/>
    <n v="23"/>
    <n v="1"/>
    <n v="21"/>
    <n v="1"/>
    <n v="0"/>
    <x v="7"/>
    <x v="14"/>
    <s v="TransRail Lighting"/>
    <n v="712"/>
    <n v="7.6"/>
    <x v="1027"/>
  </r>
  <r>
    <n v="6"/>
    <n v="23"/>
    <n v="0"/>
    <n v="12"/>
    <n v="1"/>
    <n v="0"/>
    <x v="3"/>
    <x v="13"/>
    <s v="Ratnagiri Gas and Power Pvt. Ltd. (RGPPL)"/>
    <n v="321"/>
    <n v="9.1999999999999993"/>
    <x v="1028"/>
  </r>
  <r>
    <n v="21"/>
    <n v="23"/>
    <n v="3"/>
    <n v="19"/>
    <n v="1"/>
    <n v="0"/>
    <x v="2"/>
    <x v="1"/>
    <s v="Adani Power Ltd."/>
    <n v="743"/>
    <n v="8.3000000000000007"/>
    <x v="1029"/>
  </r>
  <r>
    <n v="13"/>
    <n v="22"/>
    <n v="0"/>
    <n v="22"/>
    <n v="1"/>
    <n v="0"/>
    <x v="5"/>
    <x v="19"/>
    <s v="Kalpataru Power"/>
    <n v="582"/>
    <n v="7.4"/>
    <x v="1030"/>
  </r>
  <r>
    <n v="20"/>
    <n v="23"/>
    <n v="1"/>
    <n v="18"/>
    <n v="0"/>
    <n v="0"/>
    <x v="7"/>
    <x v="8"/>
    <s v="Reliance Power"/>
    <n v="665"/>
    <n v="8.4"/>
    <x v="191"/>
  </r>
  <r>
    <n v="23"/>
    <n v="23"/>
    <n v="3"/>
    <n v="11"/>
    <n v="1"/>
    <n v="0"/>
    <x v="5"/>
    <x v="6"/>
    <s v="Power Grid Corp"/>
    <n v="533"/>
    <n v="9.1"/>
    <x v="459"/>
  </r>
  <r>
    <n v="23"/>
    <n v="23"/>
    <n v="2"/>
    <n v="4"/>
    <n v="12"/>
    <n v="0"/>
    <x v="4"/>
    <x v="9"/>
    <s v="Torrent Power Ltd."/>
    <n v="677"/>
    <n v="0"/>
    <x v="410"/>
  </r>
  <r>
    <n v="18"/>
    <n v="22"/>
    <n v="2"/>
    <n v="14"/>
    <n v="1"/>
    <n v="0"/>
    <x v="12"/>
    <x v="14"/>
    <s v="L&amp;T Transmission &amp; Distribution"/>
    <n v="0"/>
    <n v="7.6"/>
    <x v="1031"/>
  </r>
  <r>
    <n v="13"/>
    <n v="22"/>
    <n v="0"/>
    <n v="7"/>
    <n v="1"/>
    <n v="0"/>
    <x v="1"/>
    <x v="8"/>
    <s v="CESC"/>
    <n v="425"/>
    <n v="8.4"/>
    <x v="1032"/>
  </r>
  <r>
    <n v="11"/>
    <n v="23"/>
    <n v="0"/>
    <n v="20"/>
    <n v="1"/>
    <n v="0"/>
    <x v="1"/>
    <x v="12"/>
    <s v="L&amp;T Transmission &amp; Distribution"/>
    <n v="452"/>
    <n v="8.6999999999999993"/>
    <x v="1033"/>
  </r>
  <r>
    <n v="11"/>
    <n v="23"/>
    <n v="3"/>
    <n v="6"/>
    <n v="1"/>
    <n v="0"/>
    <x v="2"/>
    <x v="0"/>
    <s v="Power Grid Corp"/>
    <n v="554"/>
    <n v="8.1"/>
    <x v="1034"/>
  </r>
  <r>
    <n v="17"/>
    <n v="23"/>
    <n v="1"/>
    <n v="13"/>
    <n v="1"/>
    <n v="0"/>
    <x v="0"/>
    <x v="29"/>
    <s v="Indowind Energy"/>
    <n v="354"/>
    <n v="9.3000000000000007"/>
    <x v="231"/>
  </r>
  <r>
    <n v="17"/>
    <n v="0"/>
    <n v="1"/>
    <n v="21"/>
    <n v="12"/>
    <n v="0"/>
    <x v="4"/>
    <x v="1"/>
    <s v="Jaiprakash Power"/>
    <n v="722"/>
    <n v="8.3000000000000007"/>
    <x v="1035"/>
  </r>
  <r>
    <n v="6"/>
    <n v="20"/>
    <n v="0"/>
    <n v="9"/>
    <n v="1"/>
    <n v="0"/>
    <x v="5"/>
    <x v="1"/>
    <s v="KEC International"/>
    <n v="311"/>
    <n v="8.3000000000000007"/>
    <x v="1036"/>
  </r>
  <r>
    <n v="0"/>
    <n v="20"/>
    <n v="2"/>
    <n v="12"/>
    <n v="7"/>
    <n v="0"/>
    <x v="6"/>
    <x v="8"/>
    <s v="Ratnagiri Gas and Power Pvt. Ltd. (RGPPL)"/>
    <n v="605"/>
    <n v="8.4"/>
    <x v="1037"/>
  </r>
  <r>
    <n v="14"/>
    <n v="22"/>
    <n v="0"/>
    <n v="7"/>
    <n v="12"/>
    <n v="0"/>
    <x v="5"/>
    <x v="33"/>
    <s v="Bonfiglioli Transmission Pvt. Ltd."/>
    <n v="0"/>
    <n v="0"/>
    <x v="1038"/>
  </r>
  <r>
    <n v="16"/>
    <n v="23"/>
    <n v="2"/>
    <n v="6"/>
    <n v="1"/>
    <n v="0"/>
    <x v="12"/>
    <x v="8"/>
    <s v="Tata Power Company Ltd."/>
    <n v="384"/>
    <n v="8.4"/>
    <x v="24"/>
  </r>
  <r>
    <n v="18"/>
    <n v="22"/>
    <n v="1"/>
    <n v="11"/>
    <n v="1"/>
    <n v="0"/>
    <x v="11"/>
    <x v="8"/>
    <s v="KEC International"/>
    <n v="489"/>
    <n v="8.4"/>
    <x v="1039"/>
  </r>
  <r>
    <n v="21"/>
    <n v="22"/>
    <n v="1"/>
    <n v="3"/>
    <n v="1"/>
    <n v="0"/>
    <x v="2"/>
    <x v="18"/>
    <s v="CESC"/>
    <n v="511"/>
    <n v="8.3000000000000007"/>
    <x v="1040"/>
  </r>
  <r>
    <n v="12"/>
    <n v="23"/>
    <n v="1"/>
    <n v="8"/>
    <n v="1"/>
    <n v="0"/>
    <x v="2"/>
    <x v="3"/>
    <s v="Sunil Hitech Eng"/>
    <n v="368"/>
    <n v="8.9"/>
    <x v="1041"/>
  </r>
  <r>
    <n v="8"/>
    <n v="17"/>
    <n v="3"/>
    <n v="21"/>
    <n v="1"/>
    <n v="0"/>
    <x v="3"/>
    <x v="10"/>
    <s v="adani power ltd."/>
    <n v="386"/>
    <n v="8.5"/>
    <x v="1042"/>
  </r>
  <r>
    <n v="9"/>
    <n v="23"/>
    <n v="0"/>
    <n v="17"/>
    <n v="7"/>
    <n v="0"/>
    <x v="6"/>
    <x v="9"/>
    <s v="Ringfeder Power Transmission India Pvt. Ltd."/>
    <n v="487"/>
    <n v="7.9"/>
    <x v="479"/>
  </r>
  <r>
    <n v="21"/>
    <n v="22"/>
    <n v="0"/>
    <n v="5"/>
    <n v="1"/>
    <n v="0"/>
    <x v="12"/>
    <x v="7"/>
    <s v="Guj Ind Power"/>
    <n v="545"/>
    <n v="7.8"/>
    <x v="1043"/>
  </r>
  <r>
    <n v="23"/>
    <n v="22"/>
    <n v="1"/>
    <n v="11"/>
    <n v="12"/>
    <n v="0"/>
    <x v="0"/>
    <x v="0"/>
    <s v="Reliance Power"/>
    <n v="502"/>
    <n v="8.1"/>
    <x v="1044"/>
  </r>
  <r>
    <n v="11"/>
    <n v="23"/>
    <n v="1"/>
    <n v="0"/>
    <n v="1"/>
    <n v="0"/>
    <x v="8"/>
    <x v="19"/>
    <s v="Ringfeder Power Transmission India Pvt. Ltd."/>
    <n v="384"/>
    <n v="7.4"/>
    <x v="1045"/>
  </r>
  <r>
    <n v="23"/>
    <n v="22"/>
    <n v="2"/>
    <n v="21"/>
    <n v="12"/>
    <n v="0"/>
    <x v="0"/>
    <x v="1"/>
    <s v="Toshiba Transmission &amp; Distribution Systems (India) Pvt. Ltd."/>
    <n v="625"/>
    <n v="8.3000000000000007"/>
    <x v="1046"/>
  </r>
  <r>
    <n v="19"/>
    <n v="22"/>
    <n v="2"/>
    <n v="13"/>
    <n v="1"/>
    <n v="0"/>
    <x v="12"/>
    <x v="14"/>
    <s v="TransRail Lighting"/>
    <n v="506"/>
    <n v="7.6"/>
    <x v="1031"/>
  </r>
  <r>
    <n v="10"/>
    <n v="21"/>
    <n v="2"/>
    <n v="6"/>
    <n v="1"/>
    <n v="0"/>
    <x v="4"/>
    <x v="7"/>
    <s v="TransRail Lighting"/>
    <n v="374"/>
    <n v="7.8"/>
    <x v="1047"/>
  </r>
  <r>
    <n v="14"/>
    <n v="22"/>
    <n v="0"/>
    <n v="0"/>
    <n v="12"/>
    <n v="0"/>
    <x v="0"/>
    <x v="28"/>
    <s v="JSW Energy Ltd."/>
    <n v="468"/>
    <n v="8.8000000000000007"/>
    <x v="1048"/>
  </r>
  <r>
    <n v="16"/>
    <n v="23"/>
    <n v="1"/>
    <n v="16"/>
    <n v="1"/>
    <n v="0"/>
    <x v="11"/>
    <x v="9"/>
    <s v="NTPC Pvt. Ltd."/>
    <n v="663"/>
    <n v="7.9"/>
    <x v="1049"/>
  </r>
  <r>
    <n v="10"/>
    <n v="21"/>
    <n v="3"/>
    <n v="11"/>
    <n v="1"/>
    <n v="0"/>
    <x v="7"/>
    <x v="24"/>
    <s v="Neueon Towers / Sujana Towers Ltd."/>
    <n v="515"/>
    <n v="7.6"/>
    <x v="1050"/>
  </r>
  <r>
    <n v="15"/>
    <n v="23"/>
    <n v="0"/>
    <n v="12"/>
    <n v="1"/>
    <n v="0"/>
    <x v="8"/>
    <x v="28"/>
    <s v="Reliance Power"/>
    <n v="529"/>
    <n v="8.8000000000000007"/>
    <x v="1051"/>
  </r>
  <r>
    <n v="10"/>
    <n v="0"/>
    <n v="2"/>
    <n v="12"/>
    <n v="1"/>
    <n v="0"/>
    <x v="7"/>
    <x v="6"/>
    <s v="Power Grid Corp"/>
    <n v="301"/>
    <n v="9.1"/>
    <x v="1052"/>
  </r>
  <r>
    <n v="21"/>
    <n v="23"/>
    <n v="0"/>
    <n v="12"/>
    <n v="1"/>
    <n v="0"/>
    <x v="3"/>
    <x v="3"/>
    <s v="toshiba transmission &amp; distribution systems (india) pvt. ltd."/>
    <n v="463"/>
    <n v="8.9"/>
    <x v="1053"/>
  </r>
  <r>
    <n v="9"/>
    <n v="20"/>
    <n v="3"/>
    <n v="8"/>
    <n v="1"/>
    <n v="0"/>
    <x v="8"/>
    <x v="5"/>
    <s v="Ringfeder Power Transmission India Pvt. Ltd."/>
    <n v="418"/>
    <n v="7.7"/>
    <x v="1054"/>
  </r>
  <r>
    <n v="7"/>
    <n v="21"/>
    <n v="3"/>
    <n v="11"/>
    <n v="1"/>
    <n v="0"/>
    <x v="12"/>
    <x v="0"/>
    <s v="Bonfiglioli Transmission Pvt. Ltd."/>
    <n v="584"/>
    <n v="8.1"/>
    <x v="1055"/>
  </r>
  <r>
    <n v="7"/>
    <n v="19"/>
    <n v="0"/>
    <n v="21"/>
    <n v="1"/>
    <n v="0"/>
    <x v="0"/>
    <x v="20"/>
    <s v="CESC"/>
    <n v="398"/>
    <n v="9.1"/>
    <x v="1056"/>
  </r>
  <r>
    <n v="12"/>
    <n v="22"/>
    <n v="0"/>
    <n v="21"/>
    <n v="1"/>
    <n v="0"/>
    <x v="5"/>
    <x v="0"/>
    <s v="Kalpataru Power"/>
    <n v="536"/>
    <n v="8.1"/>
    <x v="24"/>
  </r>
  <r>
    <n v="5"/>
    <n v="0"/>
    <n v="0"/>
    <n v="15"/>
    <n v="1"/>
    <n v="0"/>
    <x v="2"/>
    <x v="17"/>
    <s v="Sunil Hitech Eng"/>
    <n v="395"/>
    <n v="8.8000000000000007"/>
    <x v="1057"/>
  </r>
  <r>
    <n v="5"/>
    <n v="23"/>
    <n v="3"/>
    <n v="22"/>
    <n v="1"/>
    <n v="0"/>
    <x v="10"/>
    <x v="19"/>
    <s v="jaiprakash power"/>
    <n v="522"/>
    <n v="7.4"/>
    <x v="1058"/>
  </r>
  <r>
    <n v="14"/>
    <n v="23"/>
    <n v="1"/>
    <n v="13"/>
    <n v="1"/>
    <n v="0"/>
    <x v="1"/>
    <x v="8"/>
    <s v="Adani Power Ltd."/>
    <n v="456"/>
    <n v="8.4"/>
    <x v="1059"/>
  </r>
  <r>
    <n v="10"/>
    <n v="22"/>
    <n v="0"/>
    <n v="17"/>
    <n v="1"/>
    <n v="0"/>
    <x v="2"/>
    <x v="9"/>
    <s v="Ringfeder Power Transmission India Pvt. Ltd."/>
    <n v="465"/>
    <n v="7.9"/>
    <x v="1060"/>
  </r>
  <r>
    <n v="21"/>
    <n v="23"/>
    <n v="3"/>
    <n v="12"/>
    <n v="1"/>
    <n v="0"/>
    <x v="10"/>
    <x v="16"/>
    <s v="NHPC"/>
    <n v="683"/>
    <n v="8.1999999999999993"/>
    <x v="1061"/>
  </r>
  <r>
    <n v="7"/>
    <n v="17"/>
    <n v="2"/>
    <n v="10"/>
    <n v="1"/>
    <n v="0"/>
    <x v="9"/>
    <x v="8"/>
    <s v="unknown"/>
    <n v="370"/>
    <s v="nan "/>
    <x v="204"/>
  </r>
  <r>
    <n v="0"/>
    <n v="22"/>
    <n v="2"/>
    <n v="6"/>
    <n v="12"/>
    <n v="0"/>
    <x v="4"/>
    <x v="11"/>
    <s v="SJVN Ltd."/>
    <n v="696"/>
    <n v="8.4"/>
    <x v="856"/>
  </r>
  <r>
    <n v="0"/>
    <n v="0"/>
    <n v="3"/>
    <n v="11"/>
    <n v="1"/>
    <n v="0"/>
    <x v="5"/>
    <x v="16"/>
    <s v="Kalpataru Power"/>
    <n v="483"/>
    <n v="8.1999999999999993"/>
    <x v="397"/>
  </r>
  <r>
    <n v="11"/>
    <n v="23"/>
    <n v="1"/>
    <n v="21"/>
    <n v="1"/>
    <n v="0"/>
    <x v="7"/>
    <x v="10"/>
    <s v="L&amp;T Transmission &amp; Distribution"/>
    <n v="432"/>
    <n v="8.5"/>
    <x v="1062"/>
  </r>
  <r>
    <n v="7"/>
    <n v="17"/>
    <n v="1"/>
    <n v="21"/>
    <n v="1"/>
    <n v="0"/>
    <x v="0"/>
    <x v="33"/>
    <s v="GE T&amp;D India Limited"/>
    <n v="432"/>
    <n v="8.1"/>
    <x v="1063"/>
  </r>
  <r>
    <n v="0"/>
    <n v="0"/>
    <n v="2"/>
    <n v="8"/>
    <n v="1"/>
    <n v="0"/>
    <x v="0"/>
    <x v="7"/>
    <s v="L&amp;T Transmission &amp; Distribution"/>
    <n v="362"/>
    <n v="7.8"/>
    <x v="1064"/>
  </r>
  <r>
    <n v="10"/>
    <n v="19"/>
    <n v="2"/>
    <n v="3"/>
    <n v="7"/>
    <n v="0"/>
    <x v="2"/>
    <x v="13"/>
    <s v="Bonfiglioli Transmission Pvt. Ltd."/>
    <n v="326"/>
    <n v="9.1999999999999993"/>
    <x v="1065"/>
  </r>
  <r>
    <n v="13"/>
    <n v="22"/>
    <n v="3"/>
    <n v="0"/>
    <n v="1"/>
    <n v="0"/>
    <x v="2"/>
    <x v="6"/>
    <s v="Jyoti Structure"/>
    <n v="490"/>
    <n v="9.1"/>
    <x v="234"/>
  </r>
  <r>
    <n v="22"/>
    <n v="22"/>
    <n v="0"/>
    <n v="15"/>
    <n v="1"/>
    <n v="0"/>
    <x v="1"/>
    <x v="21"/>
    <s v="unknown"/>
    <n v="444"/>
    <n v="7.4"/>
    <x v="1066"/>
  </r>
  <r>
    <n v="10"/>
    <n v="17"/>
    <n v="3"/>
    <n v="20"/>
    <n v="1"/>
    <n v="0"/>
    <x v="1"/>
    <x v="10"/>
    <s v="Sunil Hitech Eng"/>
    <n v="424"/>
    <n v="8.5"/>
    <x v="1067"/>
  </r>
  <r>
    <n v="18"/>
    <n v="23"/>
    <n v="2"/>
    <n v="13"/>
    <n v="12"/>
    <n v="0"/>
    <x v="4"/>
    <x v="16"/>
    <s v="Power Grid Corp"/>
    <n v="704"/>
    <n v="8.1999999999999993"/>
    <x v="1068"/>
  </r>
  <r>
    <n v="10"/>
    <n v="23"/>
    <n v="0"/>
    <n v="18"/>
    <n v="7"/>
    <n v="0"/>
    <x v="3"/>
    <x v="14"/>
    <s v="Sterlite Power Transmission Ltd"/>
    <n v="578"/>
    <n v="7.6"/>
    <x v="1069"/>
  </r>
  <r>
    <n v="11"/>
    <n v="23"/>
    <n v="0"/>
    <n v="22"/>
    <n v="1"/>
    <n v="0"/>
    <x v="11"/>
    <x v="16"/>
    <s v="Bonfiglioli Transmission Pvt. Ltd."/>
    <n v="440"/>
    <n v="8.1999999999999993"/>
    <x v="1070"/>
  </r>
  <r>
    <n v="6"/>
    <n v="22"/>
    <n v="0"/>
    <n v="11"/>
    <n v="1"/>
    <n v="0"/>
    <x v="1"/>
    <x v="7"/>
    <s v="Neueon Towers / Sujana Towers Ltd."/>
    <n v="434"/>
    <n v="7.8"/>
    <x v="328"/>
  </r>
  <r>
    <n v="13"/>
    <n v="23"/>
    <n v="2"/>
    <n v="9"/>
    <n v="1"/>
    <n v="0"/>
    <x v="11"/>
    <x v="3"/>
    <s v="Maha Transco â€“ Maharashtra State Electricity Transmission Co, Ltd."/>
    <n v="395"/>
    <n v="8.9"/>
    <x v="1071"/>
  </r>
  <r>
    <n v="11"/>
    <n v="23"/>
    <n v="3"/>
    <n v="21"/>
    <n v="1"/>
    <n v="0"/>
    <x v="12"/>
    <x v="6"/>
    <s v="Adani Power Ltd."/>
    <n v="573"/>
    <n v="9.1"/>
    <x v="1072"/>
  </r>
  <r>
    <n v="12"/>
    <n v="22"/>
    <n v="0"/>
    <n v="13"/>
    <n v="1"/>
    <n v="0"/>
    <x v="3"/>
    <x v="7"/>
    <s v="GE T&amp;D India Limited"/>
    <n v="0"/>
    <n v="7.8"/>
    <x v="24"/>
  </r>
  <r>
    <n v="14"/>
    <n v="23"/>
    <n v="3"/>
    <n v="16"/>
    <n v="0"/>
    <n v="0"/>
    <x v="0"/>
    <x v="4"/>
    <s v="unknown"/>
    <n v="534"/>
    <n v="8.6999999999999993"/>
    <x v="1073"/>
  </r>
  <r>
    <n v="14"/>
    <n v="23"/>
    <n v="2"/>
    <n v="9"/>
    <n v="12"/>
    <n v="0"/>
    <x v="1"/>
    <x v="13"/>
    <s v="NTPC Pvt. Ltd."/>
    <n v="750"/>
    <n v="9.1999999999999993"/>
    <x v="1074"/>
  </r>
  <r>
    <n v="22"/>
    <n v="22"/>
    <n v="0"/>
    <n v="8"/>
    <n v="1"/>
    <n v="0"/>
    <x v="10"/>
    <x v="6"/>
    <s v="Jyoti Structure"/>
    <n v="494"/>
    <n v="9.1"/>
    <x v="1075"/>
  </r>
  <r>
    <n v="15"/>
    <n v="23"/>
    <n v="2"/>
    <n v="6"/>
    <n v="1"/>
    <n v="0"/>
    <x v="5"/>
    <x v="13"/>
    <s v="Optibelt Power Transmission India Private Limited"/>
    <n v="506"/>
    <n v="9.1999999999999993"/>
    <x v="1051"/>
  </r>
  <r>
    <n v="23"/>
    <n v="23"/>
    <n v="1"/>
    <n v="20"/>
    <n v="1"/>
    <n v="0"/>
    <x v="0"/>
    <x v="13"/>
    <s v="Jyoti Structure"/>
    <n v="590"/>
    <n v="9.1999999999999993"/>
    <x v="1076"/>
  </r>
  <r>
    <n v="6"/>
    <n v="21"/>
    <n v="2"/>
    <n v="3"/>
    <n v="7"/>
    <n v="0"/>
    <x v="5"/>
    <x v="9"/>
    <s v="Adani Power Ltd."/>
    <n v="398"/>
    <n v="7.9"/>
    <x v="1077"/>
  </r>
  <r>
    <n v="22"/>
    <n v="23"/>
    <n v="3"/>
    <n v="8"/>
    <n v="1"/>
    <n v="0"/>
    <x v="7"/>
    <x v="7"/>
    <s v="Jyoti Structure"/>
    <n v="433"/>
    <n v="7.8"/>
    <x v="1078"/>
  </r>
  <r>
    <n v="22"/>
    <n v="23"/>
    <n v="2"/>
    <n v="15"/>
    <n v="1"/>
    <n v="0"/>
    <x v="4"/>
    <x v="9"/>
    <s v="Reliance Energy"/>
    <n v="595"/>
    <n v="7.9"/>
    <x v="1079"/>
  </r>
  <r>
    <n v="15"/>
    <n v="22"/>
    <n v="3"/>
    <n v="0"/>
    <n v="1"/>
    <n v="0"/>
    <x v="2"/>
    <x v="5"/>
    <s v="Neueon Towers / Sujana Towers Ltd."/>
    <n v="553"/>
    <n v="7.7"/>
    <x v="269"/>
  </r>
  <r>
    <n v="13"/>
    <n v="0"/>
    <n v="0"/>
    <n v="4"/>
    <n v="1"/>
    <n v="0"/>
    <x v="1"/>
    <x v="14"/>
    <s v="unknown"/>
    <n v="527"/>
    <n v="7.6"/>
    <x v="1080"/>
  </r>
  <r>
    <n v="23"/>
    <n v="22"/>
    <n v="3"/>
    <n v="14"/>
    <n v="1"/>
    <n v="0"/>
    <x v="2"/>
    <x v="28"/>
    <s v="Toshiba Transmission &amp; Distribution Systems (India) Pvt. Ltd."/>
    <n v="567"/>
    <n v="8.8000000000000007"/>
    <x v="895"/>
  </r>
  <r>
    <n v="14"/>
    <n v="23"/>
    <n v="2"/>
    <n v="10"/>
    <n v="1"/>
    <n v="0"/>
    <x v="1"/>
    <x v="17"/>
    <s v="Orient Green"/>
    <n v="432"/>
    <n v="8.8000000000000007"/>
    <x v="1081"/>
  </r>
  <r>
    <n v="8"/>
    <n v="23"/>
    <n v="2"/>
    <n v="5"/>
    <n v="1"/>
    <n v="0"/>
    <x v="6"/>
    <x v="6"/>
    <s v="Torrent Power Ltd."/>
    <n v="479"/>
    <n v="9.1"/>
    <x v="1082"/>
  </r>
  <r>
    <n v="13"/>
    <n v="23"/>
    <n v="2"/>
    <n v="8"/>
    <n v="1"/>
    <n v="0"/>
    <x v="12"/>
    <x v="4"/>
    <s v="Neueon Towers / Sujana Towers Ltd."/>
    <n v="633"/>
    <n v="0"/>
    <x v="1083"/>
  </r>
  <r>
    <n v="8"/>
    <n v="0"/>
    <n v="0"/>
    <n v="13"/>
    <n v="1"/>
    <n v="0"/>
    <x v="6"/>
    <x v="19"/>
    <s v="Tata Power Company Ltd."/>
    <n v="495"/>
    <n v="7.4"/>
    <x v="1084"/>
  </r>
  <r>
    <n v="21"/>
    <n v="23"/>
    <n v="1"/>
    <n v="11"/>
    <n v="1"/>
    <n v="0"/>
    <x v="0"/>
    <x v="20"/>
    <s v="Ratnagiri Gas and Power Pvt. Ltd. (RGPPL)"/>
    <n v="619"/>
    <n v="9.1"/>
    <x v="24"/>
  </r>
  <r>
    <n v="23"/>
    <n v="23"/>
    <n v="3"/>
    <n v="5"/>
    <n v="1"/>
    <n v="0"/>
    <x v="1"/>
    <x v="17"/>
    <s v="nan"/>
    <n v="606"/>
    <n v="8.8000000000000007"/>
    <x v="1085"/>
  </r>
  <r>
    <n v="16"/>
    <n v="23"/>
    <n v="1"/>
    <n v="12"/>
    <n v="1"/>
    <n v="0"/>
    <x v="6"/>
    <x v="15"/>
    <s v="CESC"/>
    <n v="0"/>
    <n v="9.3000000000000007"/>
    <x v="1086"/>
  </r>
  <r>
    <n v="11"/>
    <n v="22"/>
    <n v="0"/>
    <n v="9"/>
    <n v="1"/>
    <n v="0"/>
    <x v="9"/>
    <x v="0"/>
    <s v="Kalpataru Power"/>
    <n v="296"/>
    <n v="8.1"/>
    <x v="1087"/>
  </r>
  <r>
    <n v="5"/>
    <n v="21"/>
    <n v="2"/>
    <n v="15"/>
    <n v="1"/>
    <n v="0"/>
    <x v="9"/>
    <x v="14"/>
    <s v="CESC"/>
    <n v="363"/>
    <n v="7.6"/>
    <x v="1088"/>
  </r>
  <r>
    <n v="11"/>
    <n v="22"/>
    <n v="0"/>
    <n v="14"/>
    <n v="1"/>
    <n v="0"/>
    <x v="2"/>
    <x v="1"/>
    <s v="toshiba transmission &amp; distribution systems (india) pvt. ltd."/>
    <n v="549"/>
    <n v="8.3000000000000007"/>
    <x v="1089"/>
  </r>
  <r>
    <n v="20"/>
    <n v="23"/>
    <n v="1"/>
    <n v="0"/>
    <n v="1"/>
    <n v="0"/>
    <x v="8"/>
    <x v="32"/>
    <s v="ringfeder power transmission india pvt. ltd."/>
    <n v="507"/>
    <n v="9.1999999999999993"/>
    <x v="955"/>
  </r>
  <r>
    <n v="21"/>
    <n v="23"/>
    <n v="3"/>
    <n v="14"/>
    <n v="1"/>
    <n v="0"/>
    <x v="12"/>
    <x v="1"/>
    <s v="Sterlite Power Transmission Ltd"/>
    <n v="558"/>
    <n v="8.3000000000000007"/>
    <x v="1090"/>
  </r>
  <r>
    <n v="21"/>
    <n v="22"/>
    <n v="0"/>
    <n v="8"/>
    <n v="12"/>
    <n v="0"/>
    <x v="1"/>
    <x v="7"/>
    <s v="Jaiprakash Power"/>
    <n v="596"/>
    <n v="7.8"/>
    <x v="841"/>
  </r>
  <r>
    <n v="16"/>
    <n v="23"/>
    <n v="0"/>
    <n v="13"/>
    <n v="12"/>
    <n v="0"/>
    <x v="12"/>
    <x v="7"/>
    <s v="Ringfeder Power Transmission India Pvt. Ltd."/>
    <n v="678"/>
    <n v="7.8"/>
    <x v="1091"/>
  </r>
  <r>
    <n v="13"/>
    <n v="23"/>
    <n v="3"/>
    <n v="4"/>
    <n v="1"/>
    <n v="0"/>
    <x v="5"/>
    <x v="15"/>
    <s v="JSW Energy Ltd."/>
    <n v="451"/>
    <n v="9.3000000000000007"/>
    <x v="1092"/>
  </r>
  <r>
    <n v="15"/>
    <n v="0"/>
    <n v="2"/>
    <n v="20"/>
    <n v="12"/>
    <n v="0"/>
    <x v="6"/>
    <x v="14"/>
    <s v="Guj Ind Power"/>
    <n v="656"/>
    <n v="7.6"/>
    <x v="1093"/>
  </r>
  <r>
    <n v="14"/>
    <n v="23"/>
    <n v="0"/>
    <n v="15"/>
    <n v="1"/>
    <n v="0"/>
    <x v="4"/>
    <x v="7"/>
    <s v="Toshiba Transmission &amp; Distribution Systems (India) Pvt. Ltd."/>
    <s v="nan "/>
    <n v="7.8"/>
    <x v="1094"/>
  </r>
  <r>
    <n v="0"/>
    <n v="19"/>
    <n v="0"/>
    <n v="12"/>
    <n v="1"/>
    <n v="0"/>
    <x v="6"/>
    <x v="4"/>
    <s v="Sterlite Power Transmission Ltd"/>
    <n v="507"/>
    <n v="8.6999999999999993"/>
    <x v="1095"/>
  </r>
  <r>
    <n v="23"/>
    <n v="22"/>
    <n v="2"/>
    <n v="8"/>
    <n v="1"/>
    <n v="0"/>
    <x v="9"/>
    <x v="1"/>
    <s v="Reliance Power"/>
    <n v="557"/>
    <n v="8.3000000000000007"/>
    <x v="1096"/>
  </r>
  <r>
    <n v="23"/>
    <n v="23"/>
    <n v="1"/>
    <n v="18"/>
    <n v="1"/>
    <n v="0"/>
    <x v="3"/>
    <x v="1"/>
    <s v="JSW Energy Ltd."/>
    <n v="522"/>
    <n v="8.3000000000000007"/>
    <x v="1097"/>
  </r>
  <r>
    <n v="7"/>
    <n v="20"/>
    <n v="1"/>
    <n v="21"/>
    <n v="1"/>
    <n v="0"/>
    <x v="12"/>
    <x v="25"/>
    <s v="Jaiprakash Power"/>
    <n v="449"/>
    <n v="8.1999999999999993"/>
    <x v="1098"/>
  </r>
  <r>
    <n v="19"/>
    <n v="22"/>
    <n v="0"/>
    <n v="8"/>
    <n v="1"/>
    <n v="0"/>
    <x v="6"/>
    <x v="1"/>
    <s v="Orient Green"/>
    <n v="387"/>
    <n v="8.3000000000000007"/>
    <x v="1099"/>
  </r>
  <r>
    <n v="17"/>
    <n v="23"/>
    <n v="3"/>
    <n v="12"/>
    <n v="0"/>
    <n v="0"/>
    <x v="10"/>
    <x v="4"/>
    <s v="Kalpataru Power"/>
    <n v="572"/>
    <n v="8.6999999999999993"/>
    <x v="1100"/>
  </r>
  <r>
    <n v="13"/>
    <n v="22"/>
    <n v="1"/>
    <n v="12"/>
    <n v="1"/>
    <n v="0"/>
    <x v="12"/>
    <x v="18"/>
    <s v="KEC International"/>
    <n v="521"/>
    <n v="8.3000000000000007"/>
    <x v="699"/>
  </r>
  <r>
    <n v="5"/>
    <n v="0"/>
    <n v="0"/>
    <n v="13"/>
    <n v="1"/>
    <n v="0"/>
    <x v="3"/>
    <x v="1"/>
    <s v="KEC International"/>
    <n v="595"/>
    <n v="8.3000000000000007"/>
    <x v="1101"/>
  </r>
  <r>
    <n v="13"/>
    <n v="22"/>
    <n v="1"/>
    <n v="11"/>
    <n v="1"/>
    <n v="0"/>
    <x v="2"/>
    <x v="17"/>
    <s v="Ringfeder Power Transmission India Pvt. Ltd."/>
    <n v="544"/>
    <n v="8.8000000000000007"/>
    <x v="777"/>
  </r>
  <r>
    <n v="20"/>
    <n v="22"/>
    <n v="0"/>
    <n v="21"/>
    <n v="12"/>
    <n v="0"/>
    <x v="1"/>
    <x v="1"/>
    <s v="Sunil Hitech Eng"/>
    <n v="703"/>
    <n v="8.3000000000000007"/>
    <x v="1102"/>
  </r>
  <r>
    <n v="8"/>
    <n v="17"/>
    <n v="3"/>
    <n v="13"/>
    <n v="1"/>
    <n v="0"/>
    <x v="6"/>
    <x v="5"/>
    <s v="Neueon Towers / Sujana Towers Ltd."/>
    <n v="428"/>
    <n v="7.7"/>
    <x v="1103"/>
  </r>
  <r>
    <n v="12"/>
    <n v="23"/>
    <n v="1"/>
    <n v="7"/>
    <n v="1"/>
    <n v="0"/>
    <x v="9"/>
    <x v="20"/>
    <s v="unknown"/>
    <n v="534"/>
    <n v="9.3000000000000007"/>
    <x v="686"/>
  </r>
  <r>
    <n v="23"/>
    <n v="22"/>
    <n v="0"/>
    <n v="9"/>
    <n v="1"/>
    <n v="0"/>
    <x v="2"/>
    <x v="16"/>
    <s v="SJVN Ltd."/>
    <n v="458"/>
    <n v="8.1999999999999993"/>
    <x v="1104"/>
  </r>
  <r>
    <n v="15"/>
    <n v="23"/>
    <n v="1"/>
    <n v="12"/>
    <n v="1"/>
    <n v="0"/>
    <x v="1"/>
    <x v="1"/>
    <s v="Sterlite Power Transmission Ltd"/>
    <n v="606"/>
    <n v="8.3000000000000007"/>
    <x v="1105"/>
  </r>
  <r>
    <n v="6"/>
    <n v="22"/>
    <n v="0"/>
    <n v="9"/>
    <n v="0"/>
    <n v="0"/>
    <x v="9"/>
    <x v="1"/>
    <s v="Jaiprakash Power"/>
    <n v="437"/>
    <n v="8.3000000000000007"/>
    <x v="1106"/>
  </r>
  <r>
    <n v="9"/>
    <n v="23"/>
    <n v="3"/>
    <n v="14"/>
    <n v="1"/>
    <n v="0"/>
    <x v="7"/>
    <x v="5"/>
    <s v="SJVN Ltd."/>
    <n v="616"/>
    <n v="7.7"/>
    <x v="1107"/>
  </r>
  <r>
    <n v="8"/>
    <n v="19"/>
    <n v="2"/>
    <n v="20"/>
    <n v="1"/>
    <n v="0"/>
    <x v="7"/>
    <x v="16"/>
    <s v="Sunil Hitech Eng"/>
    <n v="385"/>
    <n v="8.1999999999999993"/>
    <x v="1108"/>
  </r>
  <r>
    <n v="8"/>
    <n v="19"/>
    <n v="2"/>
    <n v="5"/>
    <n v="7"/>
    <n v="0"/>
    <x v="3"/>
    <x v="4"/>
    <s v="SJVN Ltd."/>
    <n v="326"/>
    <n v="8.6999999999999993"/>
    <x v="1109"/>
  </r>
  <r>
    <n v="14"/>
    <n v="22"/>
    <n v="2"/>
    <n v="9"/>
    <n v="1"/>
    <n v="0"/>
    <x v="0"/>
    <x v="10"/>
    <s v="toshiba transmission &amp; distribution systems (india) pvt. ltd."/>
    <n v="524"/>
    <n v="8.5"/>
    <x v="1110"/>
  </r>
  <r>
    <n v="16"/>
    <n v="0"/>
    <n v="1"/>
    <n v="21"/>
    <n v="0"/>
    <n v="0"/>
    <x v="9"/>
    <x v="3"/>
    <s v="kalpataru power"/>
    <n v="816"/>
    <n v="8.9"/>
    <x v="1111"/>
  </r>
  <r>
    <n v="23"/>
    <n v="23"/>
    <n v="1"/>
    <n v="15"/>
    <n v="1"/>
    <n v="0"/>
    <x v="2"/>
    <x v="15"/>
    <s v="tata power company ltd."/>
    <n v="591"/>
    <n v="9.3000000000000007"/>
    <x v="1112"/>
  </r>
  <r>
    <n v="18"/>
    <n v="22"/>
    <n v="2"/>
    <n v="15"/>
    <n v="1"/>
    <n v="0"/>
    <x v="7"/>
    <x v="9"/>
    <s v="unknown"/>
    <n v="484"/>
    <n v="7.9"/>
    <x v="1113"/>
  </r>
  <r>
    <n v="23"/>
    <n v="22"/>
    <n v="0"/>
    <n v="8"/>
    <n v="1"/>
    <n v="0"/>
    <x v="3"/>
    <x v="17"/>
    <s v="L&amp;T Transmission &amp; Distribution"/>
    <n v="0"/>
    <n v="8.8000000000000007"/>
    <x v="1114"/>
  </r>
  <r>
    <n v="6"/>
    <n v="19"/>
    <n v="2"/>
    <n v="9"/>
    <n v="7"/>
    <n v="0"/>
    <x v="5"/>
    <x v="5"/>
    <s v="Sterlite Power Transmission Ltd"/>
    <n v="453"/>
    <n v="0"/>
    <x v="939"/>
  </r>
  <r>
    <n v="17"/>
    <n v="22"/>
    <n v="1"/>
    <n v="7"/>
    <n v="1"/>
    <n v="0"/>
    <x v="9"/>
    <x v="5"/>
    <s v="Guj Ind Power"/>
    <n v="403"/>
    <n v="7.7"/>
    <x v="180"/>
  </r>
  <r>
    <n v="13"/>
    <n v="22"/>
    <n v="2"/>
    <n v="14"/>
    <n v="1"/>
    <n v="0"/>
    <x v="0"/>
    <x v="16"/>
    <s v="JSW Energy Ltd."/>
    <n v="549"/>
    <n v="8.1999999999999993"/>
    <x v="1115"/>
  </r>
  <r>
    <n v="20"/>
    <n v="23"/>
    <n v="2"/>
    <n v="20"/>
    <n v="1"/>
    <n v="0"/>
    <x v="9"/>
    <x v="0"/>
    <s v="NTPC Pvt. Ltd."/>
    <n v="537"/>
    <n v="8.1"/>
    <x v="1116"/>
  </r>
  <r>
    <n v="21"/>
    <n v="23"/>
    <n v="1"/>
    <n v="7"/>
    <n v="1"/>
    <n v="0"/>
    <x v="9"/>
    <x v="3"/>
    <s v="Optibelt Power Transmission India Private Limited"/>
    <n v="451"/>
    <n v="8.9"/>
    <x v="1117"/>
  </r>
  <r>
    <n v="9"/>
    <n v="20"/>
    <n v="1"/>
    <n v="18"/>
    <n v="1"/>
    <n v="0"/>
    <x v="4"/>
    <x v="19"/>
    <s v="SJVN Ltd."/>
    <n v="452"/>
    <n v="7.4"/>
    <x v="24"/>
  </r>
  <r>
    <n v="8"/>
    <n v="20"/>
    <n v="1"/>
    <n v="11"/>
    <n v="1"/>
    <n v="0"/>
    <x v="1"/>
    <x v="9"/>
    <s v="bonfiglioli transmission pvt. ltd."/>
    <n v="414"/>
    <n v="7.9"/>
    <x v="1118"/>
  </r>
  <r>
    <n v="8"/>
    <n v="17"/>
    <n v="2"/>
    <n v="5"/>
    <n v="1"/>
    <n v="0"/>
    <x v="8"/>
    <x v="17"/>
    <s v="JSW Energy Ltd."/>
    <n v="218"/>
    <n v="8.8000000000000007"/>
    <x v="1119"/>
  </r>
  <r>
    <n v="9"/>
    <n v="19"/>
    <n v="0"/>
    <n v="19"/>
    <n v="1"/>
    <n v="0"/>
    <x v="8"/>
    <x v="17"/>
    <s v="Power Grid Corp"/>
    <n v="323"/>
    <n v="8.8000000000000007"/>
    <x v="1120"/>
  </r>
  <r>
    <n v="18"/>
    <n v="23"/>
    <n v="2"/>
    <n v="21"/>
    <n v="12"/>
    <n v="0"/>
    <x v="2"/>
    <x v="13"/>
    <s v="Ratnagiri Gas and Power Pvt. Ltd. (RGPPL)"/>
    <n v="0"/>
    <n v="9.1999999999999993"/>
    <x v="1121"/>
  </r>
  <r>
    <n v="12"/>
    <n v="23"/>
    <n v="3"/>
    <n v="9"/>
    <n v="1"/>
    <n v="0"/>
    <x v="6"/>
    <x v="4"/>
    <s v="kec international"/>
    <n v="389"/>
    <n v="8.6999999999999993"/>
    <x v="1122"/>
  </r>
  <r>
    <n v="10"/>
    <n v="18"/>
    <n v="3"/>
    <n v="20"/>
    <n v="1"/>
    <n v="0"/>
    <x v="8"/>
    <x v="14"/>
    <s v="Sunil Hitech Eng"/>
    <n v="653"/>
    <n v="7.6"/>
    <x v="1123"/>
  </r>
  <r>
    <n v="19"/>
    <n v="22"/>
    <n v="1"/>
    <n v="8"/>
    <n v="1"/>
    <n v="0"/>
    <x v="1"/>
    <x v="19"/>
    <s v="neueon towers / sujana towers ltd."/>
    <n v="364"/>
    <n v="7.4"/>
    <x v="1124"/>
  </r>
  <r>
    <n v="14"/>
    <n v="23"/>
    <n v="1"/>
    <n v="17"/>
    <n v="12"/>
    <n v="0"/>
    <x v="1"/>
    <x v="10"/>
    <s v="Tata Power Company Ltd."/>
    <n v="553"/>
    <n v="8.5"/>
    <x v="1079"/>
  </r>
  <r>
    <n v="14"/>
    <n v="22"/>
    <n v="1"/>
    <n v="4"/>
    <n v="0"/>
    <n v="0"/>
    <x v="1"/>
    <x v="8"/>
    <s v="Neueon Towers / Sujana Towers Ltd."/>
    <n v="505"/>
    <n v="8.4"/>
    <x v="741"/>
  </r>
  <r>
    <n v="21"/>
    <n v="22"/>
    <n v="3"/>
    <n v="21"/>
    <n v="1"/>
    <n v="0"/>
    <x v="9"/>
    <x v="17"/>
    <s v="KEC International"/>
    <n v="689"/>
    <n v="8.8000000000000007"/>
    <x v="1125"/>
  </r>
  <r>
    <n v="23"/>
    <n v="23"/>
    <n v="2"/>
    <n v="0"/>
    <n v="1"/>
    <n v="0"/>
    <x v="7"/>
    <x v="6"/>
    <s v="Reliance Energy"/>
    <n v="555"/>
    <n v="9.1"/>
    <x v="1126"/>
  </r>
  <r>
    <n v="16"/>
    <n v="23"/>
    <n v="2"/>
    <n v="21"/>
    <n v="1"/>
    <n v="0"/>
    <x v="1"/>
    <x v="15"/>
    <s v="Ratnagiri Gas and Power Pvt. Ltd. (RGPPL)"/>
    <n v="517"/>
    <n v="9.3000000000000007"/>
    <x v="1127"/>
  </r>
  <r>
    <n v="10"/>
    <n v="19"/>
    <n v="0"/>
    <n v="10"/>
    <n v="1"/>
    <n v="0"/>
    <x v="10"/>
    <x v="20"/>
    <s v="GE T&amp;D India Limited"/>
    <n v="503"/>
    <n v="0"/>
    <x v="1128"/>
  </r>
  <r>
    <n v="5"/>
    <n v="0"/>
    <n v="2"/>
    <n v="21"/>
    <n v="1"/>
    <n v="0"/>
    <x v="4"/>
    <x v="15"/>
    <s v="Sunil Hitech Eng"/>
    <n v="455"/>
    <n v="9.3000000000000007"/>
    <x v="1129"/>
  </r>
  <r>
    <n v="15"/>
    <n v="22"/>
    <n v="0"/>
    <n v="0"/>
    <n v="1"/>
    <n v="0"/>
    <x v="12"/>
    <x v="16"/>
    <s v="GE T&amp;D India Limited"/>
    <n v="494"/>
    <n v="8.1999999999999993"/>
    <x v="24"/>
  </r>
  <r>
    <n v="0"/>
    <n v="22"/>
    <n v="1"/>
    <n v="10"/>
    <n v="12"/>
    <n v="0"/>
    <x v="11"/>
    <x v="9"/>
    <s v="Ringfeder Power Transmission India Pvt. Ltd."/>
    <n v="562"/>
    <n v="7.9"/>
    <x v="24"/>
  </r>
  <r>
    <n v="14"/>
    <n v="23"/>
    <n v="2"/>
    <n v="4"/>
    <n v="1"/>
    <n v="0"/>
    <x v="9"/>
    <x v="8"/>
    <s v="L&amp;T Transmission &amp; Distribution"/>
    <n v="565"/>
    <n v="8.4"/>
    <x v="1130"/>
  </r>
  <r>
    <n v="7"/>
    <n v="20"/>
    <n v="3"/>
    <n v="3"/>
    <n v="1"/>
    <n v="0"/>
    <x v="10"/>
    <x v="5"/>
    <s v="unknown"/>
    <n v="404"/>
    <n v="7.7"/>
    <x v="487"/>
  </r>
  <r>
    <n v="7"/>
    <n v="21"/>
    <n v="0"/>
    <n v="6"/>
    <n v="1"/>
    <n v="0"/>
    <x v="9"/>
    <x v="6"/>
    <s v="adani power ltd."/>
    <n v="438"/>
    <n v="9.1"/>
    <x v="27"/>
  </r>
  <r>
    <n v="7"/>
    <n v="19"/>
    <n v="3"/>
    <n v="18"/>
    <n v="1"/>
    <n v="0"/>
    <x v="5"/>
    <x v="33"/>
    <s v="Ringfeder Power Transmission India Pvt. Ltd."/>
    <n v="407"/>
    <n v="8.1"/>
    <x v="1131"/>
  </r>
  <r>
    <n v="20"/>
    <n v="23"/>
    <n v="2"/>
    <n v="14"/>
    <n v="12"/>
    <n v="0"/>
    <x v="0"/>
    <x v="16"/>
    <s v="L&amp;T Transmission &amp; Distribution"/>
    <n v="631"/>
    <n v="8.1999999999999993"/>
    <x v="1132"/>
  </r>
  <r>
    <n v="7"/>
    <n v="23"/>
    <n v="2"/>
    <n v="8"/>
    <n v="7"/>
    <n v="0"/>
    <x v="5"/>
    <x v="13"/>
    <s v="Jaiprakash Power"/>
    <n v="0"/>
    <n v="9.1999999999999993"/>
    <x v="1133"/>
  </r>
  <r>
    <n v="20"/>
    <n v="23"/>
    <n v="1"/>
    <n v="5"/>
    <n v="12"/>
    <n v="0"/>
    <x v="3"/>
    <x v="21"/>
    <s v="TransRail Lighting"/>
    <n v="465"/>
    <n v="7.4"/>
    <x v="687"/>
  </r>
  <r>
    <n v="18"/>
    <n v="22"/>
    <n v="1"/>
    <n v="22"/>
    <n v="1"/>
    <n v="0"/>
    <x v="1"/>
    <x v="14"/>
    <s v="Neueon Towers / Sujana Towers Ltd."/>
    <n v="490"/>
    <n v="7.6"/>
    <x v="1134"/>
  </r>
  <r>
    <n v="9"/>
    <n v="21"/>
    <n v="1"/>
    <n v="11"/>
    <n v="1"/>
    <n v="0"/>
    <x v="10"/>
    <x v="7"/>
    <s v="NLC India"/>
    <n v="537"/>
    <n v="7.8"/>
    <x v="1135"/>
  </r>
  <r>
    <n v="17"/>
    <n v="23"/>
    <n v="0"/>
    <n v="22"/>
    <n v="1"/>
    <n v="0"/>
    <x v="11"/>
    <x v="16"/>
    <s v="GE T&amp;D India Limited"/>
    <n v="636"/>
    <n v="8.1999999999999993"/>
    <x v="1136"/>
  </r>
  <r>
    <n v="10"/>
    <n v="22"/>
    <n v="1"/>
    <n v="0"/>
    <n v="7"/>
    <n v="0"/>
    <x v="11"/>
    <x v="3"/>
    <s v="Ringfeder Power Transmission India Pvt. Ltd."/>
    <n v="589"/>
    <n v="8.9"/>
    <x v="24"/>
  </r>
  <r>
    <n v="7"/>
    <n v="18"/>
    <n v="2"/>
    <n v="21"/>
    <n v="1"/>
    <n v="0"/>
    <x v="2"/>
    <x v="3"/>
    <s v="Adani Power Ltd."/>
    <n v="350"/>
    <n v="0"/>
    <x v="1137"/>
  </r>
  <r>
    <n v="15"/>
    <n v="23"/>
    <n v="0"/>
    <n v="0"/>
    <n v="1"/>
    <n v="0"/>
    <x v="7"/>
    <x v="1"/>
    <s v="Tata Power Company Ltd."/>
    <n v="612"/>
    <n v="8.3000000000000007"/>
    <x v="1138"/>
  </r>
  <r>
    <n v="21"/>
    <n v="23"/>
    <n v="1"/>
    <n v="4"/>
    <n v="1"/>
    <n v="0"/>
    <x v="9"/>
    <x v="14"/>
    <s v="Sunil Hitech Eng"/>
    <n v="508"/>
    <n v="7.6"/>
    <x v="24"/>
  </r>
  <r>
    <n v="23"/>
    <n v="22"/>
    <n v="2"/>
    <n v="0"/>
    <n v="1"/>
    <n v="0"/>
    <x v="5"/>
    <x v="9"/>
    <s v="Neueon Towers / Sujana Towers Ltd."/>
    <n v="524"/>
    <n v="7.9"/>
    <x v="1139"/>
  </r>
  <r>
    <n v="21"/>
    <n v="22"/>
    <n v="0"/>
    <n v="19"/>
    <n v="1"/>
    <n v="0"/>
    <x v="9"/>
    <x v="0"/>
    <s v="Reliance Energy"/>
    <n v="509"/>
    <n v="8.1"/>
    <x v="1140"/>
  </r>
  <r>
    <n v="10"/>
    <n v="17"/>
    <n v="2"/>
    <n v="16"/>
    <n v="1"/>
    <n v="0"/>
    <x v="5"/>
    <x v="0"/>
    <s v="L&amp;T Transmission &amp; Distribution"/>
    <n v="479"/>
    <n v="8.1"/>
    <x v="1141"/>
  </r>
  <r>
    <n v="11"/>
    <n v="23"/>
    <n v="1"/>
    <n v="7"/>
    <n v="0"/>
    <n v="0"/>
    <x v="12"/>
    <x v="7"/>
    <s v="Orient Green"/>
    <n v="543"/>
    <n v="7.8"/>
    <x v="1142"/>
  </r>
  <r>
    <n v="22"/>
    <n v="23"/>
    <n v="3"/>
    <n v="8"/>
    <n v="12"/>
    <n v="0"/>
    <x v="4"/>
    <x v="10"/>
    <s v="Jyoti Structure"/>
    <n v="764"/>
    <n v="8.5"/>
    <x v="1143"/>
  </r>
  <r>
    <n v="21"/>
    <n v="22"/>
    <n v="1"/>
    <n v="10"/>
    <n v="1"/>
    <n v="0"/>
    <x v="0"/>
    <x v="15"/>
    <s v="unknown"/>
    <n v="331"/>
    <n v="9.3000000000000007"/>
    <x v="1144"/>
  </r>
  <r>
    <n v="7"/>
    <n v="20"/>
    <n v="2"/>
    <n v="13"/>
    <n v="1"/>
    <n v="0"/>
    <x v="8"/>
    <x v="0"/>
    <s v="Sterlite Power Transmission Ltd"/>
    <n v="528"/>
    <n v="8.1"/>
    <x v="504"/>
  </r>
  <r>
    <n v="9"/>
    <n v="19"/>
    <n v="2"/>
    <n v="3"/>
    <n v="1"/>
    <n v="0"/>
    <x v="10"/>
    <x v="10"/>
    <s v="cesc"/>
    <n v="476"/>
    <n v="8.5"/>
    <x v="740"/>
  </r>
  <r>
    <n v="5"/>
    <n v="17"/>
    <n v="1"/>
    <n v="4"/>
    <n v="7"/>
    <n v="0"/>
    <x v="10"/>
    <x v="3"/>
    <s v="GE T&amp;D India Limited"/>
    <n v="211"/>
    <n v="8.9"/>
    <x v="1145"/>
  </r>
  <r>
    <n v="21"/>
    <n v="23"/>
    <n v="1"/>
    <n v="3"/>
    <n v="12"/>
    <n v="0"/>
    <x v="0"/>
    <x v="14"/>
    <s v="Reliance Power"/>
    <n v="495"/>
    <n v="7.6"/>
    <x v="1146"/>
  </r>
  <r>
    <n v="17"/>
    <n v="22"/>
    <n v="0"/>
    <n v="19"/>
    <n v="1"/>
    <n v="0"/>
    <x v="4"/>
    <x v="3"/>
    <s v="Jyoti Structure"/>
    <n v="652"/>
    <n v="8.9"/>
    <x v="1147"/>
  </r>
  <r>
    <n v="7"/>
    <n v="17"/>
    <n v="2"/>
    <n v="10"/>
    <n v="1"/>
    <n v="0"/>
    <x v="12"/>
    <x v="19"/>
    <s v="Kalpataru Power"/>
    <n v="407"/>
    <n v="7.4"/>
    <x v="1148"/>
  </r>
  <r>
    <n v="10"/>
    <n v="18"/>
    <n v="0"/>
    <n v="5"/>
    <n v="1"/>
    <n v="0"/>
    <x v="2"/>
    <x v="9"/>
    <s v="Bonfiglioli Transmission Pvt. Ltd."/>
    <n v="227"/>
    <n v="7.9"/>
    <x v="1149"/>
  </r>
  <r>
    <n v="10"/>
    <n v="18"/>
    <n v="3"/>
    <n v="6"/>
    <n v="1"/>
    <n v="0"/>
    <x v="5"/>
    <x v="6"/>
    <s v="JSW Energy Ltd."/>
    <n v="358"/>
    <n v="9.1"/>
    <x v="24"/>
  </r>
  <r>
    <n v="7"/>
    <n v="21"/>
    <n v="2"/>
    <n v="17"/>
    <n v="1"/>
    <n v="0"/>
    <x v="2"/>
    <x v="11"/>
    <s v="unitech power transmission ltd."/>
    <n v="393"/>
    <n v="8.4"/>
    <x v="1150"/>
  </r>
  <r>
    <n v="21"/>
    <n v="22"/>
    <n v="0"/>
    <n v="0"/>
    <n v="12"/>
    <n v="0"/>
    <x v="4"/>
    <x v="20"/>
    <s v="Guj Ind Power"/>
    <n v="605"/>
    <n v="7.7"/>
    <x v="1151"/>
  </r>
  <r>
    <n v="8"/>
    <n v="20"/>
    <n v="3"/>
    <n v="5"/>
    <n v="1"/>
    <n v="0"/>
    <x v="6"/>
    <x v="1"/>
    <s v="Maha Transco â€“ Maharashtra State Electricity Transmission Co, Ltd."/>
    <n v="487"/>
    <n v="0"/>
    <x v="1152"/>
  </r>
  <r>
    <n v="18"/>
    <n v="23"/>
    <n v="0"/>
    <n v="7"/>
    <n v="1"/>
    <n v="0"/>
    <x v="6"/>
    <x v="16"/>
    <s v="NHPC"/>
    <n v="558"/>
    <n v="8.1999999999999993"/>
    <x v="1153"/>
  </r>
  <r>
    <n v="16"/>
    <n v="22"/>
    <n v="2"/>
    <n v="11"/>
    <n v="1"/>
    <n v="0"/>
    <x v="4"/>
    <x v="13"/>
    <s v="unknown"/>
    <n v="625"/>
    <n v="9.1999999999999993"/>
    <x v="1154"/>
  </r>
  <r>
    <n v="16"/>
    <n v="22"/>
    <n v="1"/>
    <n v="3"/>
    <n v="1"/>
    <n v="0"/>
    <x v="2"/>
    <x v="7"/>
    <s v="Unitech Power Transmission Ltd."/>
    <n v="322"/>
    <n v="7.8"/>
    <x v="1155"/>
  </r>
  <r>
    <n v="5"/>
    <n v="23"/>
    <n v="0"/>
    <n v="17"/>
    <n v="1"/>
    <n v="0"/>
    <x v="5"/>
    <x v="1"/>
    <s v="unknown"/>
    <s v="nan "/>
    <n v="8.3000000000000007"/>
    <x v="1156"/>
  </r>
  <r>
    <n v="14"/>
    <n v="23"/>
    <n v="3"/>
    <n v="15"/>
    <n v="1"/>
    <n v="0"/>
    <x v="3"/>
    <x v="14"/>
    <s v="Adani Power Ltd."/>
    <n v="564"/>
    <n v="7.6"/>
    <x v="1157"/>
  </r>
  <r>
    <n v="21"/>
    <n v="22"/>
    <n v="2"/>
    <n v="19"/>
    <n v="12"/>
    <n v="0"/>
    <x v="10"/>
    <x v="17"/>
    <s v="Sunil Hitech Eng"/>
    <n v="756"/>
    <n v="8.8000000000000007"/>
    <x v="1158"/>
  </r>
  <r>
    <n v="7"/>
    <n v="18"/>
    <n v="2"/>
    <n v="13"/>
    <n v="0"/>
    <n v="0"/>
    <x v="3"/>
    <x v="9"/>
    <s v="Kalpataru Power"/>
    <n v="444"/>
    <n v="7.9"/>
    <x v="90"/>
  </r>
  <r>
    <n v="8"/>
    <n v="22"/>
    <n v="3"/>
    <n v="18"/>
    <n v="7"/>
    <n v="0"/>
    <x v="10"/>
    <x v="11"/>
    <s v="Optibelt Power Transmission India Private Limited"/>
    <n v="532"/>
    <n v="8.4"/>
    <x v="1159"/>
  </r>
  <r>
    <n v="14"/>
    <n v="22"/>
    <n v="1"/>
    <n v="0"/>
    <n v="1"/>
    <n v="0"/>
    <x v="3"/>
    <x v="10"/>
    <s v="Unitech Power Transmission Ltd."/>
    <n v="561"/>
    <n v="8.5"/>
    <x v="1019"/>
  </r>
  <r>
    <n v="6"/>
    <n v="23"/>
    <n v="3"/>
    <n v="18"/>
    <n v="1"/>
    <n v="0"/>
    <x v="5"/>
    <x v="3"/>
    <s v="Reliance Energy"/>
    <n v="442"/>
    <n v="8.9"/>
    <x v="1160"/>
  </r>
  <r>
    <n v="18"/>
    <n v="22"/>
    <n v="1"/>
    <n v="13"/>
    <n v="1"/>
    <n v="0"/>
    <x v="1"/>
    <x v="7"/>
    <s v="Jyoti Structure"/>
    <n v="601"/>
    <n v="7.8"/>
    <x v="1161"/>
  </r>
  <r>
    <n v="20"/>
    <n v="23"/>
    <n v="3"/>
    <n v="16"/>
    <n v="1"/>
    <n v="0"/>
    <x v="11"/>
    <x v="19"/>
    <s v="unknown"/>
    <n v="648"/>
    <n v="7.4"/>
    <x v="1162"/>
  </r>
  <r>
    <n v="23"/>
    <n v="23"/>
    <n v="0"/>
    <n v="15"/>
    <n v="1"/>
    <n v="0"/>
    <x v="3"/>
    <x v="15"/>
    <s v="Power Grid Corp"/>
    <n v="478"/>
    <n v="9.3000000000000007"/>
    <x v="1163"/>
  </r>
  <r>
    <n v="13"/>
    <n v="0"/>
    <n v="0"/>
    <n v="8"/>
    <n v="12"/>
    <n v="0"/>
    <x v="10"/>
    <x v="17"/>
    <s v="Sunil Hitech Eng"/>
    <n v="683"/>
    <n v="8.8000000000000007"/>
    <x v="1164"/>
  </r>
  <r>
    <n v="5"/>
    <n v="18"/>
    <n v="0"/>
    <n v="7"/>
    <n v="7"/>
    <n v="0"/>
    <x v="12"/>
    <x v="14"/>
    <s v="Adani Power Ltd."/>
    <n v="0"/>
    <n v="7.6"/>
    <x v="1165"/>
  </r>
  <r>
    <n v="23"/>
    <n v="22"/>
    <n v="2"/>
    <n v="14"/>
    <n v="1"/>
    <n v="0"/>
    <x v="11"/>
    <x v="3"/>
    <s v="toshiba transmission &amp; distribution systems (india) pvt. ltd."/>
    <n v="470"/>
    <n v="8.9"/>
    <x v="24"/>
  </r>
  <r>
    <n v="22"/>
    <n v="22"/>
    <n v="2"/>
    <n v="6"/>
    <n v="1"/>
    <n v="0"/>
    <x v="1"/>
    <x v="6"/>
    <s v="Orient Green"/>
    <n v="540"/>
    <n v="9.1"/>
    <x v="1166"/>
  </r>
  <r>
    <n v="20"/>
    <n v="22"/>
    <n v="2"/>
    <n v="4"/>
    <n v="1"/>
    <n v="0"/>
    <x v="7"/>
    <x v="9"/>
    <s v="Neueon Towers / Sujana Towers Ltd."/>
    <n v="361"/>
    <n v="7.9"/>
    <x v="979"/>
  </r>
  <r>
    <n v="5"/>
    <n v="22"/>
    <n v="3"/>
    <n v="13"/>
    <n v="1"/>
    <n v="0"/>
    <x v="8"/>
    <x v="9"/>
    <s v="Indowind Energy"/>
    <n v="409"/>
    <n v="7.9"/>
    <x v="1167"/>
  </r>
  <r>
    <n v="10"/>
    <n v="21"/>
    <n v="2"/>
    <n v="22"/>
    <n v="1"/>
    <n v="0"/>
    <x v="12"/>
    <x v="7"/>
    <s v="Torrent Power Ltd."/>
    <n v="714"/>
    <n v="7.8"/>
    <x v="597"/>
  </r>
  <r>
    <n v="7"/>
    <n v="0"/>
    <n v="1"/>
    <n v="16"/>
    <n v="1"/>
    <n v="0"/>
    <x v="6"/>
    <x v="8"/>
    <s v="Power Grid Corp"/>
    <n v="501"/>
    <n v="8.4"/>
    <x v="587"/>
  </r>
  <r>
    <n v="0"/>
    <n v="22"/>
    <n v="2"/>
    <n v="12"/>
    <n v="1"/>
    <n v="0"/>
    <x v="8"/>
    <x v="1"/>
    <s v="Ringfeder Power Transmission India Pvt. Ltd."/>
    <n v="701"/>
    <s v="nan "/>
    <x v="1168"/>
  </r>
  <r>
    <n v="21"/>
    <n v="23"/>
    <n v="0"/>
    <n v="4"/>
    <n v="1"/>
    <n v="0"/>
    <x v="9"/>
    <x v="7"/>
    <s v="NLC India"/>
    <n v="581"/>
    <n v="7.8"/>
    <x v="152"/>
  </r>
  <r>
    <n v="5"/>
    <n v="20"/>
    <n v="0"/>
    <n v="3"/>
    <n v="1"/>
    <n v="0"/>
    <x v="8"/>
    <x v="13"/>
    <s v="unknown"/>
    <n v="0"/>
    <n v="9.1999999999999993"/>
    <x v="1169"/>
  </r>
  <r>
    <n v="17"/>
    <n v="22"/>
    <n v="1"/>
    <n v="17"/>
    <n v="1"/>
    <n v="0"/>
    <x v="3"/>
    <x v="6"/>
    <s v="KEC International"/>
    <n v="529"/>
    <n v="9.1"/>
    <x v="1170"/>
  </r>
  <r>
    <n v="12"/>
    <n v="22"/>
    <n v="2"/>
    <n v="0"/>
    <n v="1"/>
    <n v="0"/>
    <x v="5"/>
    <x v="22"/>
    <s v="Reliance Power"/>
    <n v="550"/>
    <n v="8.5"/>
    <x v="1171"/>
  </r>
  <r>
    <n v="17"/>
    <n v="0"/>
    <n v="2"/>
    <n v="4"/>
    <n v="1"/>
    <n v="0"/>
    <x v="12"/>
    <x v="5"/>
    <s v="Kalpataru Power"/>
    <n v="347"/>
    <n v="7.7"/>
    <x v="1172"/>
  </r>
  <r>
    <n v="8"/>
    <n v="21"/>
    <n v="2"/>
    <n v="19"/>
    <n v="1"/>
    <n v="0"/>
    <x v="11"/>
    <x v="1"/>
    <s v="GE T&amp;D India Limited"/>
    <n v="573"/>
    <n v="8.3000000000000007"/>
    <x v="1173"/>
  </r>
  <r>
    <n v="11"/>
    <n v="22"/>
    <n v="2"/>
    <n v="19"/>
    <n v="1"/>
    <n v="0"/>
    <x v="4"/>
    <x v="17"/>
    <s v="KEC International"/>
    <n v="460"/>
    <n v="8.8000000000000007"/>
    <x v="946"/>
  </r>
  <r>
    <n v="20"/>
    <n v="22"/>
    <n v="3"/>
    <n v="6"/>
    <n v="1"/>
    <n v="0"/>
    <x v="6"/>
    <x v="13"/>
    <s v="Toshiba Transmission &amp; Distribution Systems (India) Pvt. Ltd."/>
    <n v="581"/>
    <n v="9.1999999999999993"/>
    <x v="784"/>
  </r>
  <r>
    <n v="0"/>
    <n v="23"/>
    <n v="3"/>
    <n v="8"/>
    <n v="1"/>
    <n v="0"/>
    <x v="10"/>
    <x v="9"/>
    <s v="Tata Power Company Ltd."/>
    <n v="467"/>
    <n v="7.9"/>
    <x v="1174"/>
  </r>
  <r>
    <n v="10"/>
    <n v="21"/>
    <n v="0"/>
    <n v="5"/>
    <n v="1"/>
    <n v="0"/>
    <x v="5"/>
    <x v="19"/>
    <s v="Indowind Energy"/>
    <n v="280"/>
    <n v="7.4"/>
    <x v="804"/>
  </r>
  <r>
    <n v="12"/>
    <n v="23"/>
    <n v="0"/>
    <n v="17"/>
    <n v="12"/>
    <n v="0"/>
    <x v="8"/>
    <x v="6"/>
    <s v="nlc india"/>
    <n v="802"/>
    <n v="9.1"/>
    <x v="24"/>
  </r>
  <r>
    <n v="19"/>
    <n v="22"/>
    <n v="3"/>
    <n v="11"/>
    <n v="1"/>
    <n v="0"/>
    <x v="11"/>
    <x v="4"/>
    <s v="Optibelt Power Transmission India Private Limited"/>
    <n v="563"/>
    <n v="8.6999999999999993"/>
    <x v="1175"/>
  </r>
  <r>
    <n v="10"/>
    <n v="19"/>
    <n v="0"/>
    <n v="10"/>
    <n v="1"/>
    <n v="0"/>
    <x v="8"/>
    <x v="14"/>
    <s v="Kalpataru Power"/>
    <n v="391"/>
    <n v="7.6"/>
    <x v="319"/>
  </r>
  <r>
    <n v="19"/>
    <n v="23"/>
    <n v="2"/>
    <n v="21"/>
    <n v="1"/>
    <n v="0"/>
    <x v="8"/>
    <x v="1"/>
    <s v="Kalpataru Power"/>
    <n v="660"/>
    <n v="8.3000000000000007"/>
    <x v="1176"/>
  </r>
  <r>
    <n v="11"/>
    <n v="23"/>
    <n v="0"/>
    <n v="21"/>
    <n v="1"/>
    <n v="0"/>
    <x v="10"/>
    <x v="16"/>
    <s v="Bonfiglioli Transmission Pvt. Ltd."/>
    <n v="629"/>
    <n v="8.1999999999999993"/>
    <x v="1177"/>
  </r>
  <r>
    <n v="15"/>
    <n v="23"/>
    <n v="2"/>
    <n v="8"/>
    <n v="1"/>
    <n v="0"/>
    <x v="12"/>
    <x v="8"/>
    <s v="Guj Ind Power"/>
    <n v="384"/>
    <n v="8.4"/>
    <x v="1178"/>
  </r>
  <r>
    <n v="10"/>
    <n v="19"/>
    <n v="3"/>
    <n v="8"/>
    <n v="1"/>
    <n v="0"/>
    <x v="10"/>
    <x v="9"/>
    <s v="Adani Power Ltd."/>
    <n v="411"/>
    <n v="7.9"/>
    <x v="1179"/>
  </r>
  <r>
    <n v="8"/>
    <n v="23"/>
    <n v="2"/>
    <n v="22"/>
    <n v="1"/>
    <n v="0"/>
    <x v="9"/>
    <x v="4"/>
    <s v="Bonfiglioli Transmission Pvt. Ltd."/>
    <n v="608"/>
    <n v="8.6999999999999993"/>
    <x v="1180"/>
  </r>
  <r>
    <n v="15"/>
    <n v="23"/>
    <n v="2"/>
    <n v="17"/>
    <n v="1"/>
    <n v="0"/>
    <x v="7"/>
    <x v="16"/>
    <s v="Jyoti Structure"/>
    <n v="592"/>
    <n v="8.1999999999999993"/>
    <x v="1181"/>
  </r>
  <r>
    <n v="22"/>
    <n v="23"/>
    <n v="0"/>
    <n v="7"/>
    <n v="12"/>
    <n v="0"/>
    <x v="4"/>
    <x v="6"/>
    <s v="L&amp;T Transmission &amp; Distribution"/>
    <n v="674"/>
    <n v="9.1"/>
    <x v="1182"/>
  </r>
  <r>
    <n v="10"/>
    <n v="22"/>
    <n v="1"/>
    <n v="19"/>
    <n v="1"/>
    <n v="0"/>
    <x v="2"/>
    <x v="15"/>
    <s v="GE T&amp;D India Limited"/>
    <n v="653"/>
    <n v="9.3000000000000007"/>
    <x v="1183"/>
  </r>
  <r>
    <n v="11"/>
    <n v="23"/>
    <n v="1"/>
    <n v="6"/>
    <n v="1"/>
    <n v="0"/>
    <x v="4"/>
    <x v="13"/>
    <s v="Tata Power Company Ltd."/>
    <n v="572"/>
    <n v="0"/>
    <x v="618"/>
  </r>
  <r>
    <n v="16"/>
    <n v="22"/>
    <n v="1"/>
    <n v="11"/>
    <n v="1"/>
    <n v="0"/>
    <x v="1"/>
    <x v="14"/>
    <s v="ntpc pvt. ltd."/>
    <n v="466"/>
    <n v="7.6"/>
    <x v="24"/>
  </r>
  <r>
    <n v="22"/>
    <n v="22"/>
    <n v="0"/>
    <n v="16"/>
    <n v="1"/>
    <n v="0"/>
    <x v="3"/>
    <x v="14"/>
    <s v="Sterlite Power Transmission Ltd"/>
    <n v="664"/>
    <n v="7.6"/>
    <x v="1184"/>
  </r>
  <r>
    <n v="23"/>
    <n v="22"/>
    <n v="1"/>
    <n v="11"/>
    <n v="1"/>
    <n v="0"/>
    <x v="10"/>
    <x v="1"/>
    <s v="Toshiba Transmission &amp; Distribution Systems (India) Pvt. Ltd."/>
    <n v="675"/>
    <n v="8.3000000000000007"/>
    <x v="1185"/>
  </r>
  <r>
    <n v="20"/>
    <n v="22"/>
    <n v="0"/>
    <n v="20"/>
    <n v="1"/>
    <n v="0"/>
    <x v="10"/>
    <x v="17"/>
    <s v="KEC International"/>
    <n v="691"/>
    <n v="8.8000000000000007"/>
    <x v="1186"/>
  </r>
  <r>
    <n v="22"/>
    <n v="23"/>
    <n v="1"/>
    <n v="13"/>
    <n v="12"/>
    <n v="0"/>
    <x v="12"/>
    <x v="13"/>
    <s v="GE T&amp;D India Limited"/>
    <n v="795"/>
    <n v="9.1999999999999993"/>
    <x v="1187"/>
  </r>
  <r>
    <n v="17"/>
    <n v="23"/>
    <n v="1"/>
    <n v="20"/>
    <n v="1"/>
    <n v="0"/>
    <x v="10"/>
    <x v="4"/>
    <s v="NHPC"/>
    <n v="626"/>
    <n v="8.6999999999999993"/>
    <x v="1188"/>
  </r>
  <r>
    <n v="10"/>
    <n v="18"/>
    <n v="0"/>
    <n v="12"/>
    <n v="1"/>
    <n v="0"/>
    <x v="0"/>
    <x v="13"/>
    <s v="Orient Green"/>
    <n v="211"/>
    <n v="9.1999999999999993"/>
    <x v="1189"/>
  </r>
  <r>
    <n v="14"/>
    <n v="22"/>
    <n v="2"/>
    <n v="4"/>
    <n v="1"/>
    <n v="0"/>
    <x v="0"/>
    <x v="1"/>
    <s v="Optibelt Power Transmission India Private Limited"/>
    <n v="442"/>
    <n v="8.3000000000000007"/>
    <x v="1190"/>
  </r>
  <r>
    <n v="11"/>
    <n v="22"/>
    <n v="3"/>
    <n v="18"/>
    <n v="1"/>
    <n v="0"/>
    <x v="9"/>
    <x v="0"/>
    <s v="Jyoti Structure"/>
    <n v="577"/>
    <n v="8.1"/>
    <x v="1191"/>
  </r>
  <r>
    <n v="12"/>
    <n v="23"/>
    <n v="0"/>
    <n v="17"/>
    <n v="1"/>
    <n v="0"/>
    <x v="0"/>
    <x v="16"/>
    <s v="SJVN Ltd."/>
    <n v="419"/>
    <n v="8.1999999999999993"/>
    <x v="1192"/>
  </r>
  <r>
    <n v="12"/>
    <n v="23"/>
    <n v="2"/>
    <n v="3"/>
    <n v="1"/>
    <n v="0"/>
    <x v="9"/>
    <x v="17"/>
    <s v="Toshiba Transmission &amp; Distribution Systems (India) Pvt. Ltd."/>
    <n v="469"/>
    <n v="8.8000000000000007"/>
    <x v="1193"/>
  </r>
  <r>
    <n v="20"/>
    <n v="22"/>
    <n v="1"/>
    <n v="10"/>
    <n v="12"/>
    <n v="0"/>
    <x v="1"/>
    <x v="1"/>
    <s v="Ringfeder Power Transmission India Pvt. Ltd."/>
    <n v="688"/>
    <n v="8.3000000000000007"/>
    <x v="1194"/>
  </r>
  <r>
    <n v="12"/>
    <n v="23"/>
    <n v="0"/>
    <n v="18"/>
    <n v="1"/>
    <n v="0"/>
    <x v="0"/>
    <x v="7"/>
    <s v="Guj Ind Power"/>
    <n v="465"/>
    <n v="7.8"/>
    <x v="1195"/>
  </r>
  <r>
    <n v="8"/>
    <n v="20"/>
    <n v="2"/>
    <n v="15"/>
    <n v="1"/>
    <n v="0"/>
    <x v="9"/>
    <x v="25"/>
    <s v="Jyoti Structure"/>
    <n v="427"/>
    <n v="8.1999999999999993"/>
    <x v="1196"/>
  </r>
  <r>
    <n v="13"/>
    <n v="22"/>
    <n v="1"/>
    <n v="18"/>
    <n v="1"/>
    <n v="0"/>
    <x v="11"/>
    <x v="7"/>
    <s v="unknown"/>
    <n v="410"/>
    <n v="7.8"/>
    <x v="1197"/>
  </r>
  <r>
    <n v="19"/>
    <n v="23"/>
    <n v="1"/>
    <n v="5"/>
    <n v="1"/>
    <n v="0"/>
    <x v="10"/>
    <x v="20"/>
    <s v="adani power ltd."/>
    <n v="588"/>
    <n v="0"/>
    <x v="1198"/>
  </r>
  <r>
    <n v="22"/>
    <n v="22"/>
    <n v="0"/>
    <n v="21"/>
    <n v="1"/>
    <n v="0"/>
    <x v="8"/>
    <x v="20"/>
    <s v="Bonfiglioli Transmission Pvt. Ltd."/>
    <n v="704"/>
    <n v="7.9"/>
    <x v="24"/>
  </r>
  <r>
    <n v="12"/>
    <n v="23"/>
    <n v="2"/>
    <n v="7"/>
    <n v="1"/>
    <n v="0"/>
    <x v="5"/>
    <x v="2"/>
    <s v="TransRail Lighting"/>
    <n v="0"/>
    <n v="8.9"/>
    <x v="1199"/>
  </r>
  <r>
    <n v="8"/>
    <n v="21"/>
    <n v="3"/>
    <n v="11"/>
    <n v="1"/>
    <n v="0"/>
    <x v="11"/>
    <x v="15"/>
    <s v="Unitech Power Transmission Ltd."/>
    <n v="391"/>
    <n v="9.3000000000000007"/>
    <x v="131"/>
  </r>
  <r>
    <n v="19"/>
    <n v="22"/>
    <n v="3"/>
    <n v="7"/>
    <n v="1"/>
    <n v="0"/>
    <x v="4"/>
    <x v="5"/>
    <s v="NTPC Pvt. Ltd."/>
    <n v="426"/>
    <n v="7.7"/>
    <x v="1200"/>
  </r>
  <r>
    <n v="20"/>
    <n v="22"/>
    <n v="1"/>
    <n v="19"/>
    <n v="1"/>
    <n v="0"/>
    <x v="8"/>
    <x v="8"/>
    <s v="Maha Transco â€“ Maharashtra State Electricity Transmission Co, Ltd."/>
    <n v="697"/>
    <n v="8.4"/>
    <x v="1201"/>
  </r>
  <r>
    <n v="5"/>
    <n v="17"/>
    <n v="1"/>
    <n v="3"/>
    <n v="1"/>
    <n v="0"/>
    <x v="0"/>
    <x v="8"/>
    <s v="Maha Transco â€“ Maharashtra State Electricity Transmission Co, Ltd."/>
    <n v="275"/>
    <n v="8.4"/>
    <x v="1202"/>
  </r>
  <r>
    <n v="12"/>
    <n v="23"/>
    <n v="3"/>
    <n v="19"/>
    <n v="1"/>
    <n v="0"/>
    <x v="5"/>
    <x v="7"/>
    <s v="TransRail Lighting"/>
    <n v="699"/>
    <n v="7.8"/>
    <x v="1203"/>
  </r>
  <r>
    <n v="16"/>
    <n v="23"/>
    <n v="2"/>
    <n v="13"/>
    <n v="1"/>
    <n v="0"/>
    <x v="11"/>
    <x v="8"/>
    <s v="Maha Transco â€“ Maharashtra State Electricity Transmission Co, Ltd."/>
    <n v="638"/>
    <n v="8.4"/>
    <x v="1204"/>
  </r>
  <r>
    <n v="17"/>
    <n v="22"/>
    <n v="2"/>
    <n v="22"/>
    <n v="1"/>
    <n v="0"/>
    <x v="6"/>
    <x v="10"/>
    <s v="Jyoti Structure"/>
    <n v="612"/>
    <n v="8.5"/>
    <x v="1205"/>
  </r>
  <r>
    <n v="23"/>
    <n v="22"/>
    <n v="1"/>
    <n v="8"/>
    <n v="1"/>
    <n v="0"/>
    <x v="8"/>
    <x v="15"/>
    <s v="TransRail Lighting"/>
    <n v="474"/>
    <n v="9.3000000000000007"/>
    <x v="395"/>
  </r>
  <r>
    <n v="17"/>
    <n v="22"/>
    <n v="2"/>
    <n v="13"/>
    <n v="1"/>
    <n v="0"/>
    <x v="7"/>
    <x v="4"/>
    <s v="Indowind Energy"/>
    <n v="663"/>
    <n v="8.6999999999999993"/>
    <x v="1206"/>
  </r>
  <r>
    <n v="5"/>
    <n v="22"/>
    <n v="1"/>
    <n v="13"/>
    <n v="1"/>
    <n v="0"/>
    <x v="10"/>
    <x v="10"/>
    <s v="maha transco â€“ maharashtra state electricity transmission co, ltd."/>
    <n v="314"/>
    <n v="8.5"/>
    <x v="1207"/>
  </r>
  <r>
    <n v="8"/>
    <n v="18"/>
    <n v="2"/>
    <n v="5"/>
    <n v="0"/>
    <n v="0"/>
    <x v="4"/>
    <x v="26"/>
    <s v="Kalpataru Power"/>
    <n v="290"/>
    <n v="7.9"/>
    <x v="1208"/>
  </r>
  <r>
    <n v="22"/>
    <n v="23"/>
    <n v="2"/>
    <n v="3"/>
    <n v="1"/>
    <n v="0"/>
    <x v="8"/>
    <x v="5"/>
    <s v="JSW Energy Ltd."/>
    <n v="618"/>
    <n v="7.7"/>
    <x v="1209"/>
  </r>
  <r>
    <n v="15"/>
    <n v="23"/>
    <n v="1"/>
    <n v="22"/>
    <n v="1"/>
    <n v="0"/>
    <x v="3"/>
    <x v="23"/>
    <s v="TransRail Lighting"/>
    <n v="0"/>
    <n v="7.8"/>
    <x v="225"/>
  </r>
  <r>
    <n v="16"/>
    <n v="23"/>
    <n v="0"/>
    <n v="13"/>
    <n v="1"/>
    <n v="0"/>
    <x v="3"/>
    <x v="14"/>
    <s v="JSW Energy Ltd."/>
    <n v="523"/>
    <n v="7.6"/>
    <x v="1210"/>
  </r>
  <r>
    <n v="16"/>
    <n v="23"/>
    <n v="3"/>
    <n v="14"/>
    <n v="12"/>
    <n v="0"/>
    <x v="2"/>
    <x v="26"/>
    <s v="GE T&amp;D India Limited"/>
    <n v="626"/>
    <n v="7.9"/>
    <x v="1211"/>
  </r>
  <r>
    <n v="11"/>
    <n v="23"/>
    <n v="3"/>
    <n v="14"/>
    <n v="1"/>
    <n v="0"/>
    <x v="4"/>
    <x v="1"/>
    <s v="Ringfeder Power Transmission India Pvt. Ltd."/>
    <n v="588"/>
    <n v="8.3000000000000007"/>
    <x v="1212"/>
  </r>
  <r>
    <n v="0"/>
    <n v="23"/>
    <n v="1"/>
    <n v="13"/>
    <n v="1"/>
    <n v="0"/>
    <x v="3"/>
    <x v="8"/>
    <s v="GE T&amp;D India Limited"/>
    <n v="691"/>
    <n v="8.4"/>
    <x v="24"/>
  </r>
  <r>
    <n v="5"/>
    <n v="21"/>
    <n v="2"/>
    <n v="17"/>
    <n v="1"/>
    <n v="0"/>
    <x v="0"/>
    <x v="8"/>
    <s v="Guj Ind Power"/>
    <n v="447"/>
    <n v="8.4"/>
    <x v="1213"/>
  </r>
  <r>
    <n v="6"/>
    <n v="0"/>
    <n v="2"/>
    <n v="7"/>
    <n v="7"/>
    <n v="0"/>
    <x v="6"/>
    <x v="14"/>
    <s v="Orient Green"/>
    <n v="523"/>
    <n v="7.6"/>
    <x v="1210"/>
  </r>
  <r>
    <n v="7"/>
    <n v="21"/>
    <n v="3"/>
    <n v="8"/>
    <n v="1"/>
    <n v="0"/>
    <x v="2"/>
    <x v="5"/>
    <s v="Orient Green"/>
    <n v="541"/>
    <n v="7.7"/>
    <x v="1214"/>
  </r>
  <r>
    <n v="7"/>
    <n v="18"/>
    <n v="0"/>
    <n v="22"/>
    <n v="1"/>
    <n v="0"/>
    <x v="7"/>
    <x v="7"/>
    <s v="Ringfeder Power Transmission India Pvt. Ltd."/>
    <n v="596"/>
    <n v="7.8"/>
    <x v="841"/>
  </r>
  <r>
    <n v="17"/>
    <n v="22"/>
    <n v="1"/>
    <n v="16"/>
    <n v="1"/>
    <n v="0"/>
    <x v="8"/>
    <x v="10"/>
    <s v="TransRail Lighting"/>
    <n v="441"/>
    <n v="8.5"/>
    <x v="1215"/>
  </r>
  <r>
    <n v="7"/>
    <n v="19"/>
    <n v="0"/>
    <n v="15"/>
    <n v="1"/>
    <n v="0"/>
    <x v="11"/>
    <x v="9"/>
    <s v="Guj Ind Power"/>
    <n v="442"/>
    <n v="7.9"/>
    <x v="1216"/>
  </r>
  <r>
    <n v="21"/>
    <n v="23"/>
    <n v="0"/>
    <n v="20"/>
    <n v="1"/>
    <n v="0"/>
    <x v="0"/>
    <x v="17"/>
    <s v="adani power ltd."/>
    <n v="487"/>
    <n v="8.8000000000000007"/>
    <x v="1217"/>
  </r>
  <r>
    <n v="9"/>
    <n v="20"/>
    <n v="0"/>
    <n v="6"/>
    <n v="7"/>
    <n v="0"/>
    <x v="2"/>
    <x v="5"/>
    <s v="Jaiprakash Power"/>
    <n v="343"/>
    <n v="7.7"/>
    <x v="1218"/>
  </r>
  <r>
    <n v="14"/>
    <n v="23"/>
    <n v="0"/>
    <n v="9"/>
    <n v="12"/>
    <n v="0"/>
    <x v="11"/>
    <x v="8"/>
    <s v="Adani Power Ltd."/>
    <n v="458"/>
    <n v="8.4"/>
    <x v="987"/>
  </r>
  <r>
    <n v="5"/>
    <n v="19"/>
    <n v="2"/>
    <n v="20"/>
    <n v="1"/>
    <n v="0"/>
    <x v="8"/>
    <x v="13"/>
    <s v="Sterlite Power Transmission Ltd"/>
    <n v="493"/>
    <n v="9.1999999999999993"/>
    <x v="1219"/>
  </r>
  <r>
    <n v="23"/>
    <n v="22"/>
    <n v="0"/>
    <n v="19"/>
    <n v="1"/>
    <n v="0"/>
    <x v="4"/>
    <x v="19"/>
    <s v="Jaiprakash Power"/>
    <n v="0"/>
    <n v="7.4"/>
    <x v="1220"/>
  </r>
  <r>
    <n v="8"/>
    <n v="18"/>
    <n v="3"/>
    <n v="19"/>
    <n v="1"/>
    <n v="0"/>
    <x v="3"/>
    <x v="21"/>
    <s v="JSW Energy Ltd."/>
    <n v="424"/>
    <n v="7.4"/>
    <x v="1221"/>
  </r>
  <r>
    <n v="16"/>
    <n v="23"/>
    <n v="3"/>
    <n v="15"/>
    <n v="12"/>
    <n v="0"/>
    <x v="4"/>
    <x v="22"/>
    <s v="JSW Energy Ltd."/>
    <n v="655"/>
    <n v="9.1"/>
    <x v="1222"/>
  </r>
  <r>
    <n v="22"/>
    <n v="23"/>
    <n v="0"/>
    <n v="15"/>
    <n v="1"/>
    <n v="0"/>
    <x v="12"/>
    <x v="6"/>
    <s v="NLC India"/>
    <n v="612"/>
    <n v="9.1"/>
    <x v="597"/>
  </r>
  <r>
    <n v="12"/>
    <n v="22"/>
    <n v="2"/>
    <n v="18"/>
    <n v="1"/>
    <n v="0"/>
    <x v="7"/>
    <x v="16"/>
    <s v="Tata Power Company Ltd."/>
    <n v="628"/>
    <n v="8.1999999999999993"/>
    <x v="1223"/>
  </r>
  <r>
    <n v="13"/>
    <n v="22"/>
    <n v="1"/>
    <n v="13"/>
    <n v="0"/>
    <n v="0"/>
    <x v="6"/>
    <x v="7"/>
    <s v="Jyoti Structure"/>
    <n v="685"/>
    <n v="7.8"/>
    <x v="1224"/>
  </r>
  <r>
    <n v="12"/>
    <n v="22"/>
    <n v="2"/>
    <n v="10"/>
    <n v="0"/>
    <n v="0"/>
    <x v="11"/>
    <x v="8"/>
    <s v="Kalpataru Power"/>
    <n v="558"/>
    <n v="8.4"/>
    <x v="1225"/>
  </r>
  <r>
    <n v="20"/>
    <n v="0"/>
    <n v="2"/>
    <n v="11"/>
    <n v="12"/>
    <n v="0"/>
    <x v="12"/>
    <x v="25"/>
    <s v="Indowind Energy"/>
    <n v="710"/>
    <n v="8.1999999999999993"/>
    <x v="1226"/>
  </r>
  <r>
    <n v="23"/>
    <n v="22"/>
    <n v="0"/>
    <n v="18"/>
    <n v="0"/>
    <n v="0"/>
    <x v="7"/>
    <x v="17"/>
    <s v="Indowind Energy"/>
    <n v="451"/>
    <n v="8.8000000000000007"/>
    <x v="1227"/>
  </r>
  <r>
    <n v="9"/>
    <n v="20"/>
    <n v="0"/>
    <n v="20"/>
    <n v="1"/>
    <n v="0"/>
    <x v="6"/>
    <x v="14"/>
    <s v="Unitech Power Transmission Ltd."/>
    <n v="549"/>
    <n v="7.6"/>
    <x v="1228"/>
  </r>
  <r>
    <n v="7"/>
    <n v="17"/>
    <n v="1"/>
    <n v="13"/>
    <n v="1"/>
    <n v="0"/>
    <x v="9"/>
    <x v="13"/>
    <s v="Reliance Energy"/>
    <n v="286"/>
    <n v="9.1999999999999993"/>
    <x v="1229"/>
  </r>
  <r>
    <n v="0"/>
    <n v="23"/>
    <n v="0"/>
    <n v="3"/>
    <n v="1"/>
    <n v="0"/>
    <x v="9"/>
    <x v="26"/>
    <s v="TransRail Lighting"/>
    <n v="552"/>
    <n v="7.9"/>
    <x v="24"/>
  </r>
  <r>
    <n v="12"/>
    <n v="23"/>
    <n v="1"/>
    <n v="20"/>
    <n v="1"/>
    <n v="0"/>
    <x v="11"/>
    <x v="0"/>
    <s v="L&amp;T Transmission &amp; Distribution"/>
    <n v="530"/>
    <n v="8.1"/>
    <x v="1230"/>
  </r>
  <r>
    <n v="12"/>
    <n v="22"/>
    <n v="3"/>
    <n v="5"/>
    <n v="1"/>
    <n v="0"/>
    <x v="7"/>
    <x v="1"/>
    <s v="Ringfeder Power Transmission India Pvt. Ltd."/>
    <n v="370"/>
    <n v="8.3000000000000007"/>
    <x v="1231"/>
  </r>
  <r>
    <n v="14"/>
    <n v="22"/>
    <n v="3"/>
    <n v="20"/>
    <n v="1"/>
    <n v="0"/>
    <x v="9"/>
    <x v="5"/>
    <s v="tata power company ltd."/>
    <n v="658"/>
    <n v="0"/>
    <x v="7"/>
  </r>
  <r>
    <n v="14"/>
    <n v="23"/>
    <n v="1"/>
    <n v="13"/>
    <n v="12"/>
    <n v="0"/>
    <x v="9"/>
    <x v="19"/>
    <s v="Sunil Hitech Eng"/>
    <n v="749"/>
    <n v="7.4"/>
    <x v="1232"/>
  </r>
  <r>
    <n v="23"/>
    <n v="23"/>
    <n v="0"/>
    <n v="11"/>
    <n v="1"/>
    <n v="0"/>
    <x v="4"/>
    <x v="14"/>
    <s v="Toshiba Transmission &amp; Distribution Systems (India) Pvt. Ltd."/>
    <n v="485"/>
    <n v="7.6"/>
    <x v="1233"/>
  </r>
  <r>
    <n v="22"/>
    <n v="22"/>
    <n v="3"/>
    <n v="5"/>
    <n v="1"/>
    <n v="0"/>
    <x v="4"/>
    <x v="8"/>
    <s v="TransRail Lighting"/>
    <n v="585"/>
    <n v="8.4"/>
    <x v="1166"/>
  </r>
  <r>
    <n v="8"/>
    <n v="21"/>
    <n v="3"/>
    <n v="9"/>
    <n v="7"/>
    <n v="0"/>
    <x v="12"/>
    <x v="5"/>
    <s v="TransRail Lighting"/>
    <n v="630"/>
    <n v="7.7"/>
    <x v="1234"/>
  </r>
  <r>
    <n v="11"/>
    <n v="22"/>
    <n v="3"/>
    <n v="20"/>
    <n v="1"/>
    <n v="0"/>
    <x v="6"/>
    <x v="18"/>
    <s v="Ratnagiri Gas and Power Pvt. Ltd. (RGPPL)"/>
    <n v="541"/>
    <n v="8.3000000000000007"/>
    <x v="782"/>
  </r>
  <r>
    <n v="5"/>
    <n v="18"/>
    <n v="1"/>
    <n v="10"/>
    <n v="1"/>
    <n v="0"/>
    <x v="5"/>
    <x v="2"/>
    <s v="NHPC"/>
    <n v="346"/>
    <n v="8.9"/>
    <x v="1235"/>
  </r>
  <r>
    <n v="16"/>
    <n v="22"/>
    <n v="1"/>
    <n v="5"/>
    <n v="12"/>
    <n v="0"/>
    <x v="12"/>
    <x v="0"/>
    <s v="unknown"/>
    <n v="460"/>
    <n v="8.1"/>
    <x v="0"/>
  </r>
  <r>
    <n v="9"/>
    <n v="23"/>
    <n v="0"/>
    <n v="10"/>
    <n v="1"/>
    <n v="0"/>
    <x v="10"/>
    <x v="8"/>
    <s v="NLC India"/>
    <n v="490"/>
    <n v="8.4"/>
    <x v="707"/>
  </r>
  <r>
    <n v="15"/>
    <n v="23"/>
    <n v="0"/>
    <n v="3"/>
    <n v="1"/>
    <n v="0"/>
    <x v="7"/>
    <x v="1"/>
    <s v="Optibelt Power Transmission India Private Limited"/>
    <n v="266"/>
    <n v="8.3000000000000007"/>
    <x v="1236"/>
  </r>
  <r>
    <n v="9"/>
    <n v="20"/>
    <n v="1"/>
    <n v="22"/>
    <n v="1"/>
    <n v="0"/>
    <x v="4"/>
    <x v="3"/>
    <s v="unknown"/>
    <n v="656"/>
    <n v="8.9"/>
    <x v="1237"/>
  </r>
  <r>
    <n v="18"/>
    <n v="23"/>
    <n v="0"/>
    <n v="0"/>
    <n v="1"/>
    <n v="0"/>
    <x v="6"/>
    <x v="15"/>
    <s v="KEC International"/>
    <n v="582"/>
    <n v="9.3000000000000007"/>
    <x v="1238"/>
  </r>
  <r>
    <n v="11"/>
    <n v="22"/>
    <n v="0"/>
    <n v="17"/>
    <n v="0"/>
    <n v="0"/>
    <x v="0"/>
    <x v="3"/>
    <s v="NHPC"/>
    <n v="386"/>
    <n v="8.9"/>
    <x v="770"/>
  </r>
  <r>
    <n v="15"/>
    <n v="22"/>
    <n v="0"/>
    <n v="5"/>
    <n v="1"/>
    <n v="0"/>
    <x v="0"/>
    <x v="20"/>
    <s v="Maha Transco â€“ Maharashtra State Electricity Transmission Co, Ltd."/>
    <n v="416"/>
    <n v="9.1999999999999993"/>
    <x v="1239"/>
  </r>
  <r>
    <n v="22"/>
    <n v="23"/>
    <n v="1"/>
    <n v="5"/>
    <n v="1"/>
    <n v="0"/>
    <x v="3"/>
    <x v="1"/>
    <s v="Bonfiglioli Transmission Pvt. Ltd."/>
    <n v="597"/>
    <n v="8.3000000000000007"/>
    <x v="543"/>
  </r>
  <r>
    <n v="14"/>
    <n v="22"/>
    <n v="1"/>
    <n v="5"/>
    <n v="1"/>
    <n v="0"/>
    <x v="12"/>
    <x v="17"/>
    <s v="Neueon Towers / Sujana Towers Ltd."/>
    <n v="451"/>
    <n v="8.8000000000000007"/>
    <x v="1227"/>
  </r>
  <r>
    <n v="23"/>
    <n v="22"/>
    <n v="2"/>
    <n v="14"/>
    <n v="1"/>
    <n v="0"/>
    <x v="9"/>
    <x v="0"/>
    <s v="Guj Ind Power"/>
    <n v="631"/>
    <n v="8.1"/>
    <x v="1240"/>
  </r>
  <r>
    <n v="10"/>
    <n v="19"/>
    <n v="1"/>
    <n v="9"/>
    <n v="1"/>
    <n v="0"/>
    <x v="1"/>
    <x v="28"/>
    <s v="Sunil Hitech Eng"/>
    <n v="493"/>
    <n v="8.8000000000000007"/>
    <x v="1241"/>
  </r>
  <r>
    <n v="22"/>
    <n v="22"/>
    <n v="3"/>
    <n v="6"/>
    <n v="12"/>
    <n v="0"/>
    <x v="3"/>
    <x v="17"/>
    <s v="Reliance Energy"/>
    <n v="680"/>
    <n v="8.8000000000000007"/>
    <x v="995"/>
  </r>
  <r>
    <n v="20"/>
    <n v="23"/>
    <n v="1"/>
    <n v="20"/>
    <n v="1"/>
    <n v="0"/>
    <x v="7"/>
    <x v="24"/>
    <s v="TransRail Lighting"/>
    <n v="494"/>
    <n v="7.6"/>
    <x v="550"/>
  </r>
  <r>
    <n v="15"/>
    <n v="22"/>
    <n v="3"/>
    <n v="18"/>
    <n v="1"/>
    <n v="0"/>
    <x v="11"/>
    <x v="5"/>
    <s v="Power Grid Corp"/>
    <n v="668"/>
    <n v="7.7"/>
    <x v="1242"/>
  </r>
  <r>
    <n v="23"/>
    <n v="23"/>
    <n v="3"/>
    <n v="8"/>
    <n v="1"/>
    <n v="0"/>
    <x v="7"/>
    <x v="20"/>
    <s v="Ratnagiri Gas and Power Pvt. Ltd. (RGPPL)"/>
    <n v="445"/>
    <n v="8.9"/>
    <x v="1243"/>
  </r>
  <r>
    <n v="22"/>
    <n v="22"/>
    <n v="2"/>
    <n v="21"/>
    <n v="1"/>
    <n v="0"/>
    <x v="7"/>
    <x v="29"/>
    <s v="TransRail Lighting"/>
    <n v="646"/>
    <n v="9.3000000000000007"/>
    <x v="1244"/>
  </r>
  <r>
    <n v="12"/>
    <n v="22"/>
    <n v="0"/>
    <n v="16"/>
    <n v="1"/>
    <n v="0"/>
    <x v="9"/>
    <x v="15"/>
    <s v="KEC International"/>
    <n v="563"/>
    <n v="9.3000000000000007"/>
    <x v="1245"/>
  </r>
  <r>
    <n v="21"/>
    <n v="22"/>
    <n v="1"/>
    <n v="12"/>
    <n v="1"/>
    <n v="0"/>
    <x v="2"/>
    <x v="9"/>
    <s v="KEC International"/>
    <n v="561"/>
    <n v="0"/>
    <x v="1246"/>
  </r>
  <r>
    <n v="10"/>
    <n v="20"/>
    <n v="2"/>
    <n v="10"/>
    <n v="1"/>
    <n v="0"/>
    <x v="0"/>
    <x v="23"/>
    <s v="NHPC"/>
    <n v="278"/>
    <n v="7.8"/>
    <x v="1247"/>
  </r>
  <r>
    <n v="21"/>
    <n v="23"/>
    <n v="0"/>
    <n v="7"/>
    <n v="1"/>
    <n v="0"/>
    <x v="10"/>
    <x v="0"/>
    <s v="NHPC"/>
    <n v="471"/>
    <n v="8.1"/>
    <x v="1248"/>
  </r>
  <r>
    <n v="11"/>
    <n v="23"/>
    <n v="2"/>
    <n v="12"/>
    <n v="1"/>
    <n v="0"/>
    <x v="6"/>
    <x v="14"/>
    <s v="Reliance Energy"/>
    <n v="544"/>
    <n v="7.6"/>
    <x v="1249"/>
  </r>
  <r>
    <n v="11"/>
    <n v="22"/>
    <n v="1"/>
    <n v="14"/>
    <n v="1"/>
    <n v="0"/>
    <x v="6"/>
    <x v="3"/>
    <s v="Neueon Towers / Sujana Towers Ltd."/>
    <n v="583"/>
    <n v="8.9"/>
    <x v="1250"/>
  </r>
  <r>
    <n v="7"/>
    <n v="17"/>
    <n v="2"/>
    <n v="21"/>
    <n v="1"/>
    <n v="0"/>
    <x v="10"/>
    <x v="5"/>
    <s v="Ringfeder Power Transmission India Pvt. Ltd."/>
    <n v="396"/>
    <n v="0"/>
    <x v="1251"/>
  </r>
  <r>
    <n v="11"/>
    <n v="0"/>
    <n v="3"/>
    <n v="8"/>
    <n v="1"/>
    <n v="0"/>
    <x v="2"/>
    <x v="16"/>
    <s v="KEC International"/>
    <n v="560"/>
    <n v="8.1999999999999993"/>
    <x v="1252"/>
  </r>
  <r>
    <n v="17"/>
    <n v="22"/>
    <n v="0"/>
    <n v="19"/>
    <n v="1"/>
    <n v="0"/>
    <x v="8"/>
    <x v="15"/>
    <s v="jyoti structure"/>
    <n v="525"/>
    <n v="9.3000000000000007"/>
    <x v="1253"/>
  </r>
  <r>
    <n v="23"/>
    <n v="22"/>
    <n v="1"/>
    <n v="6"/>
    <n v="1"/>
    <n v="0"/>
    <x v="9"/>
    <x v="20"/>
    <s v="Adani Power Ltd."/>
    <n v="547"/>
    <n v="0"/>
    <x v="1254"/>
  </r>
  <r>
    <n v="21"/>
    <n v="23"/>
    <n v="3"/>
    <n v="19"/>
    <n v="1"/>
    <n v="0"/>
    <x v="6"/>
    <x v="12"/>
    <s v="Toshiba Transmission &amp; Distribution Systems (India) Pvt. Ltd."/>
    <n v="535"/>
    <n v="8.6999999999999993"/>
    <x v="11"/>
  </r>
  <r>
    <n v="22"/>
    <n v="22"/>
    <n v="1"/>
    <n v="10"/>
    <n v="1"/>
    <n v="0"/>
    <x v="12"/>
    <x v="0"/>
    <s v="Neueon Towers / Sujana Towers Ltd."/>
    <n v="551"/>
    <n v="8.1"/>
    <x v="837"/>
  </r>
  <r>
    <n v="13"/>
    <n v="23"/>
    <n v="2"/>
    <n v="13"/>
    <n v="1"/>
    <n v="0"/>
    <x v="2"/>
    <x v="12"/>
    <s v="CESC"/>
    <n v="553"/>
    <n v="8.6999999999999993"/>
    <x v="1255"/>
  </r>
  <r>
    <n v="10"/>
    <n v="20"/>
    <n v="0"/>
    <n v="8"/>
    <n v="1"/>
    <n v="0"/>
    <x v="1"/>
    <x v="18"/>
    <s v="SJVN Ltd."/>
    <n v="293"/>
    <n v="8.3000000000000007"/>
    <x v="1256"/>
  </r>
  <r>
    <n v="6"/>
    <n v="18"/>
    <n v="0"/>
    <n v="12"/>
    <n v="1"/>
    <n v="0"/>
    <x v="2"/>
    <x v="30"/>
    <s v="NHPC"/>
    <n v="344"/>
    <n v="7.7"/>
    <x v="1257"/>
  </r>
  <r>
    <n v="12"/>
    <n v="22"/>
    <n v="0"/>
    <n v="13"/>
    <n v="1"/>
    <n v="0"/>
    <x v="9"/>
    <x v="7"/>
    <s v="Unitech Power Transmission Ltd."/>
    <n v="497"/>
    <n v="7.8"/>
    <x v="1258"/>
  </r>
  <r>
    <n v="10"/>
    <n v="20"/>
    <n v="0"/>
    <n v="7"/>
    <n v="0"/>
    <n v="0"/>
    <x v="8"/>
    <x v="7"/>
    <s v="NHPC"/>
    <n v="299"/>
    <n v="7.8"/>
    <x v="1259"/>
  </r>
  <r>
    <n v="6"/>
    <n v="20"/>
    <n v="1"/>
    <n v="8"/>
    <n v="1"/>
    <n v="0"/>
    <x v="9"/>
    <x v="0"/>
    <s v="Ringfeder Power Transmission India Pvt. Ltd."/>
    <n v="255"/>
    <n v="8.1"/>
    <x v="1260"/>
  </r>
  <r>
    <n v="19"/>
    <n v="23"/>
    <n v="3"/>
    <n v="19"/>
    <n v="1"/>
    <n v="0"/>
    <x v="12"/>
    <x v="8"/>
    <s v="Kalpataru Power"/>
    <n v="557"/>
    <n v="8.4"/>
    <x v="1261"/>
  </r>
  <r>
    <n v="8"/>
    <n v="19"/>
    <n v="1"/>
    <n v="12"/>
    <n v="1"/>
    <n v="0"/>
    <x v="1"/>
    <x v="10"/>
    <s v="Power Grid Corp"/>
    <n v="365"/>
    <n v="8.5"/>
    <x v="210"/>
  </r>
  <r>
    <n v="20"/>
    <n v="23"/>
    <n v="1"/>
    <n v="6"/>
    <n v="1"/>
    <n v="0"/>
    <x v="3"/>
    <x v="31"/>
    <s v="GE T&amp;D India Limited"/>
    <n v="422"/>
    <n v="8.5"/>
    <x v="1262"/>
  </r>
  <r>
    <n v="14"/>
    <n v="22"/>
    <n v="3"/>
    <n v="3"/>
    <n v="12"/>
    <n v="0"/>
    <x v="9"/>
    <x v="5"/>
    <s v="Indowind Energy"/>
    <n v="639"/>
    <n v="7.7"/>
    <x v="1263"/>
  </r>
  <r>
    <n v="20"/>
    <n v="22"/>
    <n v="1"/>
    <n v="22"/>
    <n v="12"/>
    <n v="0"/>
    <x v="2"/>
    <x v="4"/>
    <s v="Bonfiglioli Transmission Pvt. Ltd."/>
    <n v="690"/>
    <n v="8.6999999999999993"/>
    <x v="1264"/>
  </r>
  <r>
    <n v="14"/>
    <n v="22"/>
    <n v="2"/>
    <n v="6"/>
    <n v="1"/>
    <n v="0"/>
    <x v="2"/>
    <x v="6"/>
    <s v="Optibelt Power Transmission India Private Limited"/>
    <n v="320"/>
    <n v="9.1"/>
    <x v="1265"/>
  </r>
  <r>
    <n v="5"/>
    <n v="22"/>
    <n v="3"/>
    <n v="20"/>
    <n v="1"/>
    <n v="0"/>
    <x v="11"/>
    <x v="8"/>
    <s v="NHPC"/>
    <n v="438"/>
    <n v="8.4"/>
    <x v="1266"/>
  </r>
  <r>
    <n v="9"/>
    <n v="18"/>
    <n v="2"/>
    <n v="21"/>
    <n v="7"/>
    <n v="0"/>
    <x v="0"/>
    <x v="10"/>
    <s v="Kalpataru Power"/>
    <n v="424"/>
    <n v="8.5"/>
    <x v="1067"/>
  </r>
  <r>
    <n v="20"/>
    <n v="23"/>
    <n v="2"/>
    <n v="19"/>
    <n v="1"/>
    <n v="0"/>
    <x v="1"/>
    <x v="1"/>
    <s v="unknown"/>
    <n v="635"/>
    <n v="8.3000000000000007"/>
    <x v="1267"/>
  </r>
  <r>
    <n v="10"/>
    <n v="17"/>
    <n v="0"/>
    <n v="18"/>
    <n v="7"/>
    <n v="0"/>
    <x v="2"/>
    <x v="8"/>
    <s v="jaiprakash power"/>
    <n v="561"/>
    <n v="8.4"/>
    <x v="1268"/>
  </r>
  <r>
    <n v="11"/>
    <n v="23"/>
    <n v="3"/>
    <n v="4"/>
    <n v="1"/>
    <n v="0"/>
    <x v="2"/>
    <x v="13"/>
    <s v="Jaiprakash Power"/>
    <n v="443"/>
    <n v="9.1999999999999993"/>
    <x v="24"/>
  </r>
  <r>
    <n v="21"/>
    <n v="23"/>
    <n v="0"/>
    <n v="13"/>
    <n v="1"/>
    <n v="0"/>
    <x v="1"/>
    <x v="9"/>
    <s v="Reliance Power"/>
    <n v="0"/>
    <n v="7.9"/>
    <x v="1269"/>
  </r>
  <r>
    <n v="17"/>
    <n v="22"/>
    <n v="1"/>
    <n v="0"/>
    <n v="1"/>
    <n v="0"/>
    <x v="1"/>
    <x v="10"/>
    <s v="KEC International"/>
    <n v="471"/>
    <n v="8.5"/>
    <x v="1270"/>
  </r>
  <r>
    <n v="23"/>
    <n v="0"/>
    <n v="0"/>
    <n v="18"/>
    <n v="12"/>
    <n v="0"/>
    <x v="8"/>
    <x v="5"/>
    <s v="GE T&amp;D India Limited"/>
    <n v="673"/>
    <n v="7.7"/>
    <x v="1271"/>
  </r>
  <r>
    <n v="14"/>
    <n v="0"/>
    <n v="0"/>
    <n v="17"/>
    <n v="0"/>
    <n v="0"/>
    <x v="5"/>
    <x v="15"/>
    <s v="Jaiprakash Power"/>
    <n v="580"/>
    <n v="9.3000000000000007"/>
    <x v="1272"/>
  </r>
  <r>
    <n v="10"/>
    <n v="18"/>
    <n v="0"/>
    <n v="7"/>
    <n v="1"/>
    <n v="0"/>
    <x v="1"/>
    <x v="6"/>
    <s v="Jyoti Structure"/>
    <n v="274"/>
    <s v="nan "/>
    <x v="1273"/>
  </r>
  <r>
    <n v="6"/>
    <n v="22"/>
    <n v="3"/>
    <n v="21"/>
    <n v="1"/>
    <n v="0"/>
    <x v="12"/>
    <x v="22"/>
    <s v="Toshiba Transmission &amp; Distribution Systems (India) Pvt. Ltd."/>
    <n v="716"/>
    <n v="7.4"/>
    <x v="1274"/>
  </r>
  <r>
    <n v="10"/>
    <n v="20"/>
    <n v="2"/>
    <n v="22"/>
    <n v="1"/>
    <n v="0"/>
    <x v="0"/>
    <x v="30"/>
    <s v="Jaiprakash Power"/>
    <n v="373"/>
    <n v="7.7"/>
    <x v="1275"/>
  </r>
  <r>
    <n v="0"/>
    <n v="22"/>
    <n v="0"/>
    <n v="9"/>
    <n v="1"/>
    <n v="0"/>
    <x v="8"/>
    <x v="22"/>
    <s v="Ratnagiri Gas and Power Pvt. Ltd. (RGPPL)"/>
    <n v="485"/>
    <n v="8.9"/>
    <x v="1276"/>
  </r>
  <r>
    <n v="8"/>
    <n v="17"/>
    <n v="3"/>
    <n v="6"/>
    <n v="1"/>
    <n v="0"/>
    <x v="9"/>
    <x v="5"/>
    <s v="Jaiprakash Power"/>
    <n v="268"/>
    <n v="7.7"/>
    <x v="1277"/>
  </r>
  <r>
    <n v="9"/>
    <n v="22"/>
    <n v="1"/>
    <n v="20"/>
    <n v="1"/>
    <n v="0"/>
    <x v="8"/>
    <x v="15"/>
    <s v="Ratnagiri Gas and Power Pvt. Ltd. (RGPPL)"/>
    <n v="649"/>
    <n v="9.3000000000000007"/>
    <x v="1278"/>
  </r>
  <r>
    <n v="23"/>
    <n v="22"/>
    <n v="3"/>
    <n v="20"/>
    <n v="1"/>
    <n v="0"/>
    <x v="5"/>
    <x v="5"/>
    <s v="Unitech Power Transmission Ltd."/>
    <n v="675"/>
    <n v="7.7"/>
    <x v="1279"/>
  </r>
  <r>
    <n v="11"/>
    <n v="22"/>
    <n v="1"/>
    <n v="17"/>
    <n v="12"/>
    <n v="0"/>
    <x v="9"/>
    <x v="17"/>
    <s v="Bonfiglioli Transmission Pvt. Ltd."/>
    <n v="753"/>
    <n v="8.8000000000000007"/>
    <x v="1280"/>
  </r>
  <r>
    <n v="14"/>
    <n v="0"/>
    <n v="1"/>
    <n v="0"/>
    <n v="1"/>
    <n v="0"/>
    <x v="1"/>
    <x v="4"/>
    <s v="NLC India"/>
    <n v="628"/>
    <n v="8.6999999999999993"/>
    <x v="1281"/>
  </r>
  <r>
    <n v="15"/>
    <n v="22"/>
    <n v="1"/>
    <n v="11"/>
    <n v="1"/>
    <n v="0"/>
    <x v="7"/>
    <x v="3"/>
    <s v="Unitech Power Transmission Ltd."/>
    <n v="0"/>
    <n v="8.9"/>
    <x v="1282"/>
  </r>
  <r>
    <n v="19"/>
    <n v="23"/>
    <n v="2"/>
    <n v="8"/>
    <n v="1"/>
    <n v="0"/>
    <x v="8"/>
    <x v="18"/>
    <s v="Power Grid Corp"/>
    <n v="590"/>
    <n v="8.3000000000000007"/>
    <x v="1283"/>
  </r>
  <r>
    <n v="10"/>
    <n v="21"/>
    <n v="1"/>
    <n v="13"/>
    <n v="1"/>
    <n v="0"/>
    <x v="4"/>
    <x v="7"/>
    <s v="Neueon Towers / Sujana Towers Ltd."/>
    <n v="479"/>
    <n v="7.8"/>
    <x v="21"/>
  </r>
  <r>
    <n v="23"/>
    <n v="22"/>
    <n v="2"/>
    <n v="12"/>
    <n v="12"/>
    <n v="0"/>
    <x v="6"/>
    <x v="7"/>
    <s v="Maha Transco â€“ Maharashtra State Electricity Transmission Co, Ltd."/>
    <n v="735"/>
    <n v="7.8"/>
    <x v="1284"/>
  </r>
  <r>
    <n v="17"/>
    <n v="22"/>
    <n v="0"/>
    <n v="20"/>
    <n v="1"/>
    <n v="0"/>
    <x v="5"/>
    <x v="10"/>
    <s v="Torrent Power Ltd."/>
    <n v="489"/>
    <n v="8.5"/>
    <x v="1285"/>
  </r>
  <r>
    <n v="11"/>
    <n v="22"/>
    <n v="0"/>
    <n v="4"/>
    <n v="1"/>
    <n v="0"/>
    <x v="2"/>
    <x v="8"/>
    <s v="Reliance Energy"/>
    <n v="321"/>
    <n v="0"/>
    <x v="1286"/>
  </r>
  <r>
    <n v="10"/>
    <n v="17"/>
    <n v="1"/>
    <n v="6"/>
    <n v="1"/>
    <n v="0"/>
    <x v="3"/>
    <x v="0"/>
    <s v="Bonfiglioli Transmission Pvt. Ltd."/>
    <n v="404"/>
    <n v="8.1"/>
    <x v="1287"/>
  </r>
  <r>
    <n v="16"/>
    <n v="23"/>
    <n v="2"/>
    <n v="16"/>
    <n v="1"/>
    <n v="0"/>
    <x v="11"/>
    <x v="13"/>
    <s v="Optibelt Power Transmission India Private Limited"/>
    <n v="470"/>
    <n v="9.1999999999999993"/>
    <x v="1288"/>
  </r>
  <r>
    <n v="15"/>
    <n v="23"/>
    <n v="0"/>
    <n v="17"/>
    <n v="1"/>
    <n v="0"/>
    <x v="12"/>
    <x v="17"/>
    <s v="NHPC"/>
    <n v="528"/>
    <n v="8.8000000000000007"/>
    <x v="1289"/>
  </r>
  <r>
    <n v="22"/>
    <n v="23"/>
    <n v="2"/>
    <n v="0"/>
    <n v="1"/>
    <n v="0"/>
    <x v="2"/>
    <x v="9"/>
    <s v="KEC International"/>
    <n v="517"/>
    <n v="7.9"/>
    <x v="728"/>
  </r>
  <r>
    <n v="22"/>
    <n v="0"/>
    <n v="1"/>
    <n v="5"/>
    <n v="1"/>
    <n v="0"/>
    <x v="12"/>
    <x v="0"/>
    <s v="Kalpataru Power"/>
    <n v="460"/>
    <n v="8.1"/>
    <x v="0"/>
  </r>
  <r>
    <n v="23"/>
    <n v="23"/>
    <n v="0"/>
    <n v="14"/>
    <n v="1"/>
    <n v="0"/>
    <x v="0"/>
    <x v="19"/>
    <s v="Power Grid Corp"/>
    <n v="596"/>
    <n v="7.4"/>
    <x v="94"/>
  </r>
  <r>
    <n v="5"/>
    <n v="19"/>
    <n v="0"/>
    <n v="13"/>
    <n v="1"/>
    <n v="0"/>
    <x v="8"/>
    <x v="14"/>
    <s v="Sterlite Power Transmission Ltd"/>
    <n v="257"/>
    <n v="7.6"/>
    <x v="1290"/>
  </r>
  <r>
    <n v="19"/>
    <n v="22"/>
    <n v="0"/>
    <n v="10"/>
    <n v="12"/>
    <n v="0"/>
    <x v="0"/>
    <x v="4"/>
    <s v="JSW Energy Ltd."/>
    <n v="401"/>
    <n v="8.6999999999999993"/>
    <x v="1291"/>
  </r>
  <r>
    <n v="23"/>
    <n v="22"/>
    <n v="0"/>
    <n v="7"/>
    <n v="1"/>
    <n v="0"/>
    <x v="8"/>
    <x v="4"/>
    <s v="Unitech Power Transmission Ltd."/>
    <n v="575"/>
    <n v="8.6999999999999993"/>
    <x v="24"/>
  </r>
  <r>
    <n v="19"/>
    <n v="22"/>
    <n v="0"/>
    <n v="9"/>
    <n v="12"/>
    <n v="0"/>
    <x v="5"/>
    <x v="3"/>
    <s v="Jyoti Structure"/>
    <n v="683"/>
    <n v="8.9"/>
    <x v="1292"/>
  </r>
  <r>
    <n v="21"/>
    <n v="23"/>
    <n v="3"/>
    <n v="8"/>
    <n v="1"/>
    <n v="0"/>
    <x v="8"/>
    <x v="12"/>
    <s v="Kalpataru Power"/>
    <n v="505"/>
    <n v="8.6999999999999993"/>
    <x v="1293"/>
  </r>
  <r>
    <n v="14"/>
    <n v="23"/>
    <n v="2"/>
    <n v="16"/>
    <n v="1"/>
    <n v="0"/>
    <x v="5"/>
    <x v="4"/>
    <s v="Maha Transco â€“ Maharashtra State Electricity Transmission Co, Ltd."/>
    <n v="709"/>
    <n v="8.6999999999999993"/>
    <x v="1294"/>
  </r>
  <r>
    <n v="15"/>
    <n v="22"/>
    <n v="1"/>
    <n v="3"/>
    <n v="12"/>
    <n v="0"/>
    <x v="5"/>
    <x v="7"/>
    <s v="Sunil Hitech Eng"/>
    <n v="501"/>
    <n v="7.8"/>
    <x v="1295"/>
  </r>
  <r>
    <n v="9"/>
    <n v="20"/>
    <n v="2"/>
    <n v="0"/>
    <n v="7"/>
    <n v="0"/>
    <x v="6"/>
    <x v="5"/>
    <s v="Unitech Power Transmission Ltd."/>
    <n v="607"/>
    <n v="7.7"/>
    <x v="1296"/>
  </r>
  <r>
    <n v="11"/>
    <n v="22"/>
    <n v="3"/>
    <n v="14"/>
    <n v="1"/>
    <n v="0"/>
    <x v="7"/>
    <x v="8"/>
    <s v="sterlite power transmission ltd"/>
    <n v="528"/>
    <n v="8.4"/>
    <x v="238"/>
  </r>
  <r>
    <n v="11"/>
    <n v="23"/>
    <n v="2"/>
    <n v="11"/>
    <n v="1"/>
    <n v="0"/>
    <x v="0"/>
    <x v="32"/>
    <s v="Ratnagiri Gas and Power Pvt. Ltd. (RGPPL)"/>
    <n v="457"/>
    <n v="9.1999999999999993"/>
    <x v="1297"/>
  </r>
  <r>
    <n v="16"/>
    <n v="23"/>
    <n v="2"/>
    <n v="4"/>
    <n v="1"/>
    <n v="0"/>
    <x v="3"/>
    <x v="7"/>
    <s v="unknown"/>
    <n v="459"/>
    <n v="7.8"/>
    <x v="1018"/>
  </r>
  <r>
    <n v="9"/>
    <n v="19"/>
    <n v="3"/>
    <n v="17"/>
    <n v="1"/>
    <n v="0"/>
    <x v="9"/>
    <x v="6"/>
    <s v="NTPC Pvt. Ltd."/>
    <n v="396"/>
    <n v="9.1"/>
    <x v="24"/>
  </r>
  <r>
    <n v="23"/>
    <n v="23"/>
    <n v="3"/>
    <n v="13"/>
    <n v="1"/>
    <n v="0"/>
    <x v="4"/>
    <x v="24"/>
    <s v="NTPC Pvt. Ltd."/>
    <n v="689"/>
    <n v="7.6"/>
    <x v="1298"/>
  </r>
  <r>
    <n v="11"/>
    <n v="0"/>
    <n v="3"/>
    <n v="7"/>
    <n v="1"/>
    <n v="0"/>
    <x v="5"/>
    <x v="1"/>
    <s v="Guj Ind Power"/>
    <n v="623"/>
    <n v="8.3000000000000007"/>
    <x v="1299"/>
  </r>
  <r>
    <n v="16"/>
    <n v="23"/>
    <n v="1"/>
    <n v="3"/>
    <n v="0"/>
    <n v="0"/>
    <x v="7"/>
    <x v="9"/>
    <s v="Torrent Power Ltd."/>
    <n v="626"/>
    <n v="7.9"/>
    <x v="1211"/>
  </r>
  <r>
    <n v="20"/>
    <n v="23"/>
    <n v="2"/>
    <n v="22"/>
    <n v="1"/>
    <n v="0"/>
    <x v="2"/>
    <x v="14"/>
    <s v="torrent power ltd."/>
    <n v="528"/>
    <n v="7.6"/>
    <x v="24"/>
  </r>
  <r>
    <n v="11"/>
    <n v="22"/>
    <n v="0"/>
    <n v="5"/>
    <n v="12"/>
    <n v="0"/>
    <x v="5"/>
    <x v="9"/>
    <s v="TransRail Lighting"/>
    <n v="611"/>
    <n v="7.9"/>
    <x v="1300"/>
  </r>
  <r>
    <n v="6"/>
    <n v="23"/>
    <n v="1"/>
    <n v="18"/>
    <n v="1"/>
    <n v="0"/>
    <x v="11"/>
    <x v="14"/>
    <s v="Bonfiglioli Transmission Pvt. Ltd."/>
    <n v="432"/>
    <n v="7.6"/>
    <x v="1301"/>
  </r>
  <r>
    <n v="11"/>
    <n v="23"/>
    <n v="0"/>
    <n v="7"/>
    <n v="1"/>
    <n v="0"/>
    <x v="7"/>
    <x v="8"/>
    <s v="Ringfeder Power Transmission India Pvt. Ltd."/>
    <n v="394"/>
    <n v="8.4"/>
    <x v="1302"/>
  </r>
  <r>
    <n v="21"/>
    <n v="23"/>
    <n v="2"/>
    <n v="18"/>
    <n v="1"/>
    <n v="0"/>
    <x v="9"/>
    <x v="28"/>
    <s v="reliance energy"/>
    <n v="0"/>
    <n v="8.8000000000000007"/>
    <x v="1303"/>
  </r>
  <r>
    <n v="7"/>
    <n v="19"/>
    <n v="3"/>
    <n v="5"/>
    <n v="1"/>
    <n v="0"/>
    <x v="1"/>
    <x v="19"/>
    <s v="reliance power"/>
    <n v="470"/>
    <n v="7.4"/>
    <x v="1304"/>
  </r>
  <r>
    <n v="21"/>
    <n v="22"/>
    <n v="0"/>
    <n v="4"/>
    <n v="1"/>
    <n v="0"/>
    <x v="9"/>
    <x v="17"/>
    <s v="CESC"/>
    <n v="452"/>
    <n v="8.8000000000000007"/>
    <x v="1305"/>
  </r>
  <r>
    <n v="18"/>
    <n v="22"/>
    <n v="3"/>
    <n v="11"/>
    <n v="1"/>
    <n v="0"/>
    <x v="3"/>
    <x v="5"/>
    <s v="KEC International"/>
    <n v="538"/>
    <n v="7.7"/>
    <x v="1306"/>
  </r>
  <r>
    <n v="12"/>
    <n v="22"/>
    <n v="1"/>
    <n v="19"/>
    <n v="12"/>
    <n v="0"/>
    <x v="12"/>
    <x v="17"/>
    <s v="KEC International"/>
    <n v="706"/>
    <n v="0"/>
    <x v="1307"/>
  </r>
  <r>
    <n v="23"/>
    <n v="22"/>
    <n v="2"/>
    <n v="11"/>
    <n v="0"/>
    <n v="0"/>
    <x v="11"/>
    <x v="6"/>
    <s v="Maha Transco â€“ Maharashtra State Electricity Transmission Co, Ltd."/>
    <n v="419"/>
    <n v="9.1"/>
    <x v="1308"/>
  </r>
  <r>
    <n v="6"/>
    <n v="22"/>
    <n v="1"/>
    <n v="16"/>
    <n v="1"/>
    <n v="0"/>
    <x v="1"/>
    <x v="15"/>
    <s v="Torrent Power Ltd."/>
    <n v="437"/>
    <n v="9.3000000000000007"/>
    <x v="1309"/>
  </r>
  <r>
    <n v="23"/>
    <n v="23"/>
    <n v="3"/>
    <n v="10"/>
    <n v="1"/>
    <n v="0"/>
    <x v="2"/>
    <x v="1"/>
    <s v="Maha Transco â€“ Maharashtra State Electricity Transmission Co, Ltd."/>
    <n v="530"/>
    <n v="8.3000000000000007"/>
    <x v="1310"/>
  </r>
  <r>
    <n v="14"/>
    <n v="22"/>
    <n v="3"/>
    <n v="22"/>
    <n v="1"/>
    <n v="0"/>
    <x v="4"/>
    <x v="7"/>
    <s v="Neueon Towers / Sujana Towers Ltd."/>
    <n v="733"/>
    <n v="7.8"/>
    <x v="1311"/>
  </r>
  <r>
    <n v="5"/>
    <n v="23"/>
    <n v="3"/>
    <n v="15"/>
    <n v="1"/>
    <n v="0"/>
    <x v="5"/>
    <x v="10"/>
    <s v="Sunil Hitech Eng"/>
    <n v="673"/>
    <n v="8.5"/>
    <x v="1312"/>
  </r>
  <r>
    <n v="9"/>
    <n v="22"/>
    <n v="3"/>
    <n v="14"/>
    <n v="1"/>
    <n v="0"/>
    <x v="10"/>
    <x v="14"/>
    <s v="Tata Power Company Ltd."/>
    <n v="671"/>
    <n v="7.6"/>
    <x v="1313"/>
  </r>
  <r>
    <n v="23"/>
    <n v="23"/>
    <n v="3"/>
    <n v="7"/>
    <n v="1"/>
    <n v="0"/>
    <x v="2"/>
    <x v="5"/>
    <s v="Toshiba Transmission &amp; Distribution Systems (India) Pvt. Ltd."/>
    <n v="500"/>
    <n v="7.7"/>
    <x v="1314"/>
  </r>
  <r>
    <n v="7"/>
    <n v="20"/>
    <n v="3"/>
    <n v="16"/>
    <n v="1"/>
    <n v="0"/>
    <x v="8"/>
    <x v="0"/>
    <s v="bonfiglioli transmission pvt. ltd."/>
    <n v="578"/>
    <n v="8.1"/>
    <x v="1315"/>
  </r>
  <r>
    <n v="13"/>
    <n v="22"/>
    <n v="2"/>
    <n v="9"/>
    <n v="12"/>
    <n v="0"/>
    <x v="9"/>
    <x v="13"/>
    <s v="Bonfiglioli Transmission Pvt. Ltd."/>
    <n v="534"/>
    <n v="9.1999999999999993"/>
    <x v="343"/>
  </r>
  <r>
    <n v="19"/>
    <n v="22"/>
    <n v="1"/>
    <n v="5"/>
    <n v="12"/>
    <n v="0"/>
    <x v="0"/>
    <x v="15"/>
    <s v="Bonfiglioli Transmission Pvt. Ltd."/>
    <n v="0"/>
    <n v="9.3000000000000007"/>
    <x v="1316"/>
  </r>
  <r>
    <n v="16"/>
    <n v="22"/>
    <n v="2"/>
    <n v="21"/>
    <n v="12"/>
    <n v="0"/>
    <x v="9"/>
    <x v="13"/>
    <s v="Maha Transco â€“ Maharashtra State Electricity Transmission Co, Ltd."/>
    <n v="814"/>
    <n v="9.1999999999999993"/>
    <x v="1317"/>
  </r>
  <r>
    <n v="13"/>
    <n v="23"/>
    <n v="0"/>
    <n v="16"/>
    <n v="1"/>
    <n v="0"/>
    <x v="8"/>
    <x v="28"/>
    <s v="Neueon Towers / Sujana Towers Ltd."/>
    <n v="567"/>
    <n v="8.8000000000000007"/>
    <x v="895"/>
  </r>
  <r>
    <n v="13"/>
    <n v="23"/>
    <n v="3"/>
    <n v="16"/>
    <n v="1"/>
    <n v="0"/>
    <x v="8"/>
    <x v="6"/>
    <s v="reliance power"/>
    <n v="699"/>
    <n v="9.1"/>
    <x v="394"/>
  </r>
  <r>
    <n v="19"/>
    <n v="22"/>
    <n v="2"/>
    <n v="3"/>
    <n v="1"/>
    <n v="0"/>
    <x v="8"/>
    <x v="16"/>
    <s v="unknown"/>
    <n v="489"/>
    <n v="8.1999999999999993"/>
    <x v="1318"/>
  </r>
  <r>
    <n v="13"/>
    <n v="22"/>
    <n v="0"/>
    <n v="9"/>
    <n v="1"/>
    <n v="0"/>
    <x v="1"/>
    <x v="14"/>
    <s v="Neueon Towers / Sujana Towers Ltd."/>
    <n v="363"/>
    <n v="7.6"/>
    <x v="1088"/>
  </r>
  <r>
    <n v="16"/>
    <n v="22"/>
    <n v="2"/>
    <n v="7"/>
    <n v="1"/>
    <n v="0"/>
    <x v="6"/>
    <x v="8"/>
    <s v="Sterlite Power Transmission Ltd"/>
    <n v="482"/>
    <n v="8.4"/>
    <x v="1319"/>
  </r>
  <r>
    <n v="10"/>
    <n v="19"/>
    <n v="2"/>
    <n v="10"/>
    <n v="1"/>
    <n v="0"/>
    <x v="3"/>
    <x v="5"/>
    <s v="Maha Transco â€“ Maharashtra State Electricity Transmission Co, Ltd."/>
    <n v="542"/>
    <n v="7.7"/>
    <x v="1320"/>
  </r>
  <r>
    <n v="13"/>
    <n v="22"/>
    <n v="1"/>
    <n v="21"/>
    <n v="12"/>
    <n v="0"/>
    <x v="2"/>
    <x v="10"/>
    <s v="Maha Transco â€“ Maharashtra State Electricity Transmission Co, Ltd."/>
    <n v="646"/>
    <n v="8.5"/>
    <x v="1321"/>
  </r>
  <r>
    <n v="11"/>
    <n v="22"/>
    <n v="0"/>
    <n v="12"/>
    <n v="1"/>
    <n v="0"/>
    <x v="2"/>
    <x v="10"/>
    <s v="Orient Green"/>
    <n v="479"/>
    <n v="8.5"/>
    <x v="1322"/>
  </r>
  <r>
    <n v="13"/>
    <n v="22"/>
    <n v="0"/>
    <n v="6"/>
    <n v="1"/>
    <n v="0"/>
    <x v="12"/>
    <x v="10"/>
    <s v="Sterlite Power Transmission Ltd"/>
    <n v="361"/>
    <n v="0"/>
    <x v="1323"/>
  </r>
  <r>
    <n v="19"/>
    <n v="22"/>
    <n v="0"/>
    <n v="7"/>
    <n v="12"/>
    <n v="0"/>
    <x v="5"/>
    <x v="14"/>
    <s v="Maha Transco â€“ Maharashtra State Electricity Transmission Co, Ltd."/>
    <n v="636"/>
    <n v="7.6"/>
    <x v="1324"/>
  </r>
  <r>
    <n v="10"/>
    <n v="23"/>
    <n v="2"/>
    <n v="19"/>
    <n v="1"/>
    <n v="0"/>
    <x v="11"/>
    <x v="5"/>
    <s v="nlc india"/>
    <n v="472"/>
    <n v="7.7"/>
    <x v="1325"/>
  </r>
  <r>
    <n v="17"/>
    <n v="23"/>
    <n v="3"/>
    <n v="3"/>
    <n v="1"/>
    <n v="0"/>
    <x v="3"/>
    <x v="17"/>
    <s v="Neueon Towers / Sujana Towers Ltd."/>
    <n v="513"/>
    <n v="8.8000000000000007"/>
    <x v="1326"/>
  </r>
  <r>
    <n v="0"/>
    <n v="22"/>
    <n v="2"/>
    <n v="9"/>
    <n v="1"/>
    <n v="0"/>
    <x v="0"/>
    <x v="3"/>
    <s v="KEC International"/>
    <n v="531"/>
    <n v="8.9"/>
    <x v="1327"/>
  </r>
  <r>
    <n v="23"/>
    <n v="22"/>
    <n v="1"/>
    <n v="18"/>
    <n v="1"/>
    <n v="0"/>
    <x v="10"/>
    <x v="1"/>
    <s v="Unitech Power Transmission Ltd."/>
    <n v="454"/>
    <n v="8.3000000000000007"/>
    <x v="1328"/>
  </r>
  <r>
    <n v="19"/>
    <n v="22"/>
    <n v="2"/>
    <n v="12"/>
    <n v="1"/>
    <n v="0"/>
    <x v="1"/>
    <x v="5"/>
    <s v="Adani Power Ltd."/>
    <n v="524"/>
    <n v="0"/>
    <x v="759"/>
  </r>
  <r>
    <n v="5"/>
    <n v="23"/>
    <n v="1"/>
    <n v="10"/>
    <n v="1"/>
    <n v="0"/>
    <x v="4"/>
    <x v="8"/>
    <s v="Ringfeder Power Transmission India Pvt. Ltd."/>
    <n v="389"/>
    <n v="8.4"/>
    <x v="973"/>
  </r>
  <r>
    <n v="19"/>
    <n v="23"/>
    <n v="1"/>
    <n v="17"/>
    <n v="1"/>
    <n v="0"/>
    <x v="8"/>
    <x v="9"/>
    <s v="Maha Transco â€“ Maharashtra State Electricity Transmission Co, Ltd."/>
    <n v="560"/>
    <n v="7.9"/>
    <x v="1329"/>
  </r>
  <r>
    <n v="23"/>
    <n v="22"/>
    <n v="0"/>
    <n v="6"/>
    <n v="1"/>
    <n v="0"/>
    <x v="10"/>
    <x v="16"/>
    <s v="Toshiba Transmission &amp; Distribution Systems (India) Pvt. Ltd."/>
    <n v="584"/>
    <n v="8.1999999999999993"/>
    <x v="1330"/>
  </r>
  <r>
    <n v="5"/>
    <n v="18"/>
    <n v="2"/>
    <n v="22"/>
    <n v="1"/>
    <n v="0"/>
    <x v="3"/>
    <x v="16"/>
    <s v="Tata Power Company Ltd."/>
    <n v="363"/>
    <n v="8.1999999999999993"/>
    <x v="1331"/>
  </r>
  <r>
    <n v="6"/>
    <n v="17"/>
    <n v="1"/>
    <n v="5"/>
    <n v="7"/>
    <n v="0"/>
    <x v="3"/>
    <x v="19"/>
    <s v="L&amp;T Transmission &amp; Distribution"/>
    <n v="364"/>
    <n v="7.4"/>
    <x v="1124"/>
  </r>
  <r>
    <n v="15"/>
    <n v="22"/>
    <n v="2"/>
    <n v="10"/>
    <n v="12"/>
    <n v="0"/>
    <x v="11"/>
    <x v="10"/>
    <s v="TransRail Lighting"/>
    <n v="514"/>
    <n v="8.5"/>
    <x v="1332"/>
  </r>
  <r>
    <n v="22"/>
    <n v="22"/>
    <n v="2"/>
    <n v="18"/>
    <n v="1"/>
    <n v="0"/>
    <x v="11"/>
    <x v="20"/>
    <s v="Guj Ind Power"/>
    <n v="660"/>
    <n v="8.9"/>
    <x v="1333"/>
  </r>
  <r>
    <n v="12"/>
    <n v="23"/>
    <n v="2"/>
    <n v="18"/>
    <n v="12"/>
    <n v="0"/>
    <x v="1"/>
    <x v="5"/>
    <s v="Orient Green"/>
    <n v="746"/>
    <n v="7.7"/>
    <x v="1334"/>
  </r>
  <r>
    <n v="9"/>
    <n v="19"/>
    <n v="1"/>
    <n v="21"/>
    <n v="1"/>
    <n v="0"/>
    <x v="5"/>
    <x v="10"/>
    <s v="SJVN Ltd."/>
    <n v="490"/>
    <n v="8.5"/>
    <x v="205"/>
  </r>
  <r>
    <n v="19"/>
    <n v="22"/>
    <n v="3"/>
    <n v="16"/>
    <n v="1"/>
    <n v="0"/>
    <x v="2"/>
    <x v="5"/>
    <s v="Reliance Energy"/>
    <n v="710"/>
    <n v="7.7"/>
    <x v="1335"/>
  </r>
  <r>
    <n v="0"/>
    <n v="0"/>
    <n v="2"/>
    <n v="9"/>
    <n v="1"/>
    <n v="0"/>
    <x v="11"/>
    <x v="9"/>
    <s v="L&amp;T Transmission &amp; Distribution"/>
    <n v="501"/>
    <n v="7.9"/>
    <x v="59"/>
  </r>
  <r>
    <n v="17"/>
    <n v="22"/>
    <n v="3"/>
    <n v="18"/>
    <n v="1"/>
    <n v="0"/>
    <x v="9"/>
    <x v="16"/>
    <s v="kalpataru power"/>
    <n v="537"/>
    <n v="8.1999999999999993"/>
    <x v="1336"/>
  </r>
  <r>
    <n v="14"/>
    <n v="23"/>
    <n v="0"/>
    <n v="17"/>
    <n v="1"/>
    <n v="0"/>
    <x v="9"/>
    <x v="7"/>
    <s v="Adani Power Ltd."/>
    <n v="553"/>
    <n v="7.8"/>
    <x v="1337"/>
  </r>
  <r>
    <n v="15"/>
    <n v="23"/>
    <n v="1"/>
    <n v="17"/>
    <n v="0"/>
    <n v="0"/>
    <x v="5"/>
    <x v="2"/>
    <s v="Maha Transco â€“ Maharashtra State Electricity Transmission Co, Ltd."/>
    <n v="537"/>
    <n v="8.9"/>
    <x v="332"/>
  </r>
  <r>
    <n v="8"/>
    <n v="20"/>
    <n v="1"/>
    <n v="7"/>
    <n v="7"/>
    <n v="0"/>
    <x v="7"/>
    <x v="10"/>
    <s v="KEC International"/>
    <n v="495"/>
    <n v="8.5"/>
    <x v="1338"/>
  </r>
  <r>
    <n v="16"/>
    <n v="23"/>
    <n v="0"/>
    <n v="9"/>
    <n v="1"/>
    <n v="0"/>
    <x v="8"/>
    <x v="4"/>
    <s v="Neueon Towers / Sujana Towers Ltd."/>
    <n v="640"/>
    <n v="8.6999999999999993"/>
    <x v="1339"/>
  </r>
  <r>
    <n v="20"/>
    <n v="23"/>
    <n v="3"/>
    <n v="4"/>
    <n v="1"/>
    <n v="0"/>
    <x v="2"/>
    <x v="15"/>
    <s v="transrail lighting"/>
    <n v="523"/>
    <n v="9.3000000000000007"/>
    <x v="1340"/>
  </r>
  <r>
    <n v="10"/>
    <n v="23"/>
    <n v="0"/>
    <n v="22"/>
    <n v="1"/>
    <n v="0"/>
    <x v="12"/>
    <x v="9"/>
    <s v="Jyoti Structure"/>
    <n v="657"/>
    <n v="7.9"/>
    <x v="1341"/>
  </r>
  <r>
    <n v="21"/>
    <n v="23"/>
    <n v="3"/>
    <n v="12"/>
    <n v="1"/>
    <n v="0"/>
    <x v="2"/>
    <x v="19"/>
    <s v="Power Grid Corp"/>
    <n v="511"/>
    <n v="7.4"/>
    <x v="136"/>
  </r>
  <r>
    <n v="11"/>
    <n v="22"/>
    <n v="3"/>
    <n v="8"/>
    <n v="1"/>
    <n v="0"/>
    <x v="9"/>
    <x v="3"/>
    <s v="TransRail Lighting"/>
    <n v="529"/>
    <n v="8.9"/>
    <x v="1342"/>
  </r>
  <r>
    <n v="17"/>
    <n v="22"/>
    <n v="0"/>
    <n v="3"/>
    <n v="1"/>
    <n v="0"/>
    <x v="11"/>
    <x v="14"/>
    <s v="Tata Power Company Ltd."/>
    <n v="355"/>
    <n v="7.6"/>
    <x v="1343"/>
  </r>
  <r>
    <n v="6"/>
    <n v="22"/>
    <n v="1"/>
    <n v="20"/>
    <n v="1"/>
    <n v="0"/>
    <x v="11"/>
    <x v="17"/>
    <s v="NTPC Pvt. Ltd."/>
    <n v="407"/>
    <n v="8.8000000000000007"/>
    <x v="356"/>
  </r>
  <r>
    <n v="10"/>
    <n v="21"/>
    <n v="0"/>
    <n v="20"/>
    <n v="1"/>
    <n v="0"/>
    <x v="4"/>
    <x v="25"/>
    <s v="Kalpataru Power"/>
    <n v="425"/>
    <n v="8.1999999999999993"/>
    <x v="1344"/>
  </r>
  <r>
    <n v="21"/>
    <n v="22"/>
    <n v="3"/>
    <n v="20"/>
    <n v="1"/>
    <n v="0"/>
    <x v="6"/>
    <x v="9"/>
    <s v="KEC International"/>
    <n v="522"/>
    <n v="7.9"/>
    <x v="1345"/>
  </r>
  <r>
    <n v="11"/>
    <n v="23"/>
    <n v="2"/>
    <n v="0"/>
    <n v="1"/>
    <n v="0"/>
    <x v="0"/>
    <x v="8"/>
    <s v="Orient Green"/>
    <n v="397"/>
    <n v="8.4"/>
    <x v="1346"/>
  </r>
  <r>
    <n v="21"/>
    <n v="23"/>
    <n v="3"/>
    <n v="21"/>
    <n v="1"/>
    <n v="0"/>
    <x v="11"/>
    <x v="8"/>
    <s v="NTPC Pvt. Ltd."/>
    <n v="671"/>
    <n v="8.4"/>
    <x v="781"/>
  </r>
  <r>
    <n v="13"/>
    <n v="23"/>
    <n v="2"/>
    <n v="21"/>
    <n v="0"/>
    <n v="0"/>
    <x v="2"/>
    <x v="6"/>
    <s v="unknown"/>
    <n v="577"/>
    <n v="9.1"/>
    <x v="1347"/>
  </r>
  <r>
    <n v="13"/>
    <n v="22"/>
    <n v="0"/>
    <n v="21"/>
    <n v="12"/>
    <n v="0"/>
    <x v="12"/>
    <x v="14"/>
    <s v="Reliance Power"/>
    <n v="744"/>
    <n v="7.6"/>
    <x v="1348"/>
  </r>
  <r>
    <n v="17"/>
    <n v="22"/>
    <n v="1"/>
    <n v="20"/>
    <n v="1"/>
    <n v="0"/>
    <x v="6"/>
    <x v="14"/>
    <s v="TransRail Lighting"/>
    <n v="568"/>
    <n v="7.6"/>
    <x v="1349"/>
  </r>
  <r>
    <n v="9"/>
    <n v="21"/>
    <n v="0"/>
    <n v="20"/>
    <n v="1"/>
    <n v="0"/>
    <x v="9"/>
    <x v="8"/>
    <s v="JSW Energy Ltd."/>
    <n v="627"/>
    <n v="8.4"/>
    <x v="1350"/>
  </r>
  <r>
    <n v="10"/>
    <n v="23"/>
    <n v="3"/>
    <n v="14"/>
    <n v="1"/>
    <n v="0"/>
    <x v="5"/>
    <x v="3"/>
    <s v="Reliance Power"/>
    <n v="494"/>
    <n v="8.9"/>
    <x v="1351"/>
  </r>
  <r>
    <n v="21"/>
    <n v="0"/>
    <n v="2"/>
    <n v="4"/>
    <n v="1"/>
    <n v="0"/>
    <x v="0"/>
    <x v="10"/>
    <s v="maha transco â€“ maharashtra state electricity transmission co, ltd."/>
    <n v="430"/>
    <n v="8.5"/>
    <x v="1352"/>
  </r>
  <r>
    <n v="16"/>
    <n v="22"/>
    <n v="0"/>
    <n v="14"/>
    <n v="12"/>
    <n v="0"/>
    <x v="9"/>
    <x v="20"/>
    <s v="Ringfeder Power Transmission India Pvt. Ltd."/>
    <n v="603"/>
    <n v="8.9"/>
    <x v="1353"/>
  </r>
  <r>
    <n v="9"/>
    <n v="23"/>
    <n v="2"/>
    <n v="7"/>
    <n v="1"/>
    <n v="0"/>
    <x v="4"/>
    <x v="26"/>
    <s v="Bonfiglioli Transmission Pvt. Ltd."/>
    <n v="601"/>
    <n v="7.9"/>
    <x v="912"/>
  </r>
  <r>
    <n v="14"/>
    <n v="23"/>
    <n v="0"/>
    <n v="0"/>
    <n v="0"/>
    <n v="0"/>
    <x v="9"/>
    <x v="16"/>
    <s v="Reliance Energy"/>
    <n v="585"/>
    <n v="8.1999999999999993"/>
    <x v="1354"/>
  </r>
  <r>
    <n v="8"/>
    <n v="20"/>
    <n v="3"/>
    <n v="22"/>
    <n v="1"/>
    <n v="0"/>
    <x v="10"/>
    <x v="14"/>
    <s v="Toshiba Transmission &amp; Distribution Systems (India) Pvt. Ltd."/>
    <n v="715"/>
    <n v="7.6"/>
    <x v="1355"/>
  </r>
  <r>
    <n v="5"/>
    <n v="17"/>
    <n v="0"/>
    <n v="10"/>
    <n v="1"/>
    <n v="0"/>
    <x v="11"/>
    <x v="10"/>
    <s v="Orient Green"/>
    <n v="404"/>
    <n v="8.5"/>
    <x v="1356"/>
  </r>
  <r>
    <n v="23"/>
    <n v="22"/>
    <n v="0"/>
    <n v="19"/>
    <n v="1"/>
    <n v="0"/>
    <x v="5"/>
    <x v="6"/>
    <s v="JSW Energy Ltd."/>
    <n v="640"/>
    <n v="9.1"/>
    <x v="1357"/>
  </r>
  <r>
    <n v="0"/>
    <n v="23"/>
    <n v="3"/>
    <n v="17"/>
    <n v="1"/>
    <n v="0"/>
    <x v="11"/>
    <x v="9"/>
    <s v="Ratnagiri Gas and Power Pvt. Ltd. (RGPPL)"/>
    <n v="592"/>
    <n v="7.9"/>
    <x v="915"/>
  </r>
  <r>
    <n v="21"/>
    <n v="23"/>
    <n v="1"/>
    <n v="9"/>
    <n v="1"/>
    <n v="0"/>
    <x v="2"/>
    <x v="6"/>
    <s v="Sterlite Power Transmission Ltd"/>
    <n v="418"/>
    <n v="9.1"/>
    <x v="1358"/>
  </r>
  <r>
    <n v="9"/>
    <n v="22"/>
    <n v="0"/>
    <n v="8"/>
    <n v="1"/>
    <n v="0"/>
    <x v="6"/>
    <x v="9"/>
    <s v="L&amp;T Transmission &amp; Distribution"/>
    <n v="493"/>
    <n v="7.9"/>
    <x v="107"/>
  </r>
  <r>
    <n v="12"/>
    <n v="23"/>
    <n v="3"/>
    <n v="9"/>
    <n v="1"/>
    <n v="0"/>
    <x v="8"/>
    <x v="17"/>
    <s v="Jyoti Structure"/>
    <n v="404"/>
    <n v="8.8000000000000007"/>
    <x v="1359"/>
  </r>
  <r>
    <n v="21"/>
    <n v="23"/>
    <n v="3"/>
    <n v="5"/>
    <n v="1"/>
    <n v="0"/>
    <x v="9"/>
    <x v="16"/>
    <s v="Reliance Power"/>
    <n v="546"/>
    <n v="8.1999999999999993"/>
    <x v="1360"/>
  </r>
  <r>
    <n v="20"/>
    <n v="22"/>
    <n v="2"/>
    <n v="4"/>
    <n v="1"/>
    <n v="0"/>
    <x v="1"/>
    <x v="33"/>
    <s v="Indowind Energy"/>
    <n v="508"/>
    <n v="8.1"/>
    <x v="1361"/>
  </r>
  <r>
    <n v="13"/>
    <n v="23"/>
    <n v="3"/>
    <n v="21"/>
    <n v="1"/>
    <n v="0"/>
    <x v="3"/>
    <x v="5"/>
    <s v="Toshiba Transmission &amp; Distribution Systems (India) Pvt. Ltd."/>
    <n v="618"/>
    <n v="7.7"/>
    <x v="1209"/>
  </r>
  <r>
    <n v="9"/>
    <n v="0"/>
    <n v="2"/>
    <n v="4"/>
    <n v="1"/>
    <n v="0"/>
    <x v="5"/>
    <x v="4"/>
    <s v="unknown"/>
    <n v="403"/>
    <n v="8.6999999999999993"/>
    <x v="1362"/>
  </r>
  <r>
    <n v="19"/>
    <n v="22"/>
    <n v="3"/>
    <n v="15"/>
    <n v="1"/>
    <n v="0"/>
    <x v="6"/>
    <x v="31"/>
    <s v="SJVN Ltd."/>
    <n v="661"/>
    <n v="8.5"/>
    <x v="24"/>
  </r>
  <r>
    <n v="9"/>
    <n v="21"/>
    <n v="3"/>
    <n v="6"/>
    <n v="1"/>
    <n v="0"/>
    <x v="0"/>
    <x v="17"/>
    <s v="SJVN Ltd."/>
    <n v="349"/>
    <n v="8.8000000000000007"/>
    <x v="871"/>
  </r>
  <r>
    <n v="19"/>
    <n v="22"/>
    <n v="2"/>
    <n v="5"/>
    <n v="1"/>
    <n v="0"/>
    <x v="0"/>
    <x v="8"/>
    <s v="JSW Energy Ltd."/>
    <n v="564"/>
    <n v="0"/>
    <x v="342"/>
  </r>
  <r>
    <n v="21"/>
    <n v="22"/>
    <n v="0"/>
    <n v="5"/>
    <n v="12"/>
    <n v="0"/>
    <x v="5"/>
    <x v="9"/>
    <s v="jaiprakash power"/>
    <n v="593"/>
    <n v="7.9"/>
    <x v="1363"/>
  </r>
  <r>
    <n v="16"/>
    <n v="22"/>
    <n v="0"/>
    <n v="4"/>
    <n v="1"/>
    <n v="0"/>
    <x v="1"/>
    <x v="0"/>
    <s v="Ringfeder Power Transmission India Pvt. Ltd."/>
    <n v="388"/>
    <n v="8.1"/>
    <x v="778"/>
  </r>
  <r>
    <n v="18"/>
    <n v="23"/>
    <n v="0"/>
    <n v="14"/>
    <n v="1"/>
    <n v="0"/>
    <x v="1"/>
    <x v="9"/>
    <s v="Power Grid Corp"/>
    <n v="652"/>
    <n v="7.9"/>
    <x v="1364"/>
  </r>
  <r>
    <n v="13"/>
    <n v="22"/>
    <n v="0"/>
    <n v="13"/>
    <n v="12"/>
    <n v="0"/>
    <x v="8"/>
    <x v="4"/>
    <s v="Reliance Power"/>
    <n v="505"/>
    <n v="8.6999999999999993"/>
    <x v="1293"/>
  </r>
  <r>
    <n v="16"/>
    <n v="23"/>
    <n v="3"/>
    <n v="6"/>
    <n v="1"/>
    <n v="0"/>
    <x v="12"/>
    <x v="3"/>
    <s v="GE T&amp;D India Limited"/>
    <n v="412"/>
    <n v="8.9"/>
    <x v="1365"/>
  </r>
  <r>
    <n v="13"/>
    <n v="22"/>
    <n v="0"/>
    <n v="8"/>
    <n v="1"/>
    <n v="0"/>
    <x v="9"/>
    <x v="20"/>
    <s v="Adani Power Ltd."/>
    <n v="459"/>
    <n v="7.4"/>
    <x v="1366"/>
  </r>
  <r>
    <n v="0"/>
    <n v="23"/>
    <n v="0"/>
    <n v="21"/>
    <n v="1"/>
    <n v="0"/>
    <x v="7"/>
    <x v="7"/>
    <s v="Ratnagiri Gas and Power Pvt. Ltd. (RGPPL)"/>
    <n v="545"/>
    <n v="7.8"/>
    <x v="1043"/>
  </r>
  <r>
    <n v="23"/>
    <n v="0"/>
    <n v="2"/>
    <n v="7"/>
    <n v="1"/>
    <n v="0"/>
    <x v="7"/>
    <x v="32"/>
    <s v="CESC"/>
    <n v="520"/>
    <n v="9.1999999999999993"/>
    <x v="1367"/>
  </r>
  <r>
    <n v="11"/>
    <n v="23"/>
    <n v="1"/>
    <n v="3"/>
    <n v="1"/>
    <n v="0"/>
    <x v="4"/>
    <x v="4"/>
    <s v="Adani Power Ltd."/>
    <n v="345"/>
    <n v="8.6999999999999993"/>
    <x v="1368"/>
  </r>
  <r>
    <n v="21"/>
    <n v="0"/>
    <n v="3"/>
    <n v="7"/>
    <n v="1"/>
    <n v="0"/>
    <x v="9"/>
    <x v="22"/>
    <s v="NTPC Pvt. Ltd."/>
    <n v="668"/>
    <n v="8.5"/>
    <x v="24"/>
  </r>
  <r>
    <n v="15"/>
    <n v="23"/>
    <n v="3"/>
    <n v="19"/>
    <n v="1"/>
    <n v="0"/>
    <x v="1"/>
    <x v="6"/>
    <s v="NTPC Pvt. Ltd."/>
    <n v="515"/>
    <n v="9.1"/>
    <x v="1369"/>
  </r>
  <r>
    <n v="21"/>
    <n v="0"/>
    <n v="2"/>
    <n v="14"/>
    <n v="0"/>
    <n v="0"/>
    <x v="7"/>
    <x v="7"/>
    <s v="unknown"/>
    <n v="643"/>
    <n v="0"/>
    <x v="1370"/>
  </r>
  <r>
    <n v="13"/>
    <n v="22"/>
    <n v="0"/>
    <n v="19"/>
    <n v="1"/>
    <n v="0"/>
    <x v="7"/>
    <x v="15"/>
    <s v="Orient Green"/>
    <n v="588"/>
    <n v="9.3000000000000007"/>
    <x v="1371"/>
  </r>
  <r>
    <n v="16"/>
    <n v="22"/>
    <n v="2"/>
    <n v="8"/>
    <n v="12"/>
    <n v="0"/>
    <x v="11"/>
    <x v="17"/>
    <s v="Jaiprakash Power"/>
    <n v="488"/>
    <n v="8.8000000000000007"/>
    <x v="1372"/>
  </r>
  <r>
    <n v="7"/>
    <n v="23"/>
    <n v="0"/>
    <n v="19"/>
    <n v="1"/>
    <n v="0"/>
    <x v="1"/>
    <x v="5"/>
    <s v="Orient Green"/>
    <n v="0"/>
    <n v="7.7"/>
    <x v="24"/>
  </r>
  <r>
    <n v="22"/>
    <n v="23"/>
    <n v="2"/>
    <n v="11"/>
    <n v="1"/>
    <n v="0"/>
    <x v="1"/>
    <x v="0"/>
    <s v="Reliance Energy"/>
    <n v="664"/>
    <n v="8.1"/>
    <x v="1373"/>
  </r>
  <r>
    <n v="0"/>
    <n v="23"/>
    <n v="0"/>
    <n v="21"/>
    <n v="1"/>
    <n v="0"/>
    <x v="2"/>
    <x v="13"/>
    <s v="Power Grid Corp"/>
    <n v="607"/>
    <n v="9.1999999999999993"/>
    <x v="244"/>
  </r>
  <r>
    <n v="16"/>
    <n v="22"/>
    <n v="2"/>
    <n v="16"/>
    <n v="1"/>
    <n v="0"/>
    <x v="5"/>
    <x v="5"/>
    <s v="Bonfiglioli Transmission Pvt. Ltd."/>
    <n v="465"/>
    <n v="7.7"/>
    <x v="1374"/>
  </r>
  <r>
    <n v="21"/>
    <n v="22"/>
    <n v="2"/>
    <n v="19"/>
    <n v="12"/>
    <n v="0"/>
    <x v="10"/>
    <x v="28"/>
    <s v="sunil hitech eng"/>
    <n v="756"/>
    <n v="8.8000000000000007"/>
    <x v="1158"/>
  </r>
  <r>
    <n v="6"/>
    <n v="23"/>
    <n v="2"/>
    <n v="3"/>
    <n v="1"/>
    <n v="0"/>
    <x v="9"/>
    <x v="1"/>
    <s v="Orient Green"/>
    <n v="316"/>
    <n v="8.3000000000000007"/>
    <x v="1375"/>
  </r>
  <r>
    <n v="22"/>
    <n v="22"/>
    <n v="2"/>
    <n v="20"/>
    <n v="1"/>
    <n v="0"/>
    <x v="8"/>
    <x v="9"/>
    <s v="toshiba transmission &amp; distribution systems (india) pvt. ltd."/>
    <n v="614"/>
    <n v="7.9"/>
    <x v="1376"/>
  </r>
  <r>
    <n v="7"/>
    <n v="20"/>
    <n v="0"/>
    <n v="18"/>
    <n v="1"/>
    <n v="0"/>
    <x v="3"/>
    <x v="16"/>
    <s v="Neueon Towers / Sujana Towers Ltd."/>
    <n v="307"/>
    <n v="8.1999999999999993"/>
    <x v="1377"/>
  </r>
  <r>
    <n v="5"/>
    <n v="23"/>
    <n v="2"/>
    <n v="20"/>
    <n v="1"/>
    <n v="0"/>
    <x v="5"/>
    <x v="7"/>
    <s v="Sunil Hitech Eng"/>
    <n v="575"/>
    <n v="7.8"/>
    <x v="1378"/>
  </r>
  <r>
    <n v="18"/>
    <n v="22"/>
    <n v="0"/>
    <n v="3"/>
    <n v="12"/>
    <n v="0"/>
    <x v="11"/>
    <x v="19"/>
    <s v="Indowind Energy"/>
    <n v="524"/>
    <n v="7.4"/>
    <x v="1379"/>
  </r>
  <r>
    <n v="18"/>
    <n v="22"/>
    <n v="0"/>
    <n v="3"/>
    <n v="1"/>
    <n v="0"/>
    <x v="3"/>
    <x v="19"/>
    <s v="Torrent Power Ltd."/>
    <n v="306"/>
    <n v="7.4"/>
    <x v="1380"/>
  </r>
  <r>
    <n v="16"/>
    <n v="23"/>
    <n v="0"/>
    <n v="15"/>
    <n v="1"/>
    <n v="0"/>
    <x v="8"/>
    <x v="8"/>
    <s v="SJVN Ltd."/>
    <n v="684"/>
    <n v="8.4"/>
    <x v="1381"/>
  </r>
  <r>
    <n v="11"/>
    <n v="23"/>
    <n v="0"/>
    <n v="9"/>
    <n v="1"/>
    <n v="0"/>
    <x v="6"/>
    <x v="1"/>
    <s v="Power Grid Corp"/>
    <n v="442"/>
    <n v="8.3000000000000007"/>
    <x v="1190"/>
  </r>
  <r>
    <n v="19"/>
    <n v="22"/>
    <n v="3"/>
    <n v="14"/>
    <n v="12"/>
    <n v="0"/>
    <x v="12"/>
    <x v="29"/>
    <s v="Ringfeder Power Transmission India Pvt. Ltd."/>
    <n v="692"/>
    <n v="9.3000000000000007"/>
    <x v="1009"/>
  </r>
  <r>
    <n v="14"/>
    <n v="22"/>
    <n v="0"/>
    <n v="4"/>
    <n v="1"/>
    <n v="0"/>
    <x v="11"/>
    <x v="15"/>
    <s v="Optibelt Power Transmission India Private Limited"/>
    <n v="0"/>
    <n v="9.3000000000000007"/>
    <x v="1382"/>
  </r>
  <r>
    <n v="16"/>
    <n v="22"/>
    <n v="3"/>
    <n v="20"/>
    <n v="1"/>
    <n v="0"/>
    <x v="11"/>
    <x v="4"/>
    <s v="Kalpataru Power"/>
    <n v="626"/>
    <n v="8.6999999999999993"/>
    <x v="1188"/>
  </r>
  <r>
    <n v="22"/>
    <n v="23"/>
    <n v="2"/>
    <n v="13"/>
    <n v="1"/>
    <n v="0"/>
    <x v="8"/>
    <x v="4"/>
    <s v="Ratnagiri Gas and Power Pvt. Ltd. (RGPPL)"/>
    <n v="727"/>
    <n v="8.6999999999999993"/>
    <x v="1383"/>
  </r>
  <r>
    <n v="22"/>
    <n v="22"/>
    <n v="0"/>
    <n v="11"/>
    <n v="1"/>
    <n v="0"/>
    <x v="12"/>
    <x v="10"/>
    <s v="L&amp;T Transmission &amp; Distribution"/>
    <n v="607"/>
    <n v="8.5"/>
    <x v="1384"/>
  </r>
  <r>
    <n v="13"/>
    <n v="22"/>
    <n v="2"/>
    <n v="0"/>
    <n v="1"/>
    <n v="0"/>
    <x v="6"/>
    <x v="3"/>
    <s v="NHPC"/>
    <n v="680"/>
    <n v="8.9"/>
    <x v="817"/>
  </r>
  <r>
    <n v="5"/>
    <n v="22"/>
    <n v="0"/>
    <n v="19"/>
    <n v="1"/>
    <n v="0"/>
    <x v="3"/>
    <x v="3"/>
    <s v="Power Grid Corp"/>
    <n v="651"/>
    <n v="8.9"/>
    <x v="24"/>
  </r>
  <r>
    <n v="11"/>
    <n v="22"/>
    <n v="3"/>
    <n v="4"/>
    <n v="1"/>
    <n v="0"/>
    <x v="7"/>
    <x v="6"/>
    <s v="Kalpataru Power"/>
    <n v="340"/>
    <n v="9.1"/>
    <x v="842"/>
  </r>
  <r>
    <n v="14"/>
    <n v="22"/>
    <n v="1"/>
    <n v="0"/>
    <n v="12"/>
    <n v="0"/>
    <x v="0"/>
    <x v="4"/>
    <s v="Torrent Power Ltd."/>
    <n v="633"/>
    <n v="8.6999999999999993"/>
    <x v="1083"/>
  </r>
  <r>
    <n v="8"/>
    <n v="20"/>
    <n v="3"/>
    <n v="16"/>
    <n v="1"/>
    <n v="0"/>
    <x v="12"/>
    <x v="26"/>
    <s v="Bonfiglioli Transmission Pvt. Ltd."/>
    <n v="535"/>
    <n v="7.9"/>
    <x v="1385"/>
  </r>
  <r>
    <n v="6"/>
    <n v="17"/>
    <n v="0"/>
    <n v="21"/>
    <n v="1"/>
    <n v="0"/>
    <x v="12"/>
    <x v="1"/>
    <s v="CESC"/>
    <n v="0"/>
    <n v="8.3000000000000007"/>
    <x v="32"/>
  </r>
  <r>
    <n v="5"/>
    <n v="0"/>
    <n v="2"/>
    <n v="6"/>
    <n v="1"/>
    <n v="0"/>
    <x v="12"/>
    <x v="8"/>
    <s v="NHPC"/>
    <n v="419"/>
    <n v="8.4"/>
    <x v="1386"/>
  </r>
  <r>
    <n v="6"/>
    <n v="21"/>
    <n v="0"/>
    <n v="3"/>
    <n v="7"/>
    <n v="0"/>
    <x v="1"/>
    <x v="9"/>
    <s v="Maha Transco â€“ Maharashtra State Electricity Transmission Co, Ltd."/>
    <n v="298"/>
    <n v="7.9"/>
    <x v="1387"/>
  </r>
  <r>
    <n v="15"/>
    <n v="22"/>
    <n v="2"/>
    <n v="6"/>
    <n v="1"/>
    <n v="0"/>
    <x v="9"/>
    <x v="8"/>
    <s v="Orient Green"/>
    <n v="569"/>
    <n v="8.4"/>
    <x v="1388"/>
  </r>
  <r>
    <n v="19"/>
    <n v="23"/>
    <n v="2"/>
    <n v="6"/>
    <n v="1"/>
    <n v="0"/>
    <x v="4"/>
    <x v="17"/>
    <s v="Power Grid Corp"/>
    <n v="578"/>
    <n v="8.8000000000000007"/>
    <x v="992"/>
  </r>
  <r>
    <n v="18"/>
    <n v="23"/>
    <n v="0"/>
    <n v="6"/>
    <n v="12"/>
    <n v="0"/>
    <x v="8"/>
    <x v="19"/>
    <s v="Bonfiglioli Transmission Pvt. Ltd."/>
    <n v="682"/>
    <n v="7.4"/>
    <x v="1389"/>
  </r>
  <r>
    <n v="16"/>
    <n v="23"/>
    <n v="0"/>
    <n v="10"/>
    <n v="1"/>
    <n v="0"/>
    <x v="6"/>
    <x v="14"/>
    <s v="Orient Green"/>
    <n v="366"/>
    <n v="7.6"/>
    <x v="1390"/>
  </r>
  <r>
    <n v="16"/>
    <n v="0"/>
    <n v="2"/>
    <n v="13"/>
    <n v="12"/>
    <n v="0"/>
    <x v="11"/>
    <x v="0"/>
    <s v="Power Grid Corp"/>
    <n v="556"/>
    <n v="8.1"/>
    <x v="24"/>
  </r>
  <r>
    <n v="18"/>
    <n v="22"/>
    <n v="3"/>
    <n v="14"/>
    <n v="1"/>
    <n v="0"/>
    <x v="10"/>
    <x v="19"/>
    <s v="Kalpataru Power"/>
    <n v="0"/>
    <n v="7.4"/>
    <x v="1391"/>
  </r>
  <r>
    <n v="7"/>
    <n v="18"/>
    <n v="0"/>
    <n v="8"/>
    <n v="1"/>
    <n v="0"/>
    <x v="11"/>
    <x v="17"/>
    <s v="CESC"/>
    <n v="217"/>
    <n v="8.8000000000000007"/>
    <x v="24"/>
  </r>
  <r>
    <n v="18"/>
    <n v="23"/>
    <n v="3"/>
    <n v="0"/>
    <n v="1"/>
    <n v="0"/>
    <x v="6"/>
    <x v="19"/>
    <s v="Sterlite Power Transmission Ltd"/>
    <n v="650"/>
    <n v="7.4"/>
    <x v="1392"/>
  </r>
  <r>
    <n v="20"/>
    <n v="22"/>
    <n v="3"/>
    <n v="9"/>
    <n v="1"/>
    <n v="0"/>
    <x v="9"/>
    <x v="19"/>
    <s v="NLC India"/>
    <n v="584"/>
    <n v="0"/>
    <x v="44"/>
  </r>
  <r>
    <n v="0"/>
    <n v="23"/>
    <n v="3"/>
    <n v="3"/>
    <n v="1"/>
    <n v="0"/>
    <x v="11"/>
    <x v="4"/>
    <s v="NTPC Pvt. Ltd."/>
    <n v="508"/>
    <n v="8.6999999999999993"/>
    <x v="762"/>
  </r>
  <r>
    <n v="8"/>
    <n v="0"/>
    <n v="0"/>
    <n v="20"/>
    <n v="7"/>
    <n v="0"/>
    <x v="1"/>
    <x v="24"/>
    <s v="Jaiprakash Power"/>
    <n v="395"/>
    <n v="7.6"/>
    <x v="1393"/>
  </r>
  <r>
    <n v="19"/>
    <n v="23"/>
    <n v="0"/>
    <n v="15"/>
    <n v="12"/>
    <n v="0"/>
    <x v="2"/>
    <x v="7"/>
    <s v="Tata Power Company Ltd."/>
    <n v="657"/>
    <n v="7.8"/>
    <x v="165"/>
  </r>
  <r>
    <n v="9"/>
    <n v="17"/>
    <n v="0"/>
    <n v="16"/>
    <n v="1"/>
    <n v="0"/>
    <x v="7"/>
    <x v="5"/>
    <s v="Ratnagiri Gas and Power Pvt. Ltd. (RGPPL)"/>
    <n v="398"/>
    <n v="7.7"/>
    <x v="1394"/>
  </r>
  <r>
    <n v="19"/>
    <n v="22"/>
    <n v="2"/>
    <n v="21"/>
    <n v="12"/>
    <n v="0"/>
    <x v="4"/>
    <x v="5"/>
    <s v="TransRail Lighting"/>
    <n v="829"/>
    <n v="7.7"/>
    <x v="1395"/>
  </r>
  <r>
    <n v="9"/>
    <n v="20"/>
    <n v="2"/>
    <n v="16"/>
    <n v="1"/>
    <n v="0"/>
    <x v="2"/>
    <x v="8"/>
    <s v="Ringfeder Power Transmission India Pvt. Ltd."/>
    <n v="529"/>
    <n v="8.4"/>
    <x v="537"/>
  </r>
  <r>
    <n v="22"/>
    <n v="22"/>
    <n v="0"/>
    <n v="7"/>
    <n v="12"/>
    <n v="0"/>
    <x v="11"/>
    <x v="8"/>
    <s v="NHPC"/>
    <n v="673"/>
    <n v="8.4"/>
    <x v="1396"/>
  </r>
  <r>
    <n v="18"/>
    <n v="23"/>
    <n v="2"/>
    <n v="13"/>
    <n v="1"/>
    <n v="0"/>
    <x v="1"/>
    <x v="15"/>
    <s v="ratnagiri gas and power pvt. ltd. (rgppl)"/>
    <n v="0"/>
    <n v="9.3000000000000007"/>
    <x v="1371"/>
  </r>
  <r>
    <n v="18"/>
    <n v="23"/>
    <n v="1"/>
    <n v="18"/>
    <n v="12"/>
    <n v="0"/>
    <x v="10"/>
    <x v="20"/>
    <s v="Jyoti Structure"/>
    <n v="0"/>
    <n v="7.6"/>
    <x v="1397"/>
  </r>
  <r>
    <n v="11"/>
    <n v="23"/>
    <n v="0"/>
    <n v="21"/>
    <n v="12"/>
    <n v="0"/>
    <x v="2"/>
    <x v="12"/>
    <s v="Jyoti Structure"/>
    <n v="574"/>
    <n v="8.6999999999999993"/>
    <x v="263"/>
  </r>
  <r>
    <n v="9"/>
    <n v="18"/>
    <n v="0"/>
    <n v="0"/>
    <n v="1"/>
    <n v="0"/>
    <x v="1"/>
    <x v="16"/>
    <s v="JSW Energy Ltd."/>
    <n v="327"/>
    <n v="8.1999999999999993"/>
    <x v="1398"/>
  </r>
  <r>
    <n v="13"/>
    <n v="22"/>
    <n v="0"/>
    <n v="10"/>
    <n v="12"/>
    <n v="0"/>
    <x v="8"/>
    <x v="5"/>
    <s v="GE T&amp;D India Limited"/>
    <n v="547"/>
    <n v="7.7"/>
    <x v="1399"/>
  </r>
  <r>
    <n v="17"/>
    <n v="22"/>
    <n v="0"/>
    <n v="15"/>
    <n v="1"/>
    <n v="0"/>
    <x v="0"/>
    <x v="19"/>
    <s v="Ratnagiri Gas and Power Pvt. Ltd. (RGPPL)"/>
    <n v="0"/>
    <n v="7.4"/>
    <x v="1400"/>
  </r>
  <r>
    <n v="6"/>
    <n v="23"/>
    <n v="1"/>
    <n v="5"/>
    <n v="1"/>
    <n v="0"/>
    <x v="7"/>
    <x v="29"/>
    <s v="Tata Power Company Ltd."/>
    <n v="327"/>
    <n v="9.3000000000000007"/>
    <x v="1401"/>
  </r>
  <r>
    <n v="20"/>
    <n v="23"/>
    <n v="3"/>
    <n v="6"/>
    <n v="1"/>
    <n v="0"/>
    <x v="4"/>
    <x v="15"/>
    <s v="Indowind Energy"/>
    <n v="545"/>
    <n v="9.3000000000000007"/>
    <x v="1402"/>
  </r>
  <r>
    <n v="13"/>
    <n v="22"/>
    <n v="0"/>
    <n v="4"/>
    <n v="12"/>
    <n v="0"/>
    <x v="3"/>
    <x v="15"/>
    <s v="Power Grid Corp"/>
    <n v="653"/>
    <n v="9.3000000000000007"/>
    <x v="1183"/>
  </r>
  <r>
    <n v="12"/>
    <n v="23"/>
    <n v="3"/>
    <n v="16"/>
    <n v="1"/>
    <n v="0"/>
    <x v="9"/>
    <x v="14"/>
    <s v="Ratnagiri Gas and Power Pvt. Ltd. (RGPPL)"/>
    <n v="0"/>
    <n v="7.6"/>
    <x v="1403"/>
  </r>
  <r>
    <n v="12"/>
    <n v="22"/>
    <n v="3"/>
    <n v="12"/>
    <n v="1"/>
    <n v="0"/>
    <x v="9"/>
    <x v="3"/>
    <s v="Unitech Power Transmission Ltd."/>
    <n v="432"/>
    <n v="8.9"/>
    <x v="1404"/>
  </r>
  <r>
    <n v="5"/>
    <n v="19"/>
    <n v="2"/>
    <n v="16"/>
    <n v="1"/>
    <n v="0"/>
    <x v="10"/>
    <x v="1"/>
    <s v="Guj Ind Power"/>
    <n v="455"/>
    <n v="8.3000000000000007"/>
    <x v="1405"/>
  </r>
  <r>
    <n v="10"/>
    <n v="18"/>
    <n v="2"/>
    <n v="8"/>
    <n v="7"/>
    <n v="0"/>
    <x v="7"/>
    <x v="16"/>
    <s v="l&amp;t transmission &amp; distribution"/>
    <n v="559"/>
    <n v="8.1999999999999993"/>
    <x v="1406"/>
  </r>
  <r>
    <n v="22"/>
    <n v="23"/>
    <n v="3"/>
    <n v="0"/>
    <n v="1"/>
    <n v="0"/>
    <x v="3"/>
    <x v="6"/>
    <s v="Tata Power Company Ltd."/>
    <n v="700"/>
    <n v="9.1"/>
    <x v="1407"/>
  </r>
  <r>
    <n v="11"/>
    <n v="22"/>
    <n v="2"/>
    <n v="0"/>
    <n v="1"/>
    <n v="0"/>
    <x v="10"/>
    <x v="17"/>
    <s v="sunil hitech eng"/>
    <n v="589"/>
    <n v="8.8000000000000007"/>
    <x v="1408"/>
  </r>
  <r>
    <n v="16"/>
    <n v="22"/>
    <n v="3"/>
    <n v="14"/>
    <n v="1"/>
    <n v="0"/>
    <x v="12"/>
    <x v="6"/>
    <s v="Optibelt Power Transmission India Private Limited"/>
    <n v="470"/>
    <n v="9.1"/>
    <x v="1409"/>
  </r>
  <r>
    <n v="8"/>
    <n v="0"/>
    <n v="2"/>
    <n v="8"/>
    <n v="1"/>
    <n v="0"/>
    <x v="1"/>
    <x v="10"/>
    <s v="Orient Green"/>
    <n v="546"/>
    <n v="8.5"/>
    <x v="1410"/>
  </r>
  <r>
    <n v="18"/>
    <n v="23"/>
    <n v="0"/>
    <n v="11"/>
    <n v="1"/>
    <n v="0"/>
    <x v="7"/>
    <x v="5"/>
    <s v="cesc"/>
    <n v="491"/>
    <n v="7.7"/>
    <x v="1411"/>
  </r>
  <r>
    <n v="22"/>
    <n v="22"/>
    <n v="3"/>
    <n v="5"/>
    <n v="1"/>
    <n v="0"/>
    <x v="5"/>
    <x v="10"/>
    <s v="Adani Power Ltd."/>
    <n v="593"/>
    <n v="8.5"/>
    <x v="700"/>
  </r>
  <r>
    <n v="6"/>
    <n v="19"/>
    <n v="3"/>
    <n v="10"/>
    <n v="1"/>
    <n v="0"/>
    <x v="0"/>
    <x v="8"/>
    <s v="Torrent Power Ltd."/>
    <n v="445"/>
    <n v="8.4"/>
    <x v="243"/>
  </r>
  <r>
    <n v="19"/>
    <n v="22"/>
    <n v="2"/>
    <n v="9"/>
    <n v="1"/>
    <n v="0"/>
    <x v="4"/>
    <x v="10"/>
    <s v="Unitech Power Transmission Ltd."/>
    <n v="666"/>
    <n v="0"/>
    <x v="24"/>
  </r>
  <r>
    <n v="0"/>
    <n v="23"/>
    <n v="1"/>
    <n v="17"/>
    <n v="7"/>
    <n v="0"/>
    <x v="6"/>
    <x v="15"/>
    <s v="Optibelt Power Transmission India Private Limited"/>
    <n v="541"/>
    <n v="9.3000000000000007"/>
    <x v="1412"/>
  </r>
  <r>
    <n v="15"/>
    <n v="22"/>
    <n v="1"/>
    <n v="14"/>
    <n v="1"/>
    <n v="0"/>
    <x v="12"/>
    <x v="6"/>
    <s v="Reliance Energy"/>
    <n v="397"/>
    <n v="9.1"/>
    <x v="1413"/>
  </r>
  <r>
    <n v="18"/>
    <n v="23"/>
    <n v="0"/>
    <n v="13"/>
    <n v="1"/>
    <n v="0"/>
    <x v="7"/>
    <x v="13"/>
    <s v="Tata Power Company Ltd."/>
    <n v="458"/>
    <n v="9.1999999999999993"/>
    <x v="1414"/>
  </r>
  <r>
    <n v="17"/>
    <n v="22"/>
    <n v="3"/>
    <n v="5"/>
    <n v="12"/>
    <n v="0"/>
    <x v="12"/>
    <x v="5"/>
    <s v="Reliance Energy"/>
    <n v="735"/>
    <n v="7.7"/>
    <x v="1415"/>
  </r>
  <r>
    <n v="15"/>
    <n v="22"/>
    <n v="2"/>
    <n v="10"/>
    <n v="1"/>
    <n v="0"/>
    <x v="5"/>
    <x v="1"/>
    <s v="NTPC Pvt. Ltd."/>
    <n v="543"/>
    <n v="8.3000000000000007"/>
    <x v="1416"/>
  </r>
  <r>
    <n v="16"/>
    <n v="22"/>
    <n v="0"/>
    <n v="15"/>
    <n v="1"/>
    <n v="0"/>
    <x v="4"/>
    <x v="6"/>
    <s v="Ringfeder Power Transmission India Pvt. Ltd."/>
    <n v="628"/>
    <n v="9.1"/>
    <x v="1417"/>
  </r>
  <r>
    <n v="18"/>
    <n v="22"/>
    <n v="0"/>
    <n v="8"/>
    <n v="1"/>
    <n v="0"/>
    <x v="2"/>
    <x v="28"/>
    <s v="Maha Transco â€“ Maharashtra State Electricity Transmission Co, Ltd."/>
    <n v="379"/>
    <n v="8.8000000000000007"/>
    <x v="1418"/>
  </r>
  <r>
    <n v="20"/>
    <n v="22"/>
    <n v="0"/>
    <n v="19"/>
    <n v="1"/>
    <n v="0"/>
    <x v="6"/>
    <x v="13"/>
    <s v="Ratnagiri Gas and Power Pvt. Ltd. (RGPPL)"/>
    <n v="638"/>
    <n v="9.1999999999999993"/>
    <x v="1419"/>
  </r>
  <r>
    <n v="6"/>
    <n v="21"/>
    <n v="3"/>
    <n v="16"/>
    <n v="1"/>
    <n v="0"/>
    <x v="5"/>
    <x v="9"/>
    <s v="NLC India"/>
    <n v="653"/>
    <n v="7.9"/>
    <x v="1420"/>
  </r>
  <r>
    <n v="14"/>
    <n v="23"/>
    <n v="1"/>
    <n v="14"/>
    <n v="12"/>
    <n v="0"/>
    <x v="0"/>
    <x v="20"/>
    <s v="L&amp;T Transmission &amp; Distribution"/>
    <n v="512"/>
    <n v="8.1"/>
    <x v="1421"/>
  </r>
  <r>
    <n v="10"/>
    <n v="20"/>
    <n v="3"/>
    <n v="11"/>
    <n v="0"/>
    <n v="0"/>
    <x v="3"/>
    <x v="34"/>
    <s v="Orient Green"/>
    <n v="672"/>
    <n v="9.1"/>
    <x v="1422"/>
  </r>
  <r>
    <n v="18"/>
    <n v="23"/>
    <n v="1"/>
    <n v="11"/>
    <n v="1"/>
    <n v="0"/>
    <x v="7"/>
    <x v="20"/>
    <s v="unknown"/>
    <n v="589"/>
    <n v="8.1999999999999993"/>
    <x v="1423"/>
  </r>
  <r>
    <n v="7"/>
    <n v="21"/>
    <n v="1"/>
    <n v="16"/>
    <n v="7"/>
    <n v="0"/>
    <x v="2"/>
    <x v="17"/>
    <s v="Reliance Power"/>
    <n v="423"/>
    <n v="8.8000000000000007"/>
    <x v="1424"/>
  </r>
  <r>
    <n v="17"/>
    <n v="22"/>
    <n v="0"/>
    <n v="8"/>
    <n v="1"/>
    <n v="0"/>
    <x v="4"/>
    <x v="7"/>
    <s v="Torrent Power Ltd."/>
    <n v="445"/>
    <n v="7.8"/>
    <x v="88"/>
  </r>
  <r>
    <n v="9"/>
    <n v="23"/>
    <n v="3"/>
    <n v="15"/>
    <n v="1"/>
    <n v="0"/>
    <x v="11"/>
    <x v="15"/>
    <s v="Jyoti Structure"/>
    <n v="665"/>
    <n v="9.3000000000000007"/>
    <x v="1425"/>
  </r>
  <r>
    <n v="5"/>
    <n v="23"/>
    <n v="0"/>
    <n v="4"/>
    <n v="1"/>
    <n v="0"/>
    <x v="9"/>
    <x v="7"/>
    <s v="GE T&amp;D India Limited"/>
    <n v="478"/>
    <n v="7.8"/>
    <x v="1426"/>
  </r>
  <r>
    <n v="6"/>
    <n v="17"/>
    <n v="2"/>
    <n v="0"/>
    <n v="7"/>
    <n v="0"/>
    <x v="11"/>
    <x v="14"/>
    <s v="Kalpataru Power"/>
    <n v="539"/>
    <n v="7.6"/>
    <x v="1427"/>
  </r>
  <r>
    <n v="0"/>
    <n v="23"/>
    <n v="2"/>
    <n v="13"/>
    <n v="12"/>
    <n v="0"/>
    <x v="5"/>
    <x v="15"/>
    <s v="Neueon Towers / Sujana Towers Ltd."/>
    <n v="788"/>
    <n v="9.3000000000000007"/>
    <x v="1428"/>
  </r>
  <r>
    <n v="15"/>
    <n v="23"/>
    <n v="3"/>
    <n v="8"/>
    <n v="12"/>
    <n v="0"/>
    <x v="10"/>
    <x v="2"/>
    <s v="Torrent Power Ltd."/>
    <n v="554"/>
    <n v="8.9"/>
    <x v="542"/>
  </r>
  <r>
    <n v="9"/>
    <n v="22"/>
    <n v="3"/>
    <n v="11"/>
    <n v="7"/>
    <n v="0"/>
    <x v="9"/>
    <x v="19"/>
    <s v="SJVN Ltd."/>
    <n v="545"/>
    <n v="7.4"/>
    <x v="1429"/>
  </r>
  <r>
    <n v="18"/>
    <n v="23"/>
    <n v="0"/>
    <n v="11"/>
    <n v="1"/>
    <n v="0"/>
    <x v="6"/>
    <x v="25"/>
    <s v="Toshiba Transmission &amp; Distribution Systems (India) Pvt. Ltd."/>
    <n v="611"/>
    <n v="8.1999999999999993"/>
    <x v="1430"/>
  </r>
  <r>
    <n v="11"/>
    <n v="22"/>
    <n v="2"/>
    <n v="7"/>
    <n v="12"/>
    <n v="0"/>
    <x v="6"/>
    <x v="17"/>
    <s v="Optibelt Power Transmission India Private Limited"/>
    <n v="584"/>
    <n v="8.8000000000000007"/>
    <x v="1431"/>
  </r>
  <r>
    <n v="16"/>
    <n v="22"/>
    <n v="1"/>
    <n v="22"/>
    <n v="12"/>
    <n v="0"/>
    <x v="10"/>
    <x v="9"/>
    <s v="KEC International"/>
    <n v="749"/>
    <n v="7.9"/>
    <x v="1432"/>
  </r>
  <r>
    <n v="23"/>
    <n v="22"/>
    <n v="3"/>
    <n v="9"/>
    <n v="1"/>
    <n v="0"/>
    <x v="8"/>
    <x v="10"/>
    <s v="CESC"/>
    <n v="672"/>
    <n v="8.5"/>
    <x v="1433"/>
  </r>
  <r>
    <n v="12"/>
    <n v="23"/>
    <n v="1"/>
    <n v="20"/>
    <n v="12"/>
    <n v="0"/>
    <x v="4"/>
    <x v="5"/>
    <s v="Optibelt Power Transmission India Private Limited"/>
    <n v="739"/>
    <n v="7.7"/>
    <x v="1434"/>
  </r>
  <r>
    <n v="23"/>
    <n v="22"/>
    <n v="2"/>
    <n v="9"/>
    <n v="1"/>
    <n v="0"/>
    <x v="7"/>
    <x v="7"/>
    <s v="Power Grid Corp"/>
    <n v="614"/>
    <n v="7.8"/>
    <x v="1435"/>
  </r>
  <r>
    <n v="0"/>
    <n v="23"/>
    <n v="1"/>
    <n v="6"/>
    <n v="1"/>
    <n v="0"/>
    <x v="11"/>
    <x v="1"/>
    <s v="Unitech Power Transmission Ltd."/>
    <n v="371"/>
    <n v="8.3000000000000007"/>
    <x v="1436"/>
  </r>
  <r>
    <n v="20"/>
    <n v="22"/>
    <n v="1"/>
    <n v="6"/>
    <n v="0"/>
    <n v="0"/>
    <x v="8"/>
    <x v="1"/>
    <s v="unknown"/>
    <n v="357"/>
    <n v="8.3000000000000007"/>
    <x v="1437"/>
  </r>
  <r>
    <n v="7"/>
    <n v="20"/>
    <n v="0"/>
    <n v="19"/>
    <n v="1"/>
    <n v="0"/>
    <x v="5"/>
    <x v="16"/>
    <s v="Adani Power Ltd."/>
    <n v="349"/>
    <n v="8.1999999999999993"/>
    <x v="1438"/>
  </r>
  <r>
    <n v="9"/>
    <n v="18"/>
    <n v="2"/>
    <n v="14"/>
    <n v="7"/>
    <n v="0"/>
    <x v="7"/>
    <x v="15"/>
    <s v="Adani Power Ltd."/>
    <n v="477"/>
    <n v="9.3000000000000007"/>
    <x v="267"/>
  </r>
  <r>
    <n v="6"/>
    <n v="17"/>
    <n v="1"/>
    <n v="4"/>
    <n v="1"/>
    <n v="0"/>
    <x v="7"/>
    <x v="1"/>
    <s v="Jaiprakash Power"/>
    <n v="225"/>
    <n v="8.3000000000000007"/>
    <x v="1439"/>
  </r>
  <r>
    <n v="8"/>
    <n v="18"/>
    <n v="2"/>
    <n v="11"/>
    <n v="1"/>
    <n v="0"/>
    <x v="5"/>
    <x v="31"/>
    <s v="Maha Transco â€“ Maharashtra State Electricity Transmission Co, Ltd."/>
    <n v="435"/>
    <n v="8.5"/>
    <x v="1440"/>
  </r>
  <r>
    <n v="10"/>
    <n v="17"/>
    <n v="1"/>
    <n v="20"/>
    <n v="7"/>
    <n v="0"/>
    <x v="6"/>
    <x v="5"/>
    <s v="Sterlite Power Transmission Ltd"/>
    <n v="404"/>
    <n v="7.7"/>
    <x v="487"/>
  </r>
  <r>
    <n v="8"/>
    <n v="22"/>
    <n v="1"/>
    <n v="13"/>
    <n v="1"/>
    <n v="0"/>
    <x v="9"/>
    <x v="16"/>
    <s v="Orient Green"/>
    <n v="434"/>
    <n v="8.1999999999999993"/>
    <x v="38"/>
  </r>
  <r>
    <n v="9"/>
    <n v="19"/>
    <n v="3"/>
    <n v="17"/>
    <n v="1"/>
    <n v="0"/>
    <x v="4"/>
    <x v="14"/>
    <s v="Jyoti Structure"/>
    <n v="476"/>
    <n v="7.6"/>
    <x v="1441"/>
  </r>
  <r>
    <n v="0"/>
    <n v="23"/>
    <n v="2"/>
    <n v="5"/>
    <n v="1"/>
    <n v="0"/>
    <x v="9"/>
    <x v="6"/>
    <s v="Kalpataru Power"/>
    <n v="451"/>
    <n v="9.1"/>
    <x v="1442"/>
  </r>
  <r>
    <n v="18"/>
    <n v="0"/>
    <n v="3"/>
    <n v="12"/>
    <n v="1"/>
    <n v="0"/>
    <x v="1"/>
    <x v="3"/>
    <s v="Torrent Power Ltd."/>
    <n v="726"/>
    <n v="8.9"/>
    <x v="1443"/>
  </r>
  <r>
    <n v="21"/>
    <n v="23"/>
    <n v="1"/>
    <n v="12"/>
    <n v="1"/>
    <n v="0"/>
    <x v="6"/>
    <x v="10"/>
    <s v="Reliance Energy"/>
    <n v="438"/>
    <n v="8.5"/>
    <x v="665"/>
  </r>
  <r>
    <n v="8"/>
    <n v="17"/>
    <n v="0"/>
    <n v="15"/>
    <n v="1"/>
    <n v="0"/>
    <x v="0"/>
    <x v="3"/>
    <s v="Orient Green"/>
    <n v="415"/>
    <n v="8.9"/>
    <x v="1444"/>
  </r>
  <r>
    <n v="17"/>
    <n v="22"/>
    <n v="0"/>
    <n v="3"/>
    <n v="12"/>
    <n v="0"/>
    <x v="7"/>
    <x v="11"/>
    <s v="L&amp;T Transmission &amp; Distribution"/>
    <n v="470"/>
    <n v="8.4"/>
    <x v="1445"/>
  </r>
  <r>
    <n v="17"/>
    <n v="0"/>
    <n v="3"/>
    <n v="0"/>
    <n v="1"/>
    <n v="0"/>
    <x v="9"/>
    <x v="16"/>
    <s v="Tata Power Company Ltd."/>
    <n v="776"/>
    <n v="8.1999999999999993"/>
    <x v="1446"/>
  </r>
  <r>
    <n v="9"/>
    <n v="18"/>
    <n v="0"/>
    <n v="22"/>
    <n v="1"/>
    <n v="0"/>
    <x v="12"/>
    <x v="16"/>
    <s v="Jyoti Structure"/>
    <n v="572"/>
    <n v="8.1999999999999993"/>
    <x v="430"/>
  </r>
  <r>
    <n v="17"/>
    <n v="23"/>
    <n v="0"/>
    <n v="18"/>
    <n v="12"/>
    <n v="0"/>
    <x v="4"/>
    <x v="9"/>
    <s v="TransRail Lighting"/>
    <n v="644"/>
    <n v="7.9"/>
    <x v="1447"/>
  </r>
  <r>
    <n v="7"/>
    <n v="19"/>
    <n v="0"/>
    <n v="21"/>
    <n v="1"/>
    <n v="0"/>
    <x v="0"/>
    <x v="13"/>
    <s v="Ratnagiri Gas and Power Pvt. Ltd. (RGPPL)"/>
    <n v="287"/>
    <n v="9.1999999999999993"/>
    <x v="1448"/>
  </r>
  <r>
    <n v="7"/>
    <n v="17"/>
    <n v="3"/>
    <n v="0"/>
    <n v="1"/>
    <n v="0"/>
    <x v="12"/>
    <x v="9"/>
    <s v="unknown"/>
    <n v="526"/>
    <n v="7.9"/>
    <x v="1449"/>
  </r>
  <r>
    <n v="15"/>
    <n v="23"/>
    <n v="2"/>
    <n v="15"/>
    <n v="12"/>
    <n v="0"/>
    <x v="9"/>
    <x v="9"/>
    <s v="NTPC Pvt. Ltd."/>
    <n v="0"/>
    <n v="7.9"/>
    <x v="1450"/>
  </r>
  <r>
    <n v="15"/>
    <n v="0"/>
    <n v="0"/>
    <n v="6"/>
    <n v="1"/>
    <n v="0"/>
    <x v="3"/>
    <x v="9"/>
    <s v="unknown"/>
    <n v="526"/>
    <n v="7.9"/>
    <x v="1449"/>
  </r>
  <r>
    <n v="9"/>
    <n v="17"/>
    <n v="3"/>
    <n v="5"/>
    <n v="7"/>
    <n v="0"/>
    <x v="6"/>
    <x v="10"/>
    <s v="NHPC"/>
    <n v="383"/>
    <n v="8.5"/>
    <x v="1451"/>
  </r>
  <r>
    <n v="22"/>
    <n v="23"/>
    <n v="0"/>
    <n v="21"/>
    <n v="1"/>
    <n v="0"/>
    <x v="2"/>
    <x v="20"/>
    <s v="optibelt power transmission india private limited"/>
    <n v="717"/>
    <n v="9.1"/>
    <x v="1452"/>
  </r>
  <r>
    <n v="14"/>
    <n v="22"/>
    <n v="1"/>
    <n v="5"/>
    <n v="1"/>
    <n v="0"/>
    <x v="8"/>
    <x v="5"/>
    <s v="neueon towers / sujana towers ltd."/>
    <n v="411"/>
    <n v="7.7"/>
    <x v="1453"/>
  </r>
  <r>
    <n v="23"/>
    <n v="22"/>
    <n v="2"/>
    <n v="8"/>
    <n v="1"/>
    <n v="0"/>
    <x v="0"/>
    <x v="1"/>
    <s v="Unitech Power Transmission Ltd."/>
    <n v="396"/>
    <n v="8.3000000000000007"/>
    <x v="1454"/>
  </r>
  <r>
    <n v="23"/>
    <n v="22"/>
    <n v="2"/>
    <n v="18"/>
    <n v="1"/>
    <n v="0"/>
    <x v="9"/>
    <x v="19"/>
    <s v="Tata Power Company Ltd."/>
    <n v="756"/>
    <n v="7.4"/>
    <x v="1455"/>
  </r>
  <r>
    <n v="20"/>
    <n v="23"/>
    <n v="1"/>
    <n v="9"/>
    <n v="12"/>
    <n v="0"/>
    <x v="3"/>
    <x v="8"/>
    <s v="adani power ltd."/>
    <n v="712"/>
    <n v="8.4"/>
    <x v="408"/>
  </r>
  <r>
    <n v="11"/>
    <n v="23"/>
    <n v="0"/>
    <n v="4"/>
    <n v="1"/>
    <n v="0"/>
    <x v="2"/>
    <x v="4"/>
    <s v="Jyoti Structure"/>
    <n v="0"/>
    <n v="8.6999999999999993"/>
    <x v="1456"/>
  </r>
  <r>
    <n v="21"/>
    <n v="22"/>
    <n v="1"/>
    <n v="11"/>
    <n v="1"/>
    <n v="0"/>
    <x v="9"/>
    <x v="6"/>
    <s v="Toshiba Transmission &amp; Distribution Systems (India) Pvt. Ltd."/>
    <n v="419"/>
    <n v="9.1"/>
    <x v="1308"/>
  </r>
  <r>
    <n v="6"/>
    <n v="19"/>
    <n v="3"/>
    <n v="17"/>
    <n v="1"/>
    <n v="0"/>
    <x v="9"/>
    <x v="3"/>
    <s v="Kalpataru Power"/>
    <n v="604"/>
    <n v="8.9"/>
    <x v="1457"/>
  </r>
  <r>
    <n v="23"/>
    <n v="23"/>
    <n v="0"/>
    <n v="20"/>
    <n v="1"/>
    <n v="0"/>
    <x v="5"/>
    <x v="14"/>
    <s v="Ringfeder Power Transmission India Pvt. Ltd."/>
    <n v="741"/>
    <n v="7.6"/>
    <x v="1458"/>
  </r>
  <r>
    <n v="21"/>
    <n v="22"/>
    <n v="0"/>
    <n v="19"/>
    <n v="1"/>
    <n v="0"/>
    <x v="4"/>
    <x v="14"/>
    <s v="Power Grid Corp"/>
    <n v="674"/>
    <n v="7.6"/>
    <x v="24"/>
  </r>
  <r>
    <n v="22"/>
    <n v="23"/>
    <n v="2"/>
    <n v="14"/>
    <n v="0"/>
    <n v="0"/>
    <x v="1"/>
    <x v="0"/>
    <s v="KEC International"/>
    <n v="624"/>
    <n v="8.1"/>
    <x v="1459"/>
  </r>
  <r>
    <n v="16"/>
    <n v="22"/>
    <n v="1"/>
    <n v="10"/>
    <n v="1"/>
    <n v="0"/>
    <x v="5"/>
    <x v="14"/>
    <s v="Tata Power Company Ltd."/>
    <n v="441"/>
    <n v="7.6"/>
    <x v="874"/>
  </r>
  <r>
    <n v="16"/>
    <n v="22"/>
    <n v="0"/>
    <n v="8"/>
    <n v="1"/>
    <n v="0"/>
    <x v="0"/>
    <x v="5"/>
    <s v="TransRail Lighting"/>
    <n v="421"/>
    <n v="7.7"/>
    <x v="1460"/>
  </r>
  <r>
    <n v="7"/>
    <n v="22"/>
    <n v="0"/>
    <n v="11"/>
    <n v="1"/>
    <n v="0"/>
    <x v="5"/>
    <x v="8"/>
    <s v="Toshiba Transmission &amp; Distribution Systems (India) Pvt. Ltd."/>
    <n v="366"/>
    <n v="8.4"/>
    <x v="1461"/>
  </r>
  <r>
    <n v="19"/>
    <n v="0"/>
    <n v="0"/>
    <n v="3"/>
    <n v="1"/>
    <n v="0"/>
    <x v="8"/>
    <x v="0"/>
    <s v="Tata Power Company Ltd."/>
    <n v="386"/>
    <n v="8.1"/>
    <x v="550"/>
  </r>
  <r>
    <n v="5"/>
    <n v="18"/>
    <n v="0"/>
    <n v="20"/>
    <n v="1"/>
    <n v="0"/>
    <x v="3"/>
    <x v="32"/>
    <s v="CESC"/>
    <n v="0"/>
    <n v="9.1999999999999993"/>
    <x v="1462"/>
  </r>
  <r>
    <n v="14"/>
    <n v="22"/>
    <n v="1"/>
    <n v="16"/>
    <n v="1"/>
    <n v="0"/>
    <x v="5"/>
    <x v="0"/>
    <s v="L&amp;T Transmission &amp; Distribution"/>
    <n v="492"/>
    <n v="8.1"/>
    <x v="791"/>
  </r>
  <r>
    <n v="17"/>
    <n v="23"/>
    <n v="3"/>
    <n v="18"/>
    <n v="12"/>
    <n v="0"/>
    <x v="4"/>
    <x v="32"/>
    <s v="CESC"/>
    <n v="746"/>
    <n v="9.1999999999999993"/>
    <x v="1463"/>
  </r>
  <r>
    <n v="23"/>
    <n v="22"/>
    <n v="2"/>
    <n v="4"/>
    <n v="1"/>
    <n v="0"/>
    <x v="1"/>
    <x v="10"/>
    <s v="SJVN Ltd."/>
    <n v="478"/>
    <n v="8.5"/>
    <x v="1464"/>
  </r>
  <r>
    <n v="0"/>
    <n v="23"/>
    <n v="2"/>
    <n v="5"/>
    <n v="1"/>
    <n v="0"/>
    <x v="6"/>
    <x v="3"/>
    <s v="sunil hitech eng"/>
    <n v="467"/>
    <n v="0"/>
    <x v="1465"/>
  </r>
  <r>
    <n v="15"/>
    <n v="23"/>
    <n v="3"/>
    <n v="7"/>
    <n v="1"/>
    <n v="0"/>
    <x v="9"/>
    <x v="10"/>
    <s v="SJVN Ltd."/>
    <n v="651"/>
    <n v="8.5"/>
    <x v="1466"/>
  </r>
  <r>
    <n v="18"/>
    <n v="22"/>
    <n v="3"/>
    <n v="7"/>
    <n v="1"/>
    <n v="0"/>
    <x v="8"/>
    <x v="10"/>
    <s v="Guj Ind Power"/>
    <n v="560"/>
    <n v="8.5"/>
    <x v="1467"/>
  </r>
  <r>
    <n v="14"/>
    <n v="23"/>
    <n v="0"/>
    <n v="22"/>
    <n v="0"/>
    <n v="0"/>
    <x v="3"/>
    <x v="22"/>
    <s v="Power Grid Corp"/>
    <n v="449"/>
    <n v="7.4"/>
    <x v="1468"/>
  </r>
  <r>
    <n v="7"/>
    <n v="18"/>
    <n v="1"/>
    <n v="15"/>
    <n v="1"/>
    <n v="0"/>
    <x v="1"/>
    <x v="19"/>
    <s v="Ringfeder Power Transmission India Pvt. Ltd."/>
    <n v="535"/>
    <n v="7.4"/>
    <x v="406"/>
  </r>
  <r>
    <n v="23"/>
    <n v="22"/>
    <n v="0"/>
    <n v="6"/>
    <n v="0"/>
    <n v="0"/>
    <x v="11"/>
    <x v="4"/>
    <s v="NHPC"/>
    <n v="589"/>
    <n v="8.6999999999999993"/>
    <x v="531"/>
  </r>
  <r>
    <n v="19"/>
    <n v="22"/>
    <n v="2"/>
    <n v="3"/>
    <n v="1"/>
    <n v="0"/>
    <x v="5"/>
    <x v="7"/>
    <s v="NHPC"/>
    <n v="488"/>
    <n v="7.8"/>
    <x v="1469"/>
  </r>
  <r>
    <n v="15"/>
    <n v="22"/>
    <n v="1"/>
    <n v="14"/>
    <n v="0"/>
    <n v="0"/>
    <x v="12"/>
    <x v="28"/>
    <s v="transrail lighting"/>
    <n v="381"/>
    <n v="8.8000000000000007"/>
    <x v="1470"/>
  </r>
  <r>
    <n v="19"/>
    <n v="22"/>
    <n v="2"/>
    <n v="6"/>
    <n v="1"/>
    <n v="0"/>
    <x v="2"/>
    <x v="8"/>
    <s v="Tata Power Company Ltd."/>
    <n v="496"/>
    <n v="8.4"/>
    <x v="1471"/>
  </r>
  <r>
    <n v="10"/>
    <n v="21"/>
    <n v="2"/>
    <n v="7"/>
    <n v="1"/>
    <n v="0"/>
    <x v="9"/>
    <x v="0"/>
    <s v="nan"/>
    <n v="410"/>
    <n v="8.1"/>
    <x v="1472"/>
  </r>
  <r>
    <n v="0"/>
    <n v="19"/>
    <n v="2"/>
    <n v="12"/>
    <n v="7"/>
    <n v="0"/>
    <x v="3"/>
    <x v="17"/>
    <s v="kalpataru power"/>
    <n v="457"/>
    <n v="8.8000000000000007"/>
    <x v="1473"/>
  </r>
  <r>
    <n v="21"/>
    <n v="22"/>
    <n v="2"/>
    <n v="22"/>
    <n v="1"/>
    <n v="0"/>
    <x v="4"/>
    <x v="10"/>
    <s v="SJVN Ltd."/>
    <n v="775"/>
    <s v="nan "/>
    <x v="1474"/>
  </r>
  <r>
    <n v="18"/>
    <n v="22"/>
    <n v="1"/>
    <n v="14"/>
    <n v="1"/>
    <n v="0"/>
    <x v="7"/>
    <x v="24"/>
    <s v="Reliance Power"/>
    <n v="539"/>
    <n v="7.6"/>
    <x v="1427"/>
  </r>
  <r>
    <n v="16"/>
    <n v="22"/>
    <n v="0"/>
    <n v="14"/>
    <n v="1"/>
    <n v="0"/>
    <x v="3"/>
    <x v="9"/>
    <s v="GE T&amp;D India Limited"/>
    <n v="0"/>
    <n v="7.9"/>
    <x v="1118"/>
  </r>
  <r>
    <n v="13"/>
    <n v="22"/>
    <n v="1"/>
    <n v="6"/>
    <n v="12"/>
    <n v="0"/>
    <x v="11"/>
    <x v="17"/>
    <s v="SJVN Ltd."/>
    <n v="582"/>
    <n v="8.8000000000000007"/>
    <x v="1475"/>
  </r>
  <r>
    <n v="19"/>
    <n v="22"/>
    <n v="2"/>
    <n v="5"/>
    <n v="12"/>
    <n v="0"/>
    <x v="7"/>
    <x v="9"/>
    <s v="Jaiprakash Power"/>
    <n v="518"/>
    <n v="7.9"/>
    <x v="1476"/>
  </r>
  <r>
    <n v="23"/>
    <n v="22"/>
    <n v="2"/>
    <n v="7"/>
    <n v="1"/>
    <n v="0"/>
    <x v="2"/>
    <x v="1"/>
    <s v="unknown"/>
    <n v="479"/>
    <n v="8.3000000000000007"/>
    <x v="24"/>
  </r>
  <r>
    <n v="9"/>
    <n v="23"/>
    <n v="0"/>
    <n v="17"/>
    <n v="1"/>
    <n v="0"/>
    <x v="12"/>
    <x v="4"/>
    <s v="Kalpataru Power"/>
    <n v="407"/>
    <n v="8.6999999999999993"/>
    <x v="1477"/>
  </r>
  <r>
    <n v="22"/>
    <n v="23"/>
    <n v="2"/>
    <n v="8"/>
    <n v="1"/>
    <n v="0"/>
    <x v="11"/>
    <x v="5"/>
    <s v="Orient Green"/>
    <n v="507"/>
    <n v="7.7"/>
    <x v="882"/>
  </r>
  <r>
    <n v="8"/>
    <n v="19"/>
    <n v="0"/>
    <n v="0"/>
    <n v="7"/>
    <n v="0"/>
    <x v="5"/>
    <x v="9"/>
    <s v="Maha Transco â€“ Maharashtra State Electricity Transmission Co, Ltd."/>
    <n v="465"/>
    <n v="0"/>
    <x v="1060"/>
  </r>
  <r>
    <n v="10"/>
    <n v="20"/>
    <n v="3"/>
    <n v="11"/>
    <n v="1"/>
    <n v="0"/>
    <x v="11"/>
    <x v="19"/>
    <s v="NTPC Pvt. Ltd."/>
    <n v="478"/>
    <n v="7.4"/>
    <x v="1478"/>
  </r>
  <r>
    <n v="10"/>
    <n v="19"/>
    <n v="1"/>
    <n v="0"/>
    <n v="1"/>
    <n v="0"/>
    <x v="2"/>
    <x v="3"/>
    <s v="Torrent Power Ltd."/>
    <n v="409"/>
    <n v="8.9"/>
    <x v="24"/>
  </r>
  <r>
    <n v="16"/>
    <n v="0"/>
    <n v="2"/>
    <n v="3"/>
    <n v="12"/>
    <n v="0"/>
    <x v="11"/>
    <x v="0"/>
    <s v="Adani Power Ltd."/>
    <n v="546"/>
    <n v="8.1"/>
    <x v="1479"/>
  </r>
  <r>
    <n v="23"/>
    <n v="23"/>
    <n v="0"/>
    <n v="9"/>
    <n v="1"/>
    <n v="0"/>
    <x v="8"/>
    <x v="2"/>
    <s v="guj ind power"/>
    <n v="397"/>
    <n v="8.9"/>
    <x v="1480"/>
  </r>
  <r>
    <n v="13"/>
    <n v="23"/>
    <n v="0"/>
    <n v="16"/>
    <n v="1"/>
    <n v="0"/>
    <x v="6"/>
    <x v="26"/>
    <s v="torrent power ltd."/>
    <n v="542"/>
    <n v="7.9"/>
    <x v="1481"/>
  </r>
  <r>
    <n v="14"/>
    <n v="23"/>
    <n v="3"/>
    <n v="15"/>
    <n v="1"/>
    <n v="0"/>
    <x v="3"/>
    <x v="14"/>
    <s v="Adani Power Ltd."/>
    <n v="564"/>
    <n v="7.6"/>
    <x v="1157"/>
  </r>
  <r>
    <n v="15"/>
    <n v="23"/>
    <n v="0"/>
    <n v="0"/>
    <n v="12"/>
    <n v="0"/>
    <x v="5"/>
    <x v="3"/>
    <s v="Bonfiglioli Transmission Pvt. Ltd."/>
    <n v="584"/>
    <n v="8.9"/>
    <x v="1482"/>
  </r>
  <r>
    <n v="16"/>
    <n v="22"/>
    <n v="0"/>
    <n v="0"/>
    <n v="1"/>
    <n v="0"/>
    <x v="7"/>
    <x v="19"/>
    <s v="L&amp;T Transmission &amp; Distribution"/>
    <n v="349"/>
    <n v="7.4"/>
    <x v="1483"/>
  </r>
  <r>
    <n v="5"/>
    <n v="23"/>
    <n v="1"/>
    <n v="20"/>
    <n v="7"/>
    <n v="0"/>
    <x v="9"/>
    <x v="10"/>
    <s v="Power Grid Corp"/>
    <n v="699"/>
    <n v="8.5"/>
    <x v="1484"/>
  </r>
  <r>
    <n v="9"/>
    <n v="23"/>
    <n v="3"/>
    <n v="12"/>
    <n v="0"/>
    <n v="0"/>
    <x v="2"/>
    <x v="28"/>
    <s v="Adani Power Ltd."/>
    <n v="536"/>
    <n v="0"/>
    <x v="1485"/>
  </r>
  <r>
    <n v="5"/>
    <n v="18"/>
    <n v="3"/>
    <n v="14"/>
    <n v="1"/>
    <n v="0"/>
    <x v="12"/>
    <x v="16"/>
    <s v="Jyoti Structure"/>
    <n v="403"/>
    <n v="8.1999999999999993"/>
    <x v="1486"/>
  </r>
  <r>
    <n v="8"/>
    <n v="21"/>
    <n v="0"/>
    <n v="4"/>
    <n v="1"/>
    <n v="0"/>
    <x v="2"/>
    <x v="3"/>
    <s v="cesc"/>
    <n v="448"/>
    <n v="8.9"/>
    <x v="1487"/>
  </r>
  <r>
    <n v="12"/>
    <n v="22"/>
    <n v="2"/>
    <n v="4"/>
    <n v="1"/>
    <n v="0"/>
    <x v="10"/>
    <x v="20"/>
    <s v="GE T&amp;D India Limited"/>
    <n v="357"/>
    <n v="7.7"/>
    <x v="1488"/>
  </r>
  <r>
    <n v="9"/>
    <n v="18"/>
    <n v="3"/>
    <n v="14"/>
    <n v="0"/>
    <n v="0"/>
    <x v="2"/>
    <x v="20"/>
    <s v="NTPC Pvt. Ltd."/>
    <n v="604"/>
    <n v="8.9"/>
    <x v="1457"/>
  </r>
  <r>
    <n v="19"/>
    <n v="23"/>
    <n v="0"/>
    <n v="16"/>
    <n v="0"/>
    <n v="0"/>
    <x v="2"/>
    <x v="10"/>
    <s v="Guj Ind Power"/>
    <n v="572"/>
    <n v="8.5"/>
    <x v="1489"/>
  </r>
  <r>
    <n v="15"/>
    <n v="22"/>
    <n v="1"/>
    <n v="9"/>
    <n v="1"/>
    <n v="0"/>
    <x v="4"/>
    <x v="10"/>
    <s v="Ratnagiri Gas and Power Pvt. Ltd. (RGPPL)"/>
    <n v="415"/>
    <n v="8.5"/>
    <x v="1490"/>
  </r>
  <r>
    <n v="15"/>
    <n v="0"/>
    <n v="3"/>
    <n v="19"/>
    <n v="1"/>
    <n v="0"/>
    <x v="7"/>
    <x v="9"/>
    <s v="Neueon Towers / Sujana Towers Ltd."/>
    <n v="0"/>
    <n v="7.9"/>
    <x v="1491"/>
  </r>
  <r>
    <n v="0"/>
    <n v="22"/>
    <n v="3"/>
    <n v="20"/>
    <n v="1"/>
    <n v="0"/>
    <x v="9"/>
    <x v="15"/>
    <s v="Jyoti Structure"/>
    <n v="0"/>
    <n v="9.3000000000000007"/>
    <x v="1492"/>
  </r>
  <r>
    <n v="20"/>
    <n v="23"/>
    <n v="2"/>
    <n v="11"/>
    <n v="12"/>
    <n v="0"/>
    <x v="6"/>
    <x v="17"/>
    <s v="Orient Green"/>
    <n v="721"/>
    <n v="8.8000000000000007"/>
    <x v="1493"/>
  </r>
  <r>
    <n v="12"/>
    <n v="23"/>
    <n v="1"/>
    <n v="7"/>
    <n v="12"/>
    <n v="0"/>
    <x v="0"/>
    <x v="14"/>
    <s v="Power Grid Corp"/>
    <n v="587"/>
    <n v="7.6"/>
    <x v="1494"/>
  </r>
  <r>
    <n v="23"/>
    <n v="23"/>
    <n v="2"/>
    <n v="18"/>
    <n v="1"/>
    <n v="0"/>
    <x v="5"/>
    <x v="7"/>
    <s v="KEC International"/>
    <n v="706"/>
    <n v="7.8"/>
    <x v="1495"/>
  </r>
  <r>
    <n v="17"/>
    <n v="22"/>
    <n v="1"/>
    <n v="11"/>
    <n v="1"/>
    <n v="0"/>
    <x v="5"/>
    <x v="0"/>
    <s v="NLC India"/>
    <n v="573"/>
    <n v="8.1"/>
    <x v="1496"/>
  </r>
  <r>
    <n v="0"/>
    <n v="22"/>
    <n v="2"/>
    <n v="20"/>
    <n v="1"/>
    <n v="0"/>
    <x v="0"/>
    <x v="6"/>
    <s v="NLC India"/>
    <n v="705"/>
    <n v="9.1"/>
    <x v="1497"/>
  </r>
  <r>
    <n v="5"/>
    <n v="22"/>
    <n v="2"/>
    <n v="15"/>
    <n v="1"/>
    <n v="0"/>
    <x v="2"/>
    <x v="11"/>
    <s v="L&amp;T Transmission &amp; Distribution"/>
    <n v="481"/>
    <n v="8.4"/>
    <x v="1022"/>
  </r>
  <r>
    <n v="14"/>
    <n v="22"/>
    <n v="0"/>
    <n v="10"/>
    <n v="12"/>
    <n v="0"/>
    <x v="7"/>
    <x v="5"/>
    <s v="Jyoti Structure"/>
    <n v="693"/>
    <n v="7.7"/>
    <x v="1498"/>
  </r>
  <r>
    <n v="0"/>
    <n v="22"/>
    <n v="0"/>
    <n v="15"/>
    <n v="1"/>
    <n v="0"/>
    <x v="10"/>
    <x v="31"/>
    <s v="Bonfiglioli Transmission Pvt. Ltd."/>
    <n v="525"/>
    <n v="8.5"/>
    <x v="1499"/>
  </r>
  <r>
    <n v="19"/>
    <n v="23"/>
    <n v="3"/>
    <n v="0"/>
    <n v="1"/>
    <n v="0"/>
    <x v="7"/>
    <x v="30"/>
    <s v="Orient Green"/>
    <n v="512"/>
    <n v="7.7"/>
    <x v="1500"/>
  </r>
  <r>
    <n v="19"/>
    <n v="23"/>
    <n v="1"/>
    <n v="19"/>
    <n v="1"/>
    <n v="0"/>
    <x v="11"/>
    <x v="9"/>
    <s v="KEC International"/>
    <n v="705"/>
    <n v="7.9"/>
    <x v="1501"/>
  </r>
  <r>
    <n v="23"/>
    <n v="22"/>
    <n v="3"/>
    <n v="4"/>
    <n v="1"/>
    <n v="0"/>
    <x v="3"/>
    <x v="19"/>
    <s v="Orient Green"/>
    <n v="410"/>
    <n v="7.4"/>
    <x v="1502"/>
  </r>
  <r>
    <n v="13"/>
    <n v="23"/>
    <n v="2"/>
    <n v="17"/>
    <n v="1"/>
    <n v="0"/>
    <x v="11"/>
    <x v="16"/>
    <s v="Maha Transco â€“ Maharashtra State Electricity Transmission Co, Ltd."/>
    <n v="532"/>
    <n v="8.1999999999999993"/>
    <x v="104"/>
  </r>
  <r>
    <n v="21"/>
    <n v="22"/>
    <n v="0"/>
    <n v="7"/>
    <n v="1"/>
    <n v="0"/>
    <x v="3"/>
    <x v="10"/>
    <s v="Optibelt Power Transmission India Private Limited"/>
    <n v="363"/>
    <n v="8.5"/>
    <x v="1503"/>
  </r>
  <r>
    <n v="21"/>
    <n v="22"/>
    <n v="1"/>
    <n v="20"/>
    <n v="12"/>
    <n v="0"/>
    <x v="2"/>
    <x v="3"/>
    <s v="Power Grid Corp"/>
    <n v="557"/>
    <n v="8.9"/>
    <x v="364"/>
  </r>
  <r>
    <n v="7"/>
    <n v="21"/>
    <n v="2"/>
    <n v="3"/>
    <n v="1"/>
    <n v="0"/>
    <x v="3"/>
    <x v="20"/>
    <s v="Unitech Power Transmission Ltd."/>
    <n v="428"/>
    <n v="8.1"/>
    <x v="1504"/>
  </r>
  <r>
    <n v="23"/>
    <n v="22"/>
    <n v="1"/>
    <n v="8"/>
    <n v="1"/>
    <n v="0"/>
    <x v="5"/>
    <x v="20"/>
    <s v="Power Grid Corp"/>
    <n v="483"/>
    <n v="9.1"/>
    <x v="577"/>
  </r>
  <r>
    <n v="21"/>
    <n v="22"/>
    <n v="2"/>
    <n v="11"/>
    <n v="1"/>
    <n v="0"/>
    <x v="10"/>
    <x v="4"/>
    <s v="ntpc pvt. ltd."/>
    <n v="666"/>
    <n v="8.6999999999999993"/>
    <x v="1505"/>
  </r>
  <r>
    <n v="6"/>
    <n v="23"/>
    <n v="1"/>
    <n v="16"/>
    <n v="1"/>
    <n v="0"/>
    <x v="3"/>
    <x v="22"/>
    <s v="sjvn ltd."/>
    <n v="594"/>
    <n v="7.6"/>
    <x v="1326"/>
  </r>
  <r>
    <n v="14"/>
    <n v="23"/>
    <n v="0"/>
    <n v="20"/>
    <n v="1"/>
    <n v="0"/>
    <x v="6"/>
    <x v="23"/>
    <s v="unknown"/>
    <n v="547"/>
    <n v="7.8"/>
    <x v="1254"/>
  </r>
  <r>
    <n v="16"/>
    <n v="23"/>
    <n v="2"/>
    <n v="13"/>
    <n v="1"/>
    <n v="0"/>
    <x v="11"/>
    <x v="11"/>
    <s v="Maha Transco â€“ Maharashtra State Electricity Transmission Co, Ltd."/>
    <n v="638"/>
    <n v="8.4"/>
    <x v="1204"/>
  </r>
  <r>
    <n v="14"/>
    <n v="22"/>
    <n v="1"/>
    <n v="7"/>
    <n v="1"/>
    <n v="0"/>
    <x v="6"/>
    <x v="13"/>
    <s v="Jyoti Structure"/>
    <n v="369"/>
    <n v="9.1999999999999993"/>
    <x v="1506"/>
  </r>
  <r>
    <n v="5"/>
    <n v="22"/>
    <n v="1"/>
    <n v="14"/>
    <n v="1"/>
    <n v="0"/>
    <x v="12"/>
    <x v="15"/>
    <s v="L&amp;T Transmission &amp; Distribution"/>
    <n v="510"/>
    <n v="9.3000000000000007"/>
    <x v="1507"/>
  </r>
  <r>
    <n v="12"/>
    <n v="23"/>
    <n v="1"/>
    <n v="22"/>
    <n v="1"/>
    <n v="0"/>
    <x v="2"/>
    <x v="0"/>
    <s v="power grid corp"/>
    <n v="459"/>
    <n v="8.1"/>
    <x v="1508"/>
  </r>
  <r>
    <n v="19"/>
    <n v="22"/>
    <n v="3"/>
    <n v="13"/>
    <n v="1"/>
    <n v="0"/>
    <x v="2"/>
    <x v="20"/>
    <s v="Ringfeder Power Transmission India Pvt. Ltd."/>
    <n v="706"/>
    <n v="7.8"/>
    <x v="1495"/>
  </r>
  <r>
    <n v="23"/>
    <n v="23"/>
    <n v="3"/>
    <n v="18"/>
    <n v="1"/>
    <n v="0"/>
    <x v="0"/>
    <x v="15"/>
    <s v="NHPC"/>
    <n v="608"/>
    <n v="9.3000000000000007"/>
    <x v="1348"/>
  </r>
  <r>
    <n v="22"/>
    <n v="23"/>
    <n v="0"/>
    <n v="21"/>
    <n v="1"/>
    <n v="0"/>
    <x v="3"/>
    <x v="6"/>
    <s v="Maha Transco â€“ Maharashtra State Electricity Transmission Co, Ltd."/>
    <n v="576"/>
    <n v="9.1"/>
    <x v="1509"/>
  </r>
  <r>
    <n v="17"/>
    <n v="22"/>
    <n v="3"/>
    <n v="4"/>
    <n v="1"/>
    <n v="0"/>
    <x v="8"/>
    <x v="10"/>
    <s v="Torrent Power Ltd."/>
    <n v="593"/>
    <n v="8.5"/>
    <x v="700"/>
  </r>
  <r>
    <n v="13"/>
    <n v="22"/>
    <n v="2"/>
    <n v="13"/>
    <n v="1"/>
    <n v="0"/>
    <x v="5"/>
    <x v="15"/>
    <s v="SJVN Ltd."/>
    <n v="451"/>
    <n v="9.3000000000000007"/>
    <x v="1092"/>
  </r>
  <r>
    <n v="23"/>
    <n v="23"/>
    <n v="3"/>
    <n v="9"/>
    <n v="1"/>
    <n v="0"/>
    <x v="1"/>
    <x v="11"/>
    <s v="Toshiba Transmission &amp; Distribution Systems (India) Pvt. Ltd."/>
    <n v="537"/>
    <n v="8.4"/>
    <x v="1510"/>
  </r>
  <r>
    <n v="20"/>
    <n v="22"/>
    <n v="0"/>
    <n v="15"/>
    <n v="0"/>
    <n v="0"/>
    <x v="2"/>
    <x v="13"/>
    <s v="NHPC"/>
    <n v="441"/>
    <n v="9.1999999999999993"/>
    <x v="1511"/>
  </r>
  <r>
    <n v="6"/>
    <n v="17"/>
    <n v="0"/>
    <n v="15"/>
    <n v="1"/>
    <n v="0"/>
    <x v="8"/>
    <x v="6"/>
    <s v="KEC International"/>
    <n v="445"/>
    <n v="9.1"/>
    <x v="896"/>
  </r>
  <r>
    <n v="19"/>
    <n v="0"/>
    <n v="2"/>
    <n v="19"/>
    <n v="1"/>
    <n v="0"/>
    <x v="6"/>
    <x v="17"/>
    <s v="unknown"/>
    <n v="678"/>
    <n v="8.8000000000000007"/>
    <x v="1512"/>
  </r>
  <r>
    <n v="18"/>
    <n v="23"/>
    <n v="3"/>
    <n v="16"/>
    <n v="1"/>
    <n v="0"/>
    <x v="11"/>
    <x v="14"/>
    <s v="adani power ltd."/>
    <n v="670"/>
    <n v="7.6"/>
    <x v="1513"/>
  </r>
  <r>
    <n v="19"/>
    <n v="22"/>
    <n v="3"/>
    <n v="11"/>
    <n v="1"/>
    <n v="0"/>
    <x v="8"/>
    <x v="15"/>
    <s v="Toshiba Transmission &amp; Distribution Systems (India) Pvt. Ltd."/>
    <n v="632"/>
    <n v="9.3000000000000007"/>
    <x v="24"/>
  </r>
  <r>
    <n v="23"/>
    <n v="22"/>
    <n v="1"/>
    <n v="9"/>
    <n v="12"/>
    <n v="0"/>
    <x v="3"/>
    <x v="6"/>
    <s v="GE T&amp;D India Limited"/>
    <n v="531"/>
    <n v="9.1"/>
    <x v="1514"/>
  </r>
  <r>
    <n v="9"/>
    <n v="20"/>
    <n v="3"/>
    <n v="9"/>
    <n v="1"/>
    <n v="0"/>
    <x v="4"/>
    <x v="15"/>
    <s v="Adani Power Ltd."/>
    <n v="588"/>
    <n v="9.3000000000000007"/>
    <x v="1371"/>
  </r>
  <r>
    <n v="18"/>
    <n v="0"/>
    <n v="0"/>
    <n v="17"/>
    <n v="1"/>
    <n v="0"/>
    <x v="0"/>
    <x v="0"/>
    <s v="Kalpataru Power"/>
    <n v="411"/>
    <n v="8.1"/>
    <x v="1515"/>
  </r>
  <r>
    <n v="8"/>
    <n v="20"/>
    <n v="2"/>
    <n v="7"/>
    <n v="1"/>
    <n v="0"/>
    <x v="0"/>
    <x v="7"/>
    <s v="Kalpataru Power"/>
    <n v="280"/>
    <n v="7.8"/>
    <x v="1516"/>
  </r>
  <r>
    <n v="11"/>
    <n v="23"/>
    <n v="1"/>
    <n v="20"/>
    <n v="1"/>
    <n v="0"/>
    <x v="7"/>
    <x v="14"/>
    <s v="Orient Green"/>
    <n v="0"/>
    <n v="0"/>
    <x v="1517"/>
  </r>
  <r>
    <n v="19"/>
    <n v="22"/>
    <n v="3"/>
    <n v="9"/>
    <n v="1"/>
    <n v="0"/>
    <x v="11"/>
    <x v="16"/>
    <s v="Sunil Hitech Eng"/>
    <n v="527"/>
    <n v="8.1999999999999993"/>
    <x v="787"/>
  </r>
  <r>
    <n v="13"/>
    <n v="0"/>
    <n v="2"/>
    <n v="17"/>
    <n v="1"/>
    <n v="0"/>
    <x v="5"/>
    <x v="13"/>
    <s v="NHPC"/>
    <n v="686"/>
    <n v="9.1999999999999993"/>
    <x v="1518"/>
  </r>
  <r>
    <n v="14"/>
    <n v="22"/>
    <n v="2"/>
    <n v="0"/>
    <n v="1"/>
    <n v="0"/>
    <x v="2"/>
    <x v="14"/>
    <s v="Guj Ind Power"/>
    <n v="593"/>
    <n v="7.6"/>
    <x v="1519"/>
  </r>
  <r>
    <n v="15"/>
    <n v="23"/>
    <n v="1"/>
    <n v="21"/>
    <n v="1"/>
    <n v="0"/>
    <x v="0"/>
    <x v="1"/>
    <s v="JSW Energy Ltd."/>
    <n v="592"/>
    <n v="8.3000000000000007"/>
    <x v="1220"/>
  </r>
  <r>
    <n v="11"/>
    <n v="0"/>
    <n v="2"/>
    <n v="9"/>
    <n v="1"/>
    <n v="0"/>
    <x v="0"/>
    <x v="16"/>
    <s v="Reliance Energy"/>
    <n v="356"/>
    <n v="8.1999999999999993"/>
    <x v="1520"/>
  </r>
  <r>
    <n v="15"/>
    <n v="22"/>
    <n v="2"/>
    <n v="12"/>
    <n v="1"/>
    <n v="0"/>
    <x v="7"/>
    <x v="12"/>
    <s v="Sunil Hitech Eng"/>
    <n v="483"/>
    <n v="8.6999999999999993"/>
    <x v="1521"/>
  </r>
  <r>
    <n v="7"/>
    <n v="20"/>
    <n v="2"/>
    <n v="4"/>
    <n v="1"/>
    <n v="0"/>
    <x v="7"/>
    <x v="3"/>
    <s v="toshiba transmission &amp; distribution systems (india) pvt. ltd."/>
    <n v="314"/>
    <n v="8.9"/>
    <x v="1522"/>
  </r>
  <r>
    <n v="14"/>
    <n v="22"/>
    <n v="2"/>
    <n v="14"/>
    <n v="12"/>
    <n v="0"/>
    <x v="0"/>
    <x v="7"/>
    <s v="Unitech Power Transmission Ltd."/>
    <n v="632"/>
    <n v="7.8"/>
    <x v="1523"/>
  </r>
  <r>
    <n v="8"/>
    <n v="22"/>
    <n v="1"/>
    <n v="11"/>
    <n v="1"/>
    <n v="0"/>
    <x v="7"/>
    <x v="8"/>
    <s v="Ringfeder Power Transmission India Pvt. Ltd."/>
    <n v="447"/>
    <n v="8.4"/>
    <x v="24"/>
  </r>
  <r>
    <n v="9"/>
    <n v="22"/>
    <n v="2"/>
    <n v="16"/>
    <n v="7"/>
    <n v="0"/>
    <x v="6"/>
    <x v="2"/>
    <s v="Power Grid Corp"/>
    <n v="493"/>
    <n v="8.9"/>
    <x v="1524"/>
  </r>
  <r>
    <n v="5"/>
    <n v="20"/>
    <n v="1"/>
    <n v="3"/>
    <n v="7"/>
    <n v="0"/>
    <x v="11"/>
    <x v="19"/>
    <s v="nan"/>
    <n v="239"/>
    <n v="7.4"/>
    <x v="1525"/>
  </r>
  <r>
    <n v="9"/>
    <n v="23"/>
    <n v="2"/>
    <n v="7"/>
    <n v="1"/>
    <n v="0"/>
    <x v="11"/>
    <x v="16"/>
    <s v="NLC India"/>
    <n v="412"/>
    <n v="8.1999999999999993"/>
    <x v="1526"/>
  </r>
  <r>
    <n v="15"/>
    <n v="23"/>
    <n v="3"/>
    <n v="15"/>
    <n v="1"/>
    <n v="0"/>
    <x v="8"/>
    <x v="14"/>
    <s v="unknown"/>
    <n v="514"/>
    <n v="7.6"/>
    <x v="1015"/>
  </r>
  <r>
    <n v="23"/>
    <n v="22"/>
    <n v="3"/>
    <n v="18"/>
    <n v="1"/>
    <n v="0"/>
    <x v="11"/>
    <x v="0"/>
    <s v="Sterlite Power Transmission Ltd"/>
    <n v="653"/>
    <n v="8.1"/>
    <x v="1527"/>
  </r>
  <r>
    <n v="22"/>
    <n v="23"/>
    <n v="0"/>
    <n v="10"/>
    <n v="1"/>
    <n v="0"/>
    <x v="7"/>
    <x v="8"/>
    <s v="Indowind Energy"/>
    <n v="417"/>
    <n v="8.4"/>
    <x v="39"/>
  </r>
  <r>
    <n v="12"/>
    <n v="23"/>
    <n v="3"/>
    <n v="9"/>
    <n v="1"/>
    <n v="0"/>
    <x v="4"/>
    <x v="16"/>
    <s v="Toshiba Transmission &amp; Distribution Systems (India) Pvt. Ltd."/>
    <n v="498"/>
    <n v="8.1999999999999993"/>
    <x v="1528"/>
  </r>
  <r>
    <n v="5"/>
    <n v="18"/>
    <n v="0"/>
    <n v="11"/>
    <n v="1"/>
    <n v="0"/>
    <x v="2"/>
    <x v="17"/>
    <s v="ntpc pvt. ltd."/>
    <n v="187"/>
    <n v="8.8000000000000007"/>
    <x v="1529"/>
  </r>
  <r>
    <n v="15"/>
    <n v="0"/>
    <n v="2"/>
    <n v="13"/>
    <n v="1"/>
    <n v="0"/>
    <x v="0"/>
    <x v="3"/>
    <s v="Orient Green"/>
    <n v="581"/>
    <n v="8.9"/>
    <x v="1299"/>
  </r>
  <r>
    <n v="13"/>
    <n v="22"/>
    <n v="1"/>
    <n v="5"/>
    <n v="12"/>
    <n v="0"/>
    <x v="7"/>
    <x v="9"/>
    <s v="Torrent Power Ltd."/>
    <n v="536"/>
    <n v="7.9"/>
    <x v="24"/>
  </r>
  <r>
    <n v="10"/>
    <n v="22"/>
    <n v="1"/>
    <n v="14"/>
    <n v="1"/>
    <n v="0"/>
    <x v="5"/>
    <x v="14"/>
    <s v="maha transco â€“ maharashtra state electricity transmission co, ltd."/>
    <n v="621"/>
    <n v="7.6"/>
    <x v="1530"/>
  </r>
  <r>
    <n v="6"/>
    <n v="21"/>
    <n v="2"/>
    <n v="4"/>
    <n v="7"/>
    <n v="0"/>
    <x v="6"/>
    <x v="7"/>
    <s v="Toshiba Transmission &amp; Distribution Systems (India) Pvt. Ltd."/>
    <n v="502"/>
    <n v="7.8"/>
    <x v="1531"/>
  </r>
  <r>
    <n v="16"/>
    <n v="22"/>
    <n v="2"/>
    <n v="8"/>
    <n v="1"/>
    <n v="0"/>
    <x v="1"/>
    <x v="5"/>
    <s v="Toshiba Transmission &amp; Distribution Systems (India) Pvt. Ltd."/>
    <n v="361"/>
    <n v="7.7"/>
    <x v="1532"/>
  </r>
  <r>
    <n v="21"/>
    <n v="22"/>
    <n v="0"/>
    <n v="22"/>
    <n v="1"/>
    <n v="0"/>
    <x v="2"/>
    <x v="13"/>
    <s v="Optibelt Power Transmission India Private Limited"/>
    <n v="600"/>
    <n v="9.1999999999999993"/>
    <x v="1533"/>
  </r>
  <r>
    <n v="22"/>
    <n v="22"/>
    <n v="2"/>
    <n v="18"/>
    <n v="1"/>
    <n v="0"/>
    <x v="4"/>
    <x v="27"/>
    <s v="Kalpataru Power"/>
    <n v="656"/>
    <n v="7.7"/>
    <x v="529"/>
  </r>
  <r>
    <n v="9"/>
    <n v="21"/>
    <n v="3"/>
    <n v="5"/>
    <n v="1"/>
    <n v="0"/>
    <x v="11"/>
    <x v="13"/>
    <s v="unknown"/>
    <n v="384"/>
    <n v="9.1999999999999993"/>
    <x v="1534"/>
  </r>
  <r>
    <n v="15"/>
    <n v="23"/>
    <n v="1"/>
    <n v="14"/>
    <n v="1"/>
    <n v="0"/>
    <x v="3"/>
    <x v="17"/>
    <s v="Neueon Towers / Sujana Towers Ltd."/>
    <n v="672"/>
    <n v="8.8000000000000007"/>
    <x v="1535"/>
  </r>
  <r>
    <n v="12"/>
    <n v="22"/>
    <n v="0"/>
    <n v="8"/>
    <n v="0"/>
    <n v="0"/>
    <x v="2"/>
    <x v="17"/>
    <s v="Reliance Power"/>
    <n v="332"/>
    <n v="8.8000000000000007"/>
    <x v="1536"/>
  </r>
  <r>
    <n v="12"/>
    <n v="23"/>
    <n v="3"/>
    <n v="4"/>
    <n v="12"/>
    <n v="0"/>
    <x v="5"/>
    <x v="13"/>
    <s v="unknown"/>
    <n v="662"/>
    <n v="9.1999999999999993"/>
    <x v="1537"/>
  </r>
  <r>
    <n v="13"/>
    <n v="23"/>
    <n v="1"/>
    <n v="15"/>
    <n v="1"/>
    <n v="0"/>
    <x v="9"/>
    <x v="10"/>
    <s v="Neueon Towers / Sujana Towers Ltd."/>
    <n v="481"/>
    <n v="8.5"/>
    <x v="1538"/>
  </r>
  <r>
    <n v="21"/>
    <n v="22"/>
    <n v="3"/>
    <n v="6"/>
    <n v="1"/>
    <n v="0"/>
    <x v="11"/>
    <x v="5"/>
    <s v="Unitech Power Transmission Ltd."/>
    <s v="nan "/>
    <n v="7.7"/>
    <x v="1539"/>
  </r>
  <r>
    <n v="6"/>
    <n v="22"/>
    <n v="3"/>
    <n v="8"/>
    <n v="1"/>
    <n v="0"/>
    <x v="6"/>
    <x v="26"/>
    <s v="nan"/>
    <n v="457"/>
    <n v="7.9"/>
    <x v="1540"/>
  </r>
  <r>
    <n v="9"/>
    <n v="20"/>
    <n v="1"/>
    <n v="12"/>
    <n v="1"/>
    <n v="0"/>
    <x v="9"/>
    <x v="28"/>
    <s v="Toshiba Transmission &amp; Distribution Systems (India) Pvt. Ltd."/>
    <n v="389"/>
    <n v="8.8000000000000007"/>
    <x v="1541"/>
  </r>
  <r>
    <n v="7"/>
    <n v="18"/>
    <n v="1"/>
    <n v="15"/>
    <n v="1"/>
    <n v="0"/>
    <x v="5"/>
    <x v="15"/>
    <s v="Guj Ind Power"/>
    <n v="499"/>
    <n v="9.3000000000000007"/>
    <x v="1542"/>
  </r>
  <r>
    <n v="7"/>
    <n v="19"/>
    <n v="3"/>
    <n v="22"/>
    <n v="1"/>
    <n v="0"/>
    <x v="12"/>
    <x v="0"/>
    <s v="NLC India"/>
    <n v="666"/>
    <n v="8.1"/>
    <x v="1543"/>
  </r>
  <r>
    <n v="20"/>
    <n v="22"/>
    <n v="2"/>
    <n v="5"/>
    <n v="1"/>
    <n v="0"/>
    <x v="5"/>
    <x v="22"/>
    <s v="Ratnagiri Gas and Power Pvt. Ltd. (RGPPL)"/>
    <n v="414"/>
    <n v="9.3000000000000007"/>
    <x v="1544"/>
  </r>
  <r>
    <n v="13"/>
    <n v="23"/>
    <n v="1"/>
    <n v="16"/>
    <n v="1"/>
    <n v="0"/>
    <x v="1"/>
    <x v="5"/>
    <s v="L&amp;T Transmission &amp; Distribution"/>
    <n v="483"/>
    <n v="7.7"/>
    <x v="1545"/>
  </r>
  <r>
    <n v="9"/>
    <n v="18"/>
    <n v="3"/>
    <n v="16"/>
    <n v="1"/>
    <n v="0"/>
    <x v="5"/>
    <x v="13"/>
    <s v="L&amp;T Transmission &amp; Distribution"/>
    <n v="551"/>
    <n v="0"/>
    <x v="1546"/>
  </r>
  <r>
    <n v="16"/>
    <n v="22"/>
    <n v="0"/>
    <n v="12"/>
    <n v="0"/>
    <n v="0"/>
    <x v="6"/>
    <x v="14"/>
    <s v="Reliance Energy"/>
    <n v="590"/>
    <n v="7.6"/>
    <x v="279"/>
  </r>
  <r>
    <n v="10"/>
    <n v="23"/>
    <n v="2"/>
    <n v="3"/>
    <n v="1"/>
    <n v="0"/>
    <x v="9"/>
    <x v="7"/>
    <s v="Reliance Power"/>
    <n v="474"/>
    <n v="7.8"/>
    <x v="1547"/>
  </r>
  <r>
    <n v="6"/>
    <n v="21"/>
    <n v="3"/>
    <n v="19"/>
    <n v="1"/>
    <n v="0"/>
    <x v="0"/>
    <x v="3"/>
    <s v="CESC"/>
    <n v="576"/>
    <n v="8.9"/>
    <x v="853"/>
  </r>
  <r>
    <n v="15"/>
    <n v="23"/>
    <n v="1"/>
    <n v="14"/>
    <n v="12"/>
    <n v="0"/>
    <x v="9"/>
    <x v="13"/>
    <s v="unknown"/>
    <n v="594"/>
    <n v="9.1999999999999993"/>
    <x v="1548"/>
  </r>
  <r>
    <n v="8"/>
    <n v="20"/>
    <n v="1"/>
    <n v="5"/>
    <n v="1"/>
    <n v="0"/>
    <x v="2"/>
    <x v="5"/>
    <s v="NLC India"/>
    <n v="216"/>
    <n v="7.7"/>
    <x v="1549"/>
  </r>
  <r>
    <n v="15"/>
    <n v="23"/>
    <n v="1"/>
    <n v="18"/>
    <n v="12"/>
    <n v="0"/>
    <x v="6"/>
    <x v="3"/>
    <s v="L&amp;T Transmission &amp; Distribution"/>
    <n v="736"/>
    <n v="8.9"/>
    <x v="1550"/>
  </r>
  <r>
    <n v="12"/>
    <n v="22"/>
    <n v="3"/>
    <n v="13"/>
    <n v="1"/>
    <n v="0"/>
    <x v="3"/>
    <x v="6"/>
    <s v="Guj Ind Power"/>
    <n v="494"/>
    <n v="9.1"/>
    <x v="1075"/>
  </r>
  <r>
    <n v="0"/>
    <n v="23"/>
    <n v="2"/>
    <n v="19"/>
    <n v="12"/>
    <n v="0"/>
    <x v="11"/>
    <x v="8"/>
    <s v="GE T&amp;D India Limited"/>
    <n v="549"/>
    <n v="8.4"/>
    <x v="1551"/>
  </r>
  <r>
    <n v="16"/>
    <n v="23"/>
    <n v="2"/>
    <n v="5"/>
    <n v="12"/>
    <n v="0"/>
    <x v="12"/>
    <x v="17"/>
    <s v="KEC International"/>
    <n v="705"/>
    <n v="8.8000000000000007"/>
    <x v="1552"/>
  </r>
  <r>
    <n v="21"/>
    <n v="23"/>
    <n v="2"/>
    <n v="11"/>
    <n v="12"/>
    <n v="0"/>
    <x v="5"/>
    <x v="17"/>
    <s v="L&amp;T Transmission &amp; Distribution"/>
    <n v="555"/>
    <n v="8.8000000000000007"/>
    <x v="1553"/>
  </r>
  <r>
    <n v="15"/>
    <n v="23"/>
    <n v="0"/>
    <n v="9"/>
    <n v="1"/>
    <n v="0"/>
    <x v="11"/>
    <x v="30"/>
    <s v="JSW Energy Ltd."/>
    <n v="393"/>
    <n v="7.7"/>
    <x v="1554"/>
  </r>
  <r>
    <n v="0"/>
    <n v="18"/>
    <n v="3"/>
    <n v="14"/>
    <n v="1"/>
    <n v="0"/>
    <x v="2"/>
    <x v="15"/>
    <s v="Reliance Power"/>
    <n v="400"/>
    <n v="9.3000000000000007"/>
    <x v="1555"/>
  </r>
  <r>
    <n v="21"/>
    <n v="23"/>
    <n v="0"/>
    <n v="6"/>
    <n v="1"/>
    <n v="0"/>
    <x v="2"/>
    <x v="0"/>
    <s v="Sterlite Power Transmission Ltd"/>
    <n v="548"/>
    <n v="0"/>
    <x v="24"/>
  </r>
  <r>
    <n v="17"/>
    <n v="23"/>
    <n v="3"/>
    <n v="21"/>
    <n v="1"/>
    <n v="0"/>
    <x v="10"/>
    <x v="3"/>
    <s v="NTPC Pvt. Ltd."/>
    <n v="724"/>
    <n v="8.9"/>
    <x v="1556"/>
  </r>
  <r>
    <n v="12"/>
    <n v="22"/>
    <n v="1"/>
    <n v="22"/>
    <n v="1"/>
    <n v="0"/>
    <x v="4"/>
    <x v="3"/>
    <s v="Sunil Hitech Eng"/>
    <n v="506"/>
    <n v="8.9"/>
    <x v="1557"/>
  </r>
  <r>
    <n v="23"/>
    <n v="22"/>
    <n v="3"/>
    <n v="17"/>
    <n v="12"/>
    <n v="0"/>
    <x v="11"/>
    <x v="9"/>
    <s v="Torrent Power Ltd."/>
    <n v="730"/>
    <n v="7.9"/>
    <x v="1558"/>
  </r>
  <r>
    <n v="6"/>
    <n v="23"/>
    <n v="2"/>
    <n v="16"/>
    <n v="1"/>
    <n v="0"/>
    <x v="7"/>
    <x v="5"/>
    <s v="maha transco â€“ maharashtra state electricity transmission co, ltd."/>
    <n v="549"/>
    <n v="7.7"/>
    <x v="1559"/>
  </r>
  <r>
    <n v="20"/>
    <n v="23"/>
    <n v="0"/>
    <n v="15"/>
    <n v="1"/>
    <n v="0"/>
    <x v="2"/>
    <x v="3"/>
    <s v="Ringfeder Power Transmission India Pvt. Ltd."/>
    <n v="661"/>
    <n v="8.9"/>
    <x v="1560"/>
  </r>
  <r>
    <n v="21"/>
    <n v="23"/>
    <n v="3"/>
    <n v="13"/>
    <n v="0"/>
    <n v="0"/>
    <x v="2"/>
    <x v="21"/>
    <s v="Power Grid Corp"/>
    <n v="556"/>
    <n v="7.4"/>
    <x v="1561"/>
  </r>
  <r>
    <n v="21"/>
    <n v="23"/>
    <n v="1"/>
    <n v="21"/>
    <n v="1"/>
    <n v="0"/>
    <x v="3"/>
    <x v="17"/>
    <s v="Power Grid Corp"/>
    <n v="748"/>
    <n v="8.8000000000000007"/>
    <x v="1562"/>
  </r>
  <r>
    <n v="13"/>
    <n v="0"/>
    <n v="1"/>
    <n v="15"/>
    <n v="12"/>
    <n v="0"/>
    <x v="2"/>
    <x v="4"/>
    <s v="Jyoti Structure"/>
    <n v="546"/>
    <n v="8.6999999999999993"/>
    <x v="164"/>
  </r>
  <r>
    <n v="7"/>
    <n v="19"/>
    <n v="3"/>
    <n v="8"/>
    <n v="7"/>
    <n v="0"/>
    <x v="9"/>
    <x v="19"/>
    <s v="Torrent Power Ltd."/>
    <n v="548"/>
    <n v="7.4"/>
    <x v="1563"/>
  </r>
  <r>
    <n v="18"/>
    <n v="22"/>
    <n v="2"/>
    <n v="15"/>
    <n v="1"/>
    <n v="0"/>
    <x v="10"/>
    <x v="7"/>
    <s v="NTPC Pvt. Ltd."/>
    <n v="474"/>
    <n v="7.8"/>
    <x v="1547"/>
  </r>
  <r>
    <n v="0"/>
    <n v="23"/>
    <n v="0"/>
    <n v="22"/>
    <n v="1"/>
    <n v="0"/>
    <x v="8"/>
    <x v="4"/>
    <s v="Jyoti Structure"/>
    <n v="741"/>
    <n v="8.6999999999999993"/>
    <x v="1564"/>
  </r>
  <r>
    <n v="21"/>
    <n v="23"/>
    <n v="0"/>
    <n v="10"/>
    <n v="12"/>
    <n v="0"/>
    <x v="11"/>
    <x v="4"/>
    <s v="Torrent Power Ltd."/>
    <n v="605"/>
    <n v="8.6999999999999993"/>
    <x v="1565"/>
  </r>
  <r>
    <n v="7"/>
    <n v="19"/>
    <n v="2"/>
    <n v="13"/>
    <n v="1"/>
    <n v="0"/>
    <x v="7"/>
    <x v="1"/>
    <s v="NHPC"/>
    <n v="424"/>
    <n v="8.3000000000000007"/>
    <x v="1566"/>
  </r>
  <r>
    <n v="12"/>
    <n v="22"/>
    <n v="1"/>
    <n v="4"/>
    <n v="1"/>
    <n v="0"/>
    <x v="10"/>
    <x v="14"/>
    <s v="JSW Energy Ltd."/>
    <n v="308"/>
    <n v="7.6"/>
    <x v="1567"/>
  </r>
  <r>
    <n v="8"/>
    <n v="23"/>
    <n v="1"/>
    <n v="19"/>
    <n v="1"/>
    <n v="0"/>
    <x v="7"/>
    <x v="0"/>
    <s v="KEC International"/>
    <n v="487"/>
    <n v="8.1"/>
    <x v="223"/>
  </r>
  <r>
    <n v="5"/>
    <n v="18"/>
    <n v="3"/>
    <n v="18"/>
    <n v="7"/>
    <n v="0"/>
    <x v="8"/>
    <x v="19"/>
    <s v="Ratnagiri Gas and Power Pvt. Ltd. (RGPPL)"/>
    <n v="535"/>
    <n v="7.4"/>
    <x v="1568"/>
  </r>
  <r>
    <n v="13"/>
    <n v="23"/>
    <n v="0"/>
    <n v="4"/>
    <n v="1"/>
    <n v="0"/>
    <x v="0"/>
    <x v="9"/>
    <s v="Toshiba Transmission &amp; Distribution Systems (India) Pvt. Ltd."/>
    <n v="252"/>
    <n v="7.9"/>
    <x v="1569"/>
  </r>
  <r>
    <n v="16"/>
    <n v="22"/>
    <n v="0"/>
    <n v="10"/>
    <n v="1"/>
    <n v="0"/>
    <x v="8"/>
    <x v="16"/>
    <s v="GE T&amp;D India Limited"/>
    <n v="376"/>
    <n v="0"/>
    <x v="1570"/>
  </r>
  <r>
    <n v="9"/>
    <n v="20"/>
    <n v="2"/>
    <n v="5"/>
    <n v="1"/>
    <n v="0"/>
    <x v="5"/>
    <x v="4"/>
    <s v="Optibelt Power Transmission India Private Limited"/>
    <n v="344"/>
    <n v="8.6999999999999993"/>
    <x v="1571"/>
  </r>
  <r>
    <n v="22"/>
    <n v="0"/>
    <n v="2"/>
    <n v="7"/>
    <n v="1"/>
    <n v="0"/>
    <x v="8"/>
    <x v="13"/>
    <s v="Orient Green"/>
    <n v="676"/>
    <n v="9.1999999999999993"/>
    <x v="1572"/>
  </r>
  <r>
    <n v="13"/>
    <n v="22"/>
    <n v="2"/>
    <n v="16"/>
    <n v="1"/>
    <n v="0"/>
    <x v="8"/>
    <x v="0"/>
    <s v="TransRail Lighting"/>
    <n v="545"/>
    <n v="8.1"/>
    <x v="472"/>
  </r>
  <r>
    <n v="7"/>
    <n v="20"/>
    <n v="0"/>
    <n v="5"/>
    <n v="1"/>
    <n v="0"/>
    <x v="1"/>
    <x v="16"/>
    <s v="Toshiba Transmission &amp; Distribution Systems (India) Pvt. Ltd."/>
    <n v="356"/>
    <n v="8.1999999999999993"/>
    <x v="1520"/>
  </r>
  <r>
    <n v="11"/>
    <n v="22"/>
    <n v="1"/>
    <n v="11"/>
    <n v="1"/>
    <n v="0"/>
    <x v="4"/>
    <x v="13"/>
    <s v="NHPC"/>
    <n v="400"/>
    <n v="9.1999999999999993"/>
    <x v="1573"/>
  </r>
  <r>
    <n v="9"/>
    <n v="18"/>
    <n v="3"/>
    <n v="13"/>
    <n v="7"/>
    <n v="0"/>
    <x v="12"/>
    <x v="4"/>
    <s v="NLC India"/>
    <n v="659"/>
    <n v="8.6999999999999993"/>
    <x v="1574"/>
  </r>
  <r>
    <n v="8"/>
    <n v="22"/>
    <n v="1"/>
    <n v="5"/>
    <n v="1"/>
    <n v="0"/>
    <x v="12"/>
    <x v="16"/>
    <s v="Reliance Power"/>
    <n v="263"/>
    <n v="8.1999999999999993"/>
    <x v="1575"/>
  </r>
  <r>
    <n v="12"/>
    <n v="22"/>
    <n v="0"/>
    <n v="6"/>
    <n v="1"/>
    <n v="0"/>
    <x v="3"/>
    <x v="4"/>
    <s v="Ratnagiri Gas and Power Pvt. Ltd. (RGPPL)"/>
    <n v="386"/>
    <n v="8.6999999999999993"/>
    <x v="24"/>
  </r>
  <r>
    <n v="18"/>
    <n v="22"/>
    <n v="1"/>
    <n v="3"/>
    <n v="12"/>
    <n v="0"/>
    <x v="9"/>
    <x v="16"/>
    <s v="Unitech Power Transmission Ltd."/>
    <n v="414"/>
    <n v="8.1999999999999993"/>
    <x v="1506"/>
  </r>
  <r>
    <n v="18"/>
    <n v="22"/>
    <n v="1"/>
    <n v="19"/>
    <n v="1"/>
    <n v="0"/>
    <x v="2"/>
    <x v="13"/>
    <s v="TransRail Lighting"/>
    <n v="476"/>
    <n v="9.1999999999999993"/>
    <x v="1576"/>
  </r>
  <r>
    <n v="6"/>
    <n v="18"/>
    <n v="0"/>
    <n v="0"/>
    <n v="1"/>
    <n v="0"/>
    <x v="7"/>
    <x v="20"/>
    <s v="NLC India"/>
    <n v="341"/>
    <n v="9.3000000000000007"/>
    <x v="1577"/>
  </r>
  <r>
    <n v="9"/>
    <n v="21"/>
    <n v="1"/>
    <n v="9"/>
    <n v="1"/>
    <n v="0"/>
    <x v="10"/>
    <x v="29"/>
    <s v="KEC International"/>
    <n v="474"/>
    <n v="0"/>
    <x v="395"/>
  </r>
  <r>
    <n v="6"/>
    <n v="22"/>
    <n v="1"/>
    <n v="7"/>
    <n v="1"/>
    <n v="0"/>
    <x v="9"/>
    <x v="8"/>
    <s v="sjvn ltd."/>
    <n v="411"/>
    <n v="8.4"/>
    <x v="1578"/>
  </r>
  <r>
    <n v="7"/>
    <n v="20"/>
    <n v="1"/>
    <n v="16"/>
    <n v="1"/>
    <n v="0"/>
    <x v="8"/>
    <x v="17"/>
    <s v="TransRail Lighting"/>
    <n v="412"/>
    <n v="8.8000000000000007"/>
    <x v="110"/>
  </r>
  <r>
    <n v="21"/>
    <n v="23"/>
    <n v="2"/>
    <n v="8"/>
    <n v="1"/>
    <n v="0"/>
    <x v="2"/>
    <x v="3"/>
    <s v="Reliance Energy"/>
    <n v="521"/>
    <n v="8.9"/>
    <x v="1579"/>
  </r>
  <r>
    <n v="0"/>
    <n v="18"/>
    <n v="0"/>
    <n v="14"/>
    <n v="1"/>
    <n v="0"/>
    <x v="7"/>
    <x v="1"/>
    <s v="Ringfeder Power Transmission India Pvt. Ltd."/>
    <n v="371"/>
    <n v="8.3000000000000007"/>
    <x v="1436"/>
  </r>
  <r>
    <n v="9"/>
    <n v="21"/>
    <n v="3"/>
    <n v="15"/>
    <n v="1"/>
    <n v="0"/>
    <x v="7"/>
    <x v="13"/>
    <s v="Neueon Towers / Sujana Towers Ltd."/>
    <n v="399"/>
    <n v="9.1999999999999993"/>
    <x v="1580"/>
  </r>
  <r>
    <n v="9"/>
    <n v="18"/>
    <n v="3"/>
    <n v="0"/>
    <n v="0"/>
    <n v="0"/>
    <x v="9"/>
    <x v="13"/>
    <s v="ge t&amp;d india limited"/>
    <n v="353"/>
    <n v="9.1999999999999993"/>
    <x v="83"/>
  </r>
  <r>
    <n v="14"/>
    <n v="23"/>
    <n v="0"/>
    <n v="21"/>
    <n v="1"/>
    <n v="0"/>
    <x v="8"/>
    <x v="13"/>
    <s v="Ringfeder Power Transmission India Pvt. Ltd."/>
    <n v="0"/>
    <n v="9.1999999999999993"/>
    <x v="52"/>
  </r>
  <r>
    <n v="19"/>
    <n v="23"/>
    <n v="0"/>
    <n v="7"/>
    <n v="1"/>
    <n v="0"/>
    <x v="6"/>
    <x v="0"/>
    <s v="Optibelt Power Transmission India Private Limited"/>
    <n v="350"/>
    <n v="8.1"/>
    <x v="1581"/>
  </r>
  <r>
    <n v="13"/>
    <n v="23"/>
    <n v="3"/>
    <n v="7"/>
    <n v="1"/>
    <n v="0"/>
    <x v="8"/>
    <x v="6"/>
    <s v="Tata Power Company Ltd."/>
    <n v="605"/>
    <n v="9.1"/>
    <x v="730"/>
  </r>
  <r>
    <n v="0"/>
    <n v="22"/>
    <n v="2"/>
    <n v="14"/>
    <n v="1"/>
    <n v="0"/>
    <x v="7"/>
    <x v="9"/>
    <s v="Jyoti Structure"/>
    <n v="593"/>
    <n v="7.9"/>
    <x v="1363"/>
  </r>
  <r>
    <n v="11"/>
    <n v="22"/>
    <n v="3"/>
    <n v="3"/>
    <n v="1"/>
    <n v="0"/>
    <x v="8"/>
    <x v="17"/>
    <s v="transrail lighting"/>
    <n v="409"/>
    <n v="8.8000000000000007"/>
    <x v="1582"/>
  </r>
  <r>
    <n v="6"/>
    <n v="23"/>
    <n v="3"/>
    <n v="13"/>
    <n v="1"/>
    <n v="0"/>
    <x v="5"/>
    <x v="17"/>
    <s v="Tata Power Company Ltd."/>
    <n v="477"/>
    <n v="8.8000000000000007"/>
    <x v="600"/>
  </r>
  <r>
    <n v="23"/>
    <n v="23"/>
    <n v="0"/>
    <n v="13"/>
    <n v="1"/>
    <n v="0"/>
    <x v="7"/>
    <x v="0"/>
    <s v="Tata Power Company Ltd."/>
    <n v="662"/>
    <n v="8.1"/>
    <x v="1583"/>
  </r>
  <r>
    <n v="21"/>
    <n v="22"/>
    <n v="0"/>
    <n v="12"/>
    <n v="1"/>
    <n v="0"/>
    <x v="11"/>
    <x v="9"/>
    <s v="L&amp;T Transmission &amp; Distribution"/>
    <n v="0"/>
    <n v="7.9"/>
    <x v="1584"/>
  </r>
  <r>
    <n v="9"/>
    <n v="20"/>
    <n v="2"/>
    <n v="17"/>
    <n v="1"/>
    <n v="0"/>
    <x v="8"/>
    <x v="19"/>
    <s v="unknown"/>
    <n v="0"/>
    <n v="7.4"/>
    <x v="1585"/>
  </r>
  <r>
    <n v="22"/>
    <n v="22"/>
    <n v="3"/>
    <n v="11"/>
    <n v="1"/>
    <n v="0"/>
    <x v="12"/>
    <x v="2"/>
    <s v="Sterlite Power Transmission Ltd"/>
    <n v="726"/>
    <n v="8.9"/>
    <x v="1443"/>
  </r>
  <r>
    <n v="9"/>
    <n v="23"/>
    <n v="3"/>
    <n v="6"/>
    <n v="1"/>
    <n v="0"/>
    <x v="1"/>
    <x v="0"/>
    <s v="Bonfiglioli Transmission Pvt. Ltd."/>
    <n v="532"/>
    <n v="8.1"/>
    <x v="1586"/>
  </r>
  <r>
    <n v="8"/>
    <n v="21"/>
    <n v="2"/>
    <n v="18"/>
    <n v="1"/>
    <n v="0"/>
    <x v="0"/>
    <x v="13"/>
    <s v="GE T&amp;D India Limited"/>
    <n v="347"/>
    <n v="9.1999999999999993"/>
    <x v="1587"/>
  </r>
  <r>
    <n v="15"/>
    <n v="22"/>
    <n v="2"/>
    <n v="6"/>
    <n v="1"/>
    <n v="0"/>
    <x v="1"/>
    <x v="29"/>
    <s v="Orient Green"/>
    <n v="543"/>
    <n v="9.3000000000000007"/>
    <x v="1588"/>
  </r>
  <r>
    <n v="8"/>
    <n v="19"/>
    <n v="2"/>
    <n v="7"/>
    <n v="7"/>
    <n v="0"/>
    <x v="1"/>
    <x v="16"/>
    <s v="Ringfeder Power Transmission India Pvt. Ltd."/>
    <n v="494"/>
    <n v="8.1999999999999993"/>
    <x v="321"/>
  </r>
  <r>
    <n v="21"/>
    <n v="22"/>
    <n v="0"/>
    <n v="5"/>
    <n v="1"/>
    <n v="0"/>
    <x v="11"/>
    <x v="14"/>
    <s v="KEC International"/>
    <n v="0"/>
    <n v="7.6"/>
    <x v="1589"/>
  </r>
  <r>
    <n v="8"/>
    <n v="22"/>
    <n v="3"/>
    <n v="11"/>
    <n v="1"/>
    <n v="0"/>
    <x v="12"/>
    <x v="7"/>
    <s v="Reliance Power"/>
    <n v="600"/>
    <n v="7.8"/>
    <x v="1590"/>
  </r>
  <r>
    <n v="12"/>
    <n v="23"/>
    <n v="3"/>
    <n v="21"/>
    <n v="1"/>
    <n v="0"/>
    <x v="6"/>
    <x v="4"/>
    <s v="NHPC"/>
    <n v="490"/>
    <n v="8.6999999999999993"/>
    <x v="1591"/>
  </r>
  <r>
    <n v="15"/>
    <n v="23"/>
    <n v="0"/>
    <n v="6"/>
    <n v="1"/>
    <n v="0"/>
    <x v="9"/>
    <x v="1"/>
    <s v="Orient Green"/>
    <n v="530"/>
    <n v="8.3000000000000007"/>
    <x v="1310"/>
  </r>
  <r>
    <n v="11"/>
    <n v="22"/>
    <n v="2"/>
    <n v="12"/>
    <n v="0"/>
    <n v="0"/>
    <x v="9"/>
    <x v="0"/>
    <s v="Reliance Power"/>
    <n v="0"/>
    <n v="8.1"/>
    <x v="132"/>
  </r>
  <r>
    <n v="15"/>
    <n v="22"/>
    <n v="3"/>
    <n v="17"/>
    <n v="1"/>
    <n v="0"/>
    <x v="0"/>
    <x v="9"/>
    <s v="JSW Energy Ltd."/>
    <n v="418"/>
    <n v="7.9"/>
    <x v="1592"/>
  </r>
  <r>
    <n v="9"/>
    <n v="20"/>
    <n v="0"/>
    <n v="17"/>
    <n v="1"/>
    <n v="0"/>
    <x v="6"/>
    <x v="5"/>
    <s v="Jyoti Structure"/>
    <n v="543"/>
    <n v="7.7"/>
    <x v="1593"/>
  </r>
  <r>
    <n v="0"/>
    <n v="0"/>
    <n v="3"/>
    <n v="12"/>
    <n v="0"/>
    <n v="0"/>
    <x v="5"/>
    <x v="8"/>
    <s v="Reliance Power"/>
    <n v="623"/>
    <n v="8.4"/>
    <x v="1594"/>
  </r>
  <r>
    <n v="11"/>
    <n v="23"/>
    <n v="2"/>
    <n v="18"/>
    <n v="1"/>
    <n v="0"/>
    <x v="6"/>
    <x v="10"/>
    <s v="Ringfeder Power Transmission India Pvt. Ltd."/>
    <n v="421"/>
    <n v="8.5"/>
    <x v="1595"/>
  </r>
  <r>
    <n v="8"/>
    <n v="19"/>
    <n v="1"/>
    <n v="10"/>
    <n v="1"/>
    <n v="0"/>
    <x v="8"/>
    <x v="13"/>
    <s v="Indowind Energy"/>
    <n v="445"/>
    <n v="9.1999999999999993"/>
    <x v="1596"/>
  </r>
  <r>
    <n v="6"/>
    <n v="20"/>
    <n v="0"/>
    <n v="10"/>
    <n v="1"/>
    <n v="0"/>
    <x v="6"/>
    <x v="4"/>
    <s v="Maha Transco â€“ Maharashtra State Electricity Transmission Co, Ltd."/>
    <n v="284"/>
    <n v="8.6999999999999993"/>
    <x v="1597"/>
  </r>
  <r>
    <n v="20"/>
    <n v="0"/>
    <n v="2"/>
    <n v="20"/>
    <n v="1"/>
    <n v="0"/>
    <x v="11"/>
    <x v="9"/>
    <s v="Unitech Power Transmission Ltd."/>
    <n v="619"/>
    <n v="7.9"/>
    <x v="1598"/>
  </r>
  <r>
    <n v="12"/>
    <n v="23"/>
    <n v="3"/>
    <n v="0"/>
    <n v="1"/>
    <n v="0"/>
    <x v="0"/>
    <x v="18"/>
    <s v="Ringfeder Power Transmission India Pvt. Ltd."/>
    <n v="496"/>
    <n v="0"/>
    <x v="1599"/>
  </r>
  <r>
    <n v="8"/>
    <n v="18"/>
    <n v="3"/>
    <n v="18"/>
    <n v="1"/>
    <n v="0"/>
    <x v="1"/>
    <x v="14"/>
    <s v="Indowind Energy"/>
    <n v="565"/>
    <n v="7.6"/>
    <x v="1600"/>
  </r>
  <r>
    <n v="20"/>
    <n v="0"/>
    <n v="2"/>
    <n v="6"/>
    <n v="1"/>
    <n v="0"/>
    <x v="3"/>
    <x v="16"/>
    <s v="maha transco â€“ maharashtra state electricity transmission co, ltd."/>
    <n v="650"/>
    <n v="8.1999999999999993"/>
    <x v="1601"/>
  </r>
  <r>
    <n v="15"/>
    <n v="22"/>
    <n v="0"/>
    <n v="0"/>
    <n v="1"/>
    <n v="0"/>
    <x v="3"/>
    <x v="9"/>
    <s v="L&amp;T Transmission &amp; Distribution"/>
    <n v="384"/>
    <n v="7.9"/>
    <x v="1602"/>
  </r>
  <r>
    <n v="20"/>
    <n v="23"/>
    <n v="0"/>
    <n v="4"/>
    <n v="12"/>
    <n v="0"/>
    <x v="4"/>
    <x v="8"/>
    <s v="Neueon Towers / Sujana Towers Ltd."/>
    <n v="640"/>
    <n v="8.4"/>
    <x v="406"/>
  </r>
  <r>
    <n v="7"/>
    <n v="18"/>
    <n v="0"/>
    <n v="10"/>
    <n v="0"/>
    <n v="0"/>
    <x v="4"/>
    <x v="20"/>
    <s v="JSW Energy Ltd."/>
    <n v="514"/>
    <n v="8.3000000000000007"/>
    <x v="1603"/>
  </r>
  <r>
    <n v="23"/>
    <n v="23"/>
    <n v="3"/>
    <n v="14"/>
    <n v="12"/>
    <n v="0"/>
    <x v="6"/>
    <x v="8"/>
    <s v="Power Grid Corp"/>
    <n v="0"/>
    <n v="8.4"/>
    <x v="1604"/>
  </r>
  <r>
    <n v="7"/>
    <n v="19"/>
    <n v="0"/>
    <n v="16"/>
    <n v="1"/>
    <n v="0"/>
    <x v="0"/>
    <x v="4"/>
    <s v="unknown"/>
    <n v="453"/>
    <n v="8.6999999999999993"/>
    <x v="1605"/>
  </r>
  <r>
    <n v="20"/>
    <n v="23"/>
    <n v="2"/>
    <n v="16"/>
    <n v="12"/>
    <n v="0"/>
    <x v="4"/>
    <x v="17"/>
    <s v="Guj Ind Power"/>
    <n v="753"/>
    <n v="8.8000000000000007"/>
    <x v="1280"/>
  </r>
  <r>
    <n v="14"/>
    <n v="0"/>
    <n v="3"/>
    <n v="16"/>
    <n v="1"/>
    <n v="0"/>
    <x v="10"/>
    <x v="9"/>
    <s v="CESC"/>
    <n v="580"/>
    <n v="7.9"/>
    <x v="1606"/>
  </r>
  <r>
    <n v="14"/>
    <n v="23"/>
    <n v="0"/>
    <n v="18"/>
    <n v="1"/>
    <n v="0"/>
    <x v="8"/>
    <x v="15"/>
    <s v="guj ind power"/>
    <n v="524"/>
    <n v="9.3000000000000007"/>
    <x v="1607"/>
  </r>
  <r>
    <n v="6"/>
    <n v="22"/>
    <n v="1"/>
    <n v="9"/>
    <n v="1"/>
    <n v="0"/>
    <x v="4"/>
    <x v="1"/>
    <s v="Sunil Hitech Eng"/>
    <n v="355"/>
    <n v="8.3000000000000007"/>
    <x v="1608"/>
  </r>
  <r>
    <n v="5"/>
    <n v="21"/>
    <n v="3"/>
    <n v="17"/>
    <n v="1"/>
    <n v="0"/>
    <x v="12"/>
    <x v="20"/>
    <s v="ge t&amp;d india limited"/>
    <n v="447"/>
    <n v="9.1"/>
    <x v="1609"/>
  </r>
  <r>
    <n v="16"/>
    <n v="22"/>
    <n v="1"/>
    <n v="15"/>
    <n v="1"/>
    <n v="0"/>
    <x v="3"/>
    <x v="6"/>
    <s v="Ringfeder Power Transmission India Pvt. Ltd."/>
    <n v="640"/>
    <n v="9.1"/>
    <x v="1357"/>
  </r>
  <r>
    <n v="11"/>
    <n v="23"/>
    <n v="0"/>
    <n v="8"/>
    <n v="1"/>
    <n v="0"/>
    <x v="5"/>
    <x v="7"/>
    <s v="Guj Ind Power"/>
    <n v="444"/>
    <n v="7.8"/>
    <x v="1610"/>
  </r>
  <r>
    <n v="5"/>
    <n v="20"/>
    <n v="3"/>
    <n v="7"/>
    <n v="1"/>
    <n v="0"/>
    <x v="4"/>
    <x v="3"/>
    <s v="Ringfeder Power Transmission India Pvt. Ltd."/>
    <n v="294"/>
    <n v="0"/>
    <x v="1611"/>
  </r>
  <r>
    <n v="22"/>
    <n v="22"/>
    <n v="1"/>
    <n v="16"/>
    <n v="1"/>
    <n v="0"/>
    <x v="3"/>
    <x v="20"/>
    <s v="NTPC Pvt. Ltd."/>
    <n v="699"/>
    <n v="9.1"/>
    <x v="394"/>
  </r>
  <r>
    <n v="12"/>
    <n v="23"/>
    <n v="1"/>
    <n v="20"/>
    <n v="1"/>
    <n v="0"/>
    <x v="4"/>
    <x v="3"/>
    <s v="Orient Green"/>
    <n v="577"/>
    <n v="0"/>
    <x v="1612"/>
  </r>
  <r>
    <n v="7"/>
    <n v="18"/>
    <n v="2"/>
    <n v="19"/>
    <n v="1"/>
    <n v="0"/>
    <x v="4"/>
    <x v="15"/>
    <s v="transrail lighting"/>
    <n v="486"/>
    <n v="9.3000000000000007"/>
    <x v="195"/>
  </r>
  <r>
    <n v="11"/>
    <n v="22"/>
    <n v="3"/>
    <n v="21"/>
    <n v="1"/>
    <n v="0"/>
    <x v="7"/>
    <x v="18"/>
    <s v="unknown"/>
    <n v="596"/>
    <n v="8.3000000000000007"/>
    <x v="1613"/>
  </r>
  <r>
    <n v="17"/>
    <n v="22"/>
    <n v="1"/>
    <n v="6"/>
    <n v="1"/>
    <n v="0"/>
    <x v="10"/>
    <x v="5"/>
    <s v="L&amp;T Transmission &amp; Distribution"/>
    <n v="561"/>
    <n v="7.7"/>
    <x v="1614"/>
  </r>
  <r>
    <n v="18"/>
    <n v="22"/>
    <n v="1"/>
    <n v="0"/>
    <n v="12"/>
    <n v="0"/>
    <x v="2"/>
    <x v="3"/>
    <s v="Maha Transco â€“ Maharashtra State Electricity Transmission Co, Ltd."/>
    <n v="757"/>
    <n v="8.9"/>
    <x v="1615"/>
  </r>
  <r>
    <n v="14"/>
    <n v="22"/>
    <n v="3"/>
    <n v="6"/>
    <n v="1"/>
    <n v="0"/>
    <x v="9"/>
    <x v="29"/>
    <s v="Guj Ind Power"/>
    <n v="560"/>
    <n v="9.3000000000000007"/>
    <x v="24"/>
  </r>
  <r>
    <n v="17"/>
    <n v="23"/>
    <n v="2"/>
    <n v="18"/>
    <n v="1"/>
    <n v="0"/>
    <x v="11"/>
    <x v="7"/>
    <s v="KEC International"/>
    <n v="703"/>
    <n v="7.8"/>
    <x v="1616"/>
  </r>
  <r>
    <n v="21"/>
    <n v="22"/>
    <n v="3"/>
    <n v="17"/>
    <n v="0"/>
    <n v="0"/>
    <x v="2"/>
    <x v="5"/>
    <s v="Indowind Energy"/>
    <n v="512"/>
    <n v="7.7"/>
    <x v="1500"/>
  </r>
  <r>
    <n v="20"/>
    <n v="22"/>
    <n v="3"/>
    <n v="5"/>
    <n v="1"/>
    <n v="0"/>
    <x v="8"/>
    <x v="19"/>
    <s v="Reliance Energy"/>
    <n v="612"/>
    <n v="7.4"/>
    <x v="1617"/>
  </r>
  <r>
    <n v="21"/>
    <n v="23"/>
    <n v="2"/>
    <n v="5"/>
    <n v="1"/>
    <n v="0"/>
    <x v="10"/>
    <x v="11"/>
    <s v="JSW Energy Ltd."/>
    <n v="417"/>
    <n v="8.4"/>
    <x v="24"/>
  </r>
  <r>
    <n v="11"/>
    <n v="22"/>
    <n v="3"/>
    <n v="0"/>
    <n v="1"/>
    <n v="0"/>
    <x v="2"/>
    <x v="9"/>
    <s v="Indowind Energy"/>
    <n v="565"/>
    <n v="7.9"/>
    <x v="1618"/>
  </r>
  <r>
    <n v="11"/>
    <n v="23"/>
    <n v="2"/>
    <n v="9"/>
    <n v="1"/>
    <n v="0"/>
    <x v="8"/>
    <x v="14"/>
    <s v="Indowind Energy"/>
    <n v="509"/>
    <n v="7.6"/>
    <x v="1619"/>
  </r>
  <r>
    <n v="12"/>
    <n v="22"/>
    <n v="1"/>
    <n v="4"/>
    <n v="1"/>
    <n v="0"/>
    <x v="9"/>
    <x v="17"/>
    <s v="L&amp;T Transmission &amp; Distribution"/>
    <n v="518"/>
    <n v="8.8000000000000007"/>
    <x v="143"/>
  </r>
  <r>
    <n v="5"/>
    <n v="19"/>
    <n v="2"/>
    <n v="4"/>
    <n v="1"/>
    <n v="0"/>
    <x v="9"/>
    <x v="14"/>
    <s v="Adani Power Ltd."/>
    <n v="236"/>
    <n v="7.6"/>
    <x v="1620"/>
  </r>
  <r>
    <n v="16"/>
    <n v="22"/>
    <n v="1"/>
    <n v="11"/>
    <n v="0"/>
    <n v="0"/>
    <x v="4"/>
    <x v="1"/>
    <s v="sjvn ltd."/>
    <n v="622"/>
    <n v="8.3000000000000007"/>
    <x v="1621"/>
  </r>
  <r>
    <n v="7"/>
    <n v="17"/>
    <n v="3"/>
    <n v="14"/>
    <n v="1"/>
    <n v="0"/>
    <x v="1"/>
    <x v="13"/>
    <s v="Torrent Power Ltd."/>
    <n v="325"/>
    <n v="9.1999999999999993"/>
    <x v="1622"/>
  </r>
  <r>
    <n v="0"/>
    <n v="17"/>
    <n v="0"/>
    <n v="12"/>
    <n v="0"/>
    <n v="0"/>
    <x v="0"/>
    <x v="3"/>
    <s v="reliance energy"/>
    <n v="389"/>
    <n v="8.9"/>
    <x v="85"/>
  </r>
  <r>
    <n v="23"/>
    <n v="0"/>
    <n v="0"/>
    <n v="15"/>
    <n v="1"/>
    <n v="0"/>
    <x v="1"/>
    <x v="13"/>
    <s v="Sterlite Power Transmission Ltd"/>
    <n v="476"/>
    <n v="9.1999999999999993"/>
    <x v="1576"/>
  </r>
  <r>
    <n v="12"/>
    <n v="22"/>
    <n v="2"/>
    <n v="11"/>
    <n v="1"/>
    <n v="0"/>
    <x v="2"/>
    <x v="5"/>
    <s v="sunil hitech eng"/>
    <n v="465"/>
    <n v="7.7"/>
    <x v="1374"/>
  </r>
  <r>
    <n v="22"/>
    <n v="22"/>
    <n v="2"/>
    <n v="12"/>
    <n v="1"/>
    <n v="0"/>
    <x v="5"/>
    <x v="5"/>
    <s v="reliance energy"/>
    <n v="666"/>
    <n v="7.7"/>
    <x v="1623"/>
  </r>
  <r>
    <n v="17"/>
    <n v="22"/>
    <n v="0"/>
    <n v="8"/>
    <n v="1"/>
    <n v="0"/>
    <x v="8"/>
    <x v="6"/>
    <s v="indowind energy"/>
    <n v="511"/>
    <n v="9.1"/>
    <x v="1624"/>
  </r>
  <r>
    <n v="7"/>
    <n v="18"/>
    <n v="3"/>
    <n v="9"/>
    <n v="7"/>
    <n v="0"/>
    <x v="11"/>
    <x v="13"/>
    <s v="ntpc pvt. ltd."/>
    <n v="480"/>
    <n v="9.1999999999999993"/>
    <x v="52"/>
  </r>
  <r>
    <n v="13"/>
    <n v="22"/>
    <n v="0"/>
    <n v="10"/>
    <n v="12"/>
    <n v="0"/>
    <x v="3"/>
    <x v="3"/>
    <s v="SJVN Ltd."/>
    <n v="449"/>
    <n v="8.9"/>
    <x v="1625"/>
  </r>
  <r>
    <n v="23"/>
    <n v="23"/>
    <n v="2"/>
    <n v="12"/>
    <n v="1"/>
    <n v="0"/>
    <x v="8"/>
    <x v="2"/>
    <s v="CESC"/>
    <n v="579"/>
    <n v="8.9"/>
    <x v="1626"/>
  </r>
  <r>
    <n v="16"/>
    <n v="23"/>
    <n v="1"/>
    <n v="9"/>
    <n v="1"/>
    <n v="0"/>
    <x v="0"/>
    <x v="10"/>
    <s v="unknown"/>
    <n v="560"/>
    <n v="8.5"/>
    <x v="1467"/>
  </r>
  <r>
    <n v="22"/>
    <n v="23"/>
    <n v="0"/>
    <n v="6"/>
    <n v="1"/>
    <n v="0"/>
    <x v="2"/>
    <x v="1"/>
    <s v="Reliance Power"/>
    <n v="548"/>
    <n v="8.3000000000000007"/>
    <x v="1627"/>
  </r>
  <r>
    <n v="15"/>
    <n v="22"/>
    <n v="2"/>
    <n v="4"/>
    <n v="1"/>
    <n v="0"/>
    <x v="5"/>
    <x v="16"/>
    <s v="Torrent Power Ltd."/>
    <n v="525"/>
    <n v="8.1999999999999993"/>
    <x v="1628"/>
  </r>
  <r>
    <n v="16"/>
    <n v="23"/>
    <n v="2"/>
    <n v="16"/>
    <n v="1"/>
    <n v="0"/>
    <x v="7"/>
    <x v="10"/>
    <s v="KEC International"/>
    <n v="685"/>
    <n v="8.5"/>
    <x v="1629"/>
  </r>
  <r>
    <n v="11"/>
    <n v="22"/>
    <n v="2"/>
    <n v="13"/>
    <n v="1"/>
    <n v="0"/>
    <x v="6"/>
    <x v="13"/>
    <s v="Reliance Energy"/>
    <n v="385"/>
    <n v="9.1999999999999993"/>
    <x v="1630"/>
  </r>
  <r>
    <n v="7"/>
    <n v="19"/>
    <n v="0"/>
    <n v="14"/>
    <n v="1"/>
    <n v="0"/>
    <x v="11"/>
    <x v="29"/>
    <s v="JSW Energy Ltd."/>
    <n v="559"/>
    <n v="9.3000000000000007"/>
    <x v="1631"/>
  </r>
  <r>
    <n v="23"/>
    <n v="22"/>
    <n v="2"/>
    <n v="20"/>
    <n v="1"/>
    <n v="0"/>
    <x v="2"/>
    <x v="15"/>
    <s v="NTPC Pvt. Ltd."/>
    <n v="545"/>
    <n v="9.3000000000000007"/>
    <x v="1402"/>
  </r>
  <r>
    <n v="21"/>
    <n v="22"/>
    <n v="0"/>
    <n v="3"/>
    <n v="1"/>
    <n v="0"/>
    <x v="5"/>
    <x v="14"/>
    <s v="CESC"/>
    <n v="462"/>
    <n v="7.6"/>
    <x v="1632"/>
  </r>
  <r>
    <n v="23"/>
    <n v="0"/>
    <n v="1"/>
    <n v="12"/>
    <n v="1"/>
    <n v="0"/>
    <x v="8"/>
    <x v="14"/>
    <s v="SJVN Ltd."/>
    <n v="582"/>
    <n v="7.6"/>
    <x v="1633"/>
  </r>
  <r>
    <n v="12"/>
    <n v="22"/>
    <n v="1"/>
    <n v="15"/>
    <n v="1"/>
    <n v="0"/>
    <x v="7"/>
    <x v="17"/>
    <s v="TransRail Lighting"/>
    <n v="517"/>
    <n v="8.8000000000000007"/>
    <x v="1634"/>
  </r>
  <r>
    <n v="20"/>
    <n v="22"/>
    <n v="3"/>
    <n v="7"/>
    <n v="12"/>
    <n v="0"/>
    <x v="0"/>
    <x v="19"/>
    <s v="L&amp;T Transmission &amp; Distribution"/>
    <n v="659"/>
    <n v="7.4"/>
    <x v="1635"/>
  </r>
  <r>
    <n v="13"/>
    <n v="22"/>
    <n v="3"/>
    <n v="10"/>
    <n v="1"/>
    <n v="0"/>
    <x v="1"/>
    <x v="3"/>
    <s v="Indowind Energy"/>
    <n v="0"/>
    <n v="8.9"/>
    <x v="1636"/>
  </r>
  <r>
    <n v="6"/>
    <n v="19"/>
    <n v="2"/>
    <n v="10"/>
    <n v="1"/>
    <n v="0"/>
    <x v="6"/>
    <x v="8"/>
    <s v="Reliance Power"/>
    <n v="475"/>
    <n v="8.4"/>
    <x v="447"/>
  </r>
  <r>
    <n v="14"/>
    <n v="22"/>
    <n v="3"/>
    <n v="16"/>
    <n v="1"/>
    <n v="0"/>
    <x v="8"/>
    <x v="0"/>
    <s v="Sunil Hitech Eng"/>
    <n v="678"/>
    <n v="8.1"/>
    <x v="24"/>
  </r>
  <r>
    <n v="17"/>
    <n v="22"/>
    <n v="0"/>
    <n v="7"/>
    <n v="12"/>
    <n v="0"/>
    <x v="12"/>
    <x v="5"/>
    <s v="Ringfeder Power Transmission India Pvt. Ltd."/>
    <n v="618"/>
    <n v="7.7"/>
    <x v="1209"/>
  </r>
  <r>
    <n v="11"/>
    <n v="22"/>
    <n v="0"/>
    <n v="0"/>
    <n v="12"/>
    <n v="0"/>
    <x v="9"/>
    <x v="16"/>
    <s v="TransRail Lighting"/>
    <n v="642"/>
    <n v="8.1999999999999993"/>
    <x v="1637"/>
  </r>
  <r>
    <n v="23"/>
    <n v="22"/>
    <n v="1"/>
    <n v="4"/>
    <n v="1"/>
    <n v="0"/>
    <x v="9"/>
    <x v="9"/>
    <s v="Maha Transco â€“ Maharashtra State Electricity Transmission Co, Ltd."/>
    <n v="461"/>
    <n v="7.9"/>
    <x v="1638"/>
  </r>
  <r>
    <n v="0"/>
    <n v="18"/>
    <n v="1"/>
    <n v="12"/>
    <n v="1"/>
    <n v="0"/>
    <x v="0"/>
    <x v="34"/>
    <s v="GE T&amp;D India Limited"/>
    <n v="407"/>
    <n v="9.1"/>
    <x v="1639"/>
  </r>
  <r>
    <n v="20"/>
    <n v="22"/>
    <n v="3"/>
    <n v="20"/>
    <n v="12"/>
    <n v="0"/>
    <x v="6"/>
    <x v="0"/>
    <s v="Sterlite Power Transmission Ltd"/>
    <n v="662"/>
    <n v="8.1"/>
    <x v="1583"/>
  </r>
  <r>
    <n v="16"/>
    <n v="23"/>
    <n v="0"/>
    <n v="15"/>
    <n v="1"/>
    <n v="0"/>
    <x v="4"/>
    <x v="10"/>
    <s v="Toshiba Transmission &amp; Distribution Systems (India) Pvt. Ltd."/>
    <n v="646"/>
    <n v="8.5"/>
    <x v="1321"/>
  </r>
  <r>
    <n v="21"/>
    <n v="23"/>
    <n v="2"/>
    <n v="11"/>
    <n v="1"/>
    <n v="0"/>
    <x v="9"/>
    <x v="1"/>
    <s v="KEC International"/>
    <n v="584"/>
    <n v="8.3000000000000007"/>
    <x v="24"/>
  </r>
  <r>
    <n v="23"/>
    <n v="22"/>
    <n v="0"/>
    <n v="7"/>
    <n v="1"/>
    <n v="0"/>
    <x v="5"/>
    <x v="3"/>
    <s v="Unitech Power Transmission Ltd."/>
    <n v="469"/>
    <n v="8.9"/>
    <x v="30"/>
  </r>
  <r>
    <n v="18"/>
    <n v="22"/>
    <n v="1"/>
    <n v="21"/>
    <n v="1"/>
    <n v="0"/>
    <x v="10"/>
    <x v="1"/>
    <s v="Bonfiglioli Transmission Pvt. Ltd."/>
    <n v="552"/>
    <n v="8.3000000000000007"/>
    <x v="1640"/>
  </r>
  <r>
    <n v="7"/>
    <n v="22"/>
    <n v="0"/>
    <n v="7"/>
    <n v="0"/>
    <n v="0"/>
    <x v="3"/>
    <x v="17"/>
    <s v="Neueon Towers / Sujana Towers Ltd."/>
    <n v="302"/>
    <n v="8.8000000000000007"/>
    <x v="24"/>
  </r>
  <r>
    <n v="0"/>
    <n v="0"/>
    <n v="1"/>
    <n v="8"/>
    <n v="0"/>
    <n v="0"/>
    <x v="10"/>
    <x v="12"/>
    <s v="Sunil Hitech Eng"/>
    <n v="427"/>
    <n v="8.6999999999999993"/>
    <x v="1641"/>
  </r>
  <r>
    <n v="14"/>
    <n v="23"/>
    <n v="0"/>
    <n v="6"/>
    <n v="1"/>
    <n v="0"/>
    <x v="12"/>
    <x v="19"/>
    <s v="tata power company ltd."/>
    <n v="488"/>
    <n v="7.4"/>
    <x v="1642"/>
  </r>
  <r>
    <n v="21"/>
    <n v="22"/>
    <n v="0"/>
    <n v="22"/>
    <n v="1"/>
    <n v="0"/>
    <x v="4"/>
    <x v="5"/>
    <s v="Sterlite Power Transmission Ltd"/>
    <n v="487"/>
    <n v="7.7"/>
    <x v="1643"/>
  </r>
  <r>
    <n v="18"/>
    <n v="22"/>
    <n v="1"/>
    <n v="5"/>
    <n v="12"/>
    <n v="0"/>
    <x v="11"/>
    <x v="17"/>
    <s v="Reliance Energy"/>
    <n v="626"/>
    <n v="8.8000000000000007"/>
    <x v="16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6">
  <r>
    <n v="15"/>
    <n v="23"/>
    <n v="1"/>
    <n v="7"/>
    <n v="0"/>
    <n v="0"/>
    <x v="0"/>
    <x v="0"/>
    <x v="0"/>
    <n v="460"/>
    <n v="8.1"/>
    <x v="0"/>
  </r>
  <r>
    <n v="13"/>
    <n v="23"/>
    <n v="2"/>
    <n v="12"/>
    <n v="1"/>
    <n v="0"/>
    <x v="1"/>
    <x v="1"/>
    <x v="1"/>
    <n v="525"/>
    <n v="8.3000000000000007"/>
    <x v="1"/>
  </r>
  <r>
    <n v="22"/>
    <n v="22"/>
    <n v="2"/>
    <n v="9"/>
    <n v="1"/>
    <n v="0"/>
    <x v="2"/>
    <x v="2"/>
    <x v="2"/>
    <n v="500"/>
    <n v="8.9"/>
    <x v="2"/>
  </r>
  <r>
    <n v="5"/>
    <n v="18"/>
    <n v="0"/>
    <n v="0"/>
    <n v="1"/>
    <n v="0"/>
    <x v="3"/>
    <x v="1"/>
    <x v="3"/>
    <n v="411"/>
    <n v="8.3000000000000007"/>
    <x v="3"/>
  </r>
  <r>
    <n v="19"/>
    <n v="23"/>
    <n v="2"/>
    <n v="4"/>
    <n v="1"/>
    <n v="0"/>
    <x v="0"/>
    <x v="3"/>
    <x v="4"/>
    <n v="564"/>
    <n v="8.9"/>
    <x v="4"/>
  </r>
  <r>
    <n v="0"/>
    <n v="22"/>
    <n v="1"/>
    <n v="14"/>
    <n v="0"/>
    <n v="0"/>
    <x v="2"/>
    <x v="4"/>
    <x v="0"/>
    <n v="352"/>
    <n v="8.6999999999999993"/>
    <x v="5"/>
  </r>
  <r>
    <n v="11"/>
    <n v="22"/>
    <n v="3"/>
    <n v="17"/>
    <n v="1"/>
    <n v="0"/>
    <x v="4"/>
    <x v="1"/>
    <x v="5"/>
    <n v="711"/>
    <n v="8.3000000000000007"/>
    <x v="6"/>
  </r>
  <r>
    <n v="7"/>
    <n v="21"/>
    <n v="3"/>
    <n v="19"/>
    <n v="7"/>
    <n v="0"/>
    <x v="3"/>
    <x v="5"/>
    <x v="6"/>
    <n v="658"/>
    <n v="7.7"/>
    <x v="7"/>
  </r>
  <r>
    <n v="6"/>
    <n v="20"/>
    <n v="1"/>
    <n v="6"/>
    <n v="1"/>
    <n v="0"/>
    <x v="5"/>
    <x v="3"/>
    <x v="7"/>
    <n v="256"/>
    <n v="8.9"/>
    <x v="8"/>
  </r>
  <r>
    <n v="22"/>
    <n v="23"/>
    <n v="0"/>
    <n v="20"/>
    <n v="1"/>
    <n v="0"/>
    <x v="2"/>
    <x v="6"/>
    <x v="8"/>
    <n v="677"/>
    <n v="9.1"/>
    <x v="9"/>
  </r>
  <r>
    <n v="11"/>
    <n v="22"/>
    <n v="3"/>
    <n v="9"/>
    <n v="12"/>
    <n v="0"/>
    <x v="6"/>
    <x v="1"/>
    <x v="9"/>
    <n v="676"/>
    <n v="0"/>
    <x v="10"/>
  </r>
  <r>
    <n v="18"/>
    <n v="22"/>
    <n v="2"/>
    <n v="0"/>
    <n v="12"/>
    <n v="0"/>
    <x v="0"/>
    <x v="4"/>
    <x v="10"/>
    <n v="535"/>
    <n v="8.6999999999999993"/>
    <x v="11"/>
  </r>
  <r>
    <n v="21"/>
    <n v="23"/>
    <n v="1"/>
    <n v="8"/>
    <n v="1"/>
    <n v="0"/>
    <x v="3"/>
    <x v="7"/>
    <x v="11"/>
    <n v="407"/>
    <n v="0"/>
    <x v="12"/>
  </r>
  <r>
    <n v="16"/>
    <n v="23"/>
    <n v="2"/>
    <n v="13"/>
    <n v="1"/>
    <n v="0"/>
    <x v="3"/>
    <x v="8"/>
    <x v="2"/>
    <n v="508"/>
    <n v="8.4"/>
    <x v="13"/>
  </r>
  <r>
    <n v="9"/>
    <n v="22"/>
    <n v="0"/>
    <n v="5"/>
    <n v="7"/>
    <n v="0"/>
    <x v="7"/>
    <x v="9"/>
    <x v="12"/>
    <n v="365"/>
    <n v="7.9"/>
    <x v="14"/>
  </r>
  <r>
    <n v="9"/>
    <n v="20"/>
    <n v="0"/>
    <n v="17"/>
    <n v="7"/>
    <n v="0"/>
    <x v="8"/>
    <x v="0"/>
    <x v="10"/>
    <n v="556"/>
    <n v="8.1"/>
    <x v="15"/>
  </r>
  <r>
    <n v="21"/>
    <n v="22"/>
    <n v="1"/>
    <n v="22"/>
    <n v="12"/>
    <n v="0"/>
    <x v="9"/>
    <x v="10"/>
    <x v="13"/>
    <n v="661"/>
    <n v="8.5"/>
    <x v="16"/>
  </r>
  <r>
    <n v="7"/>
    <n v="20"/>
    <n v="0"/>
    <n v="22"/>
    <n v="1"/>
    <n v="0"/>
    <x v="3"/>
    <x v="5"/>
    <x v="14"/>
    <n v="352"/>
    <n v="7.7"/>
    <x v="17"/>
  </r>
  <r>
    <n v="8"/>
    <n v="22"/>
    <n v="0"/>
    <n v="11"/>
    <n v="1"/>
    <n v="0"/>
    <x v="7"/>
    <x v="8"/>
    <x v="15"/>
    <n v="509"/>
    <n v="8.4"/>
    <x v="18"/>
  </r>
  <r>
    <n v="21"/>
    <n v="23"/>
    <n v="0"/>
    <n v="12"/>
    <n v="1"/>
    <n v="0"/>
    <x v="0"/>
    <x v="11"/>
    <x v="3"/>
    <n v="478"/>
    <n v="8.4"/>
    <x v="19"/>
  </r>
  <r>
    <n v="8"/>
    <n v="23"/>
    <n v="0"/>
    <n v="4"/>
    <n v="1"/>
    <n v="0"/>
    <x v="1"/>
    <x v="5"/>
    <x v="9"/>
    <n v="399"/>
    <n v="7.7"/>
    <x v="20"/>
  </r>
  <r>
    <n v="11"/>
    <n v="22"/>
    <n v="3"/>
    <n v="8"/>
    <n v="1"/>
    <n v="0"/>
    <x v="3"/>
    <x v="7"/>
    <x v="16"/>
    <n v="479"/>
    <n v="7.8"/>
    <x v="21"/>
  </r>
  <r>
    <n v="10"/>
    <n v="19"/>
    <n v="2"/>
    <n v="5"/>
    <n v="1"/>
    <n v="0"/>
    <x v="3"/>
    <x v="9"/>
    <x v="15"/>
    <n v="366"/>
    <n v="7.9"/>
    <x v="22"/>
  </r>
  <r>
    <n v="7"/>
    <n v="22"/>
    <n v="3"/>
    <n v="20"/>
    <n v="1"/>
    <n v="0"/>
    <x v="1"/>
    <x v="5"/>
    <x v="13"/>
    <n v="683"/>
    <n v="7.7"/>
    <x v="23"/>
  </r>
  <r>
    <n v="15"/>
    <n v="22"/>
    <n v="3"/>
    <n v="16"/>
    <n v="12"/>
    <n v="0"/>
    <x v="6"/>
    <x v="8"/>
    <x v="4"/>
    <n v="633"/>
    <n v="8.4"/>
    <x v="24"/>
  </r>
  <r>
    <n v="14"/>
    <n v="22"/>
    <n v="2"/>
    <n v="21"/>
    <n v="12"/>
    <n v="0"/>
    <x v="0"/>
    <x v="12"/>
    <x v="2"/>
    <n v="668"/>
    <n v="8.6999999999999993"/>
    <x v="25"/>
  </r>
  <r>
    <n v="13"/>
    <n v="0"/>
    <n v="3"/>
    <n v="20"/>
    <n v="1"/>
    <n v="0"/>
    <x v="1"/>
    <x v="5"/>
    <x v="17"/>
    <n v="638"/>
    <n v="7.7"/>
    <x v="26"/>
  </r>
  <r>
    <n v="5"/>
    <n v="0"/>
    <n v="3"/>
    <n v="6"/>
    <n v="1"/>
    <n v="0"/>
    <x v="3"/>
    <x v="7"/>
    <x v="17"/>
    <n v="0"/>
    <n v="7.8"/>
    <x v="27"/>
  </r>
  <r>
    <n v="6"/>
    <n v="22"/>
    <n v="0"/>
    <n v="5"/>
    <n v="1"/>
    <n v="0"/>
    <x v="10"/>
    <x v="13"/>
    <x v="18"/>
    <n v="228"/>
    <n v="9.1999999999999993"/>
    <x v="28"/>
  </r>
  <r>
    <n v="6"/>
    <n v="22"/>
    <n v="2"/>
    <n v="9"/>
    <n v="1"/>
    <n v="0"/>
    <x v="7"/>
    <x v="3"/>
    <x v="17"/>
    <n v="569"/>
    <n v="8.9"/>
    <x v="29"/>
  </r>
  <r>
    <n v="8"/>
    <n v="18"/>
    <n v="2"/>
    <n v="12"/>
    <n v="1"/>
    <n v="0"/>
    <x v="6"/>
    <x v="3"/>
    <x v="19"/>
    <n v="469"/>
    <n v="8.9"/>
    <x v="30"/>
  </r>
  <r>
    <n v="15"/>
    <n v="22"/>
    <n v="0"/>
    <n v="7"/>
    <n v="1"/>
    <n v="0"/>
    <x v="6"/>
    <x v="9"/>
    <x v="9"/>
    <n v="453"/>
    <n v="7.9"/>
    <x v="24"/>
  </r>
  <r>
    <n v="17"/>
    <n v="23"/>
    <n v="0"/>
    <n v="8"/>
    <n v="1"/>
    <n v="0"/>
    <x v="4"/>
    <x v="14"/>
    <x v="20"/>
    <n v="531"/>
    <n v="7.6"/>
    <x v="31"/>
  </r>
  <r>
    <n v="19"/>
    <n v="23"/>
    <n v="1"/>
    <n v="13"/>
    <n v="1"/>
    <n v="0"/>
    <x v="1"/>
    <x v="1"/>
    <x v="18"/>
    <n v="527"/>
    <n v="8.3000000000000007"/>
    <x v="32"/>
  </r>
  <r>
    <n v="23"/>
    <n v="22"/>
    <n v="0"/>
    <n v="9"/>
    <n v="12"/>
    <n v="0"/>
    <x v="8"/>
    <x v="15"/>
    <x v="14"/>
    <n v="0"/>
    <n v="9.3000000000000007"/>
    <x v="33"/>
  </r>
  <r>
    <n v="23"/>
    <n v="23"/>
    <n v="1"/>
    <n v="10"/>
    <n v="12"/>
    <n v="0"/>
    <x v="6"/>
    <x v="14"/>
    <x v="21"/>
    <n v="500"/>
    <n v="7.6"/>
    <x v="34"/>
  </r>
  <r>
    <n v="12"/>
    <n v="22"/>
    <n v="3"/>
    <n v="22"/>
    <n v="1"/>
    <n v="0"/>
    <x v="5"/>
    <x v="16"/>
    <x v="22"/>
    <n v="522"/>
    <n v="8.1999999999999993"/>
    <x v="35"/>
  </r>
  <r>
    <n v="16"/>
    <n v="23"/>
    <n v="0"/>
    <n v="8"/>
    <n v="1"/>
    <n v="0"/>
    <x v="8"/>
    <x v="7"/>
    <x v="19"/>
    <n v="503"/>
    <n v="7.8"/>
    <x v="36"/>
  </r>
  <r>
    <n v="5"/>
    <n v="20"/>
    <n v="0"/>
    <n v="14"/>
    <n v="1"/>
    <n v="0"/>
    <x v="9"/>
    <x v="16"/>
    <x v="23"/>
    <n v="492"/>
    <n v="8.1999999999999993"/>
    <x v="24"/>
  </r>
  <r>
    <n v="7"/>
    <n v="23"/>
    <n v="2"/>
    <n v="21"/>
    <n v="7"/>
    <n v="0"/>
    <x v="1"/>
    <x v="4"/>
    <x v="24"/>
    <n v="681"/>
    <n v="0"/>
    <x v="37"/>
  </r>
  <r>
    <n v="14"/>
    <n v="22"/>
    <n v="3"/>
    <n v="3"/>
    <n v="1"/>
    <n v="0"/>
    <x v="6"/>
    <x v="16"/>
    <x v="25"/>
    <n v="434"/>
    <n v="8.1999999999999993"/>
    <x v="38"/>
  </r>
  <r>
    <n v="7"/>
    <n v="18"/>
    <n v="3"/>
    <n v="4"/>
    <n v="1"/>
    <n v="0"/>
    <x v="1"/>
    <x v="8"/>
    <x v="18"/>
    <n v="417"/>
    <n v="8.4"/>
    <x v="39"/>
  </r>
  <r>
    <n v="21"/>
    <n v="22"/>
    <n v="2"/>
    <n v="15"/>
    <n v="1"/>
    <n v="0"/>
    <x v="7"/>
    <x v="7"/>
    <x v="3"/>
    <n v="436"/>
    <n v="7.8"/>
    <x v="40"/>
  </r>
  <r>
    <n v="20"/>
    <n v="23"/>
    <n v="3"/>
    <n v="4"/>
    <n v="12"/>
    <n v="0"/>
    <x v="6"/>
    <x v="9"/>
    <x v="1"/>
    <n v="585"/>
    <n v="7.9"/>
    <x v="41"/>
  </r>
  <r>
    <n v="19"/>
    <n v="22"/>
    <n v="3"/>
    <n v="7"/>
    <n v="12"/>
    <n v="0"/>
    <x v="11"/>
    <x v="17"/>
    <x v="26"/>
    <n v="715"/>
    <n v="0"/>
    <x v="42"/>
  </r>
  <r>
    <n v="15"/>
    <n v="22"/>
    <n v="0"/>
    <n v="5"/>
    <n v="1"/>
    <n v="0"/>
    <x v="2"/>
    <x v="18"/>
    <x v="5"/>
    <n v="303"/>
    <n v="8.3000000000000007"/>
    <x v="43"/>
  </r>
  <r>
    <n v="14"/>
    <n v="23"/>
    <n v="2"/>
    <n v="7"/>
    <n v="1"/>
    <n v="0"/>
    <x v="8"/>
    <x v="19"/>
    <x v="27"/>
    <n v="584"/>
    <n v="7.4"/>
    <x v="44"/>
  </r>
  <r>
    <n v="18"/>
    <n v="23"/>
    <n v="2"/>
    <n v="7"/>
    <n v="1"/>
    <n v="0"/>
    <x v="2"/>
    <x v="1"/>
    <x v="8"/>
    <n v="470"/>
    <n v="8.3000000000000007"/>
    <x v="45"/>
  </r>
  <r>
    <n v="9"/>
    <n v="18"/>
    <n v="2"/>
    <n v="10"/>
    <n v="7"/>
    <n v="0"/>
    <x v="3"/>
    <x v="11"/>
    <x v="17"/>
    <n v="444"/>
    <n v="8.4"/>
    <x v="46"/>
  </r>
  <r>
    <n v="15"/>
    <n v="23"/>
    <n v="2"/>
    <n v="10"/>
    <n v="12"/>
    <n v="0"/>
    <x v="9"/>
    <x v="14"/>
    <x v="1"/>
    <n v="557"/>
    <n v="7.6"/>
    <x v="47"/>
  </r>
  <r>
    <n v="15"/>
    <n v="22"/>
    <n v="2"/>
    <n v="16"/>
    <n v="1"/>
    <n v="0"/>
    <x v="11"/>
    <x v="17"/>
    <x v="16"/>
    <n v="650"/>
    <n v="8.8000000000000007"/>
    <x v="48"/>
  </r>
  <r>
    <n v="20"/>
    <n v="23"/>
    <n v="3"/>
    <n v="13"/>
    <n v="12"/>
    <n v="0"/>
    <x v="1"/>
    <x v="0"/>
    <x v="1"/>
    <n v="734"/>
    <n v="8.1"/>
    <x v="49"/>
  </r>
  <r>
    <n v="15"/>
    <n v="23"/>
    <n v="0"/>
    <n v="19"/>
    <n v="1"/>
    <n v="0"/>
    <x v="7"/>
    <x v="6"/>
    <x v="12"/>
    <n v="556"/>
    <n v="9.1"/>
    <x v="50"/>
  </r>
  <r>
    <n v="7"/>
    <n v="21"/>
    <n v="3"/>
    <n v="20"/>
    <n v="1"/>
    <n v="0"/>
    <x v="0"/>
    <x v="17"/>
    <x v="8"/>
    <n v="520"/>
    <n v="8.8000000000000007"/>
    <x v="51"/>
  </r>
  <r>
    <n v="17"/>
    <n v="22"/>
    <n v="3"/>
    <n v="7"/>
    <n v="1"/>
    <n v="0"/>
    <x v="1"/>
    <x v="13"/>
    <x v="16"/>
    <n v="480"/>
    <n v="9.1999999999999993"/>
    <x v="52"/>
  </r>
  <r>
    <n v="10"/>
    <n v="19"/>
    <n v="0"/>
    <n v="11"/>
    <n v="1"/>
    <n v="0"/>
    <x v="3"/>
    <x v="19"/>
    <x v="27"/>
    <n v="0"/>
    <n v="7.4"/>
    <x v="53"/>
  </r>
  <r>
    <n v="9"/>
    <n v="19"/>
    <n v="2"/>
    <n v="17"/>
    <n v="1"/>
    <n v="0"/>
    <x v="11"/>
    <x v="3"/>
    <x v="17"/>
    <n v="380"/>
    <n v="0"/>
    <x v="54"/>
  </r>
  <r>
    <n v="12"/>
    <n v="22"/>
    <n v="3"/>
    <n v="6"/>
    <n v="12"/>
    <n v="0"/>
    <x v="11"/>
    <x v="6"/>
    <x v="3"/>
    <n v="513"/>
    <n v="9.1"/>
    <x v="55"/>
  </r>
  <r>
    <n v="23"/>
    <n v="22"/>
    <n v="0"/>
    <n v="17"/>
    <n v="1"/>
    <n v="0"/>
    <x v="6"/>
    <x v="0"/>
    <x v="27"/>
    <n v="679"/>
    <n v="8.1"/>
    <x v="56"/>
  </r>
  <r>
    <n v="8"/>
    <n v="18"/>
    <n v="1"/>
    <n v="7"/>
    <n v="1"/>
    <n v="0"/>
    <x v="8"/>
    <x v="10"/>
    <x v="22"/>
    <n v="212"/>
    <n v="8.5"/>
    <x v="57"/>
  </r>
  <r>
    <n v="13"/>
    <n v="22"/>
    <n v="3"/>
    <n v="18"/>
    <n v="1"/>
    <n v="0"/>
    <x v="11"/>
    <x v="13"/>
    <x v="9"/>
    <n v="717"/>
    <n v="9.1999999999999993"/>
    <x v="58"/>
  </r>
  <r>
    <n v="18"/>
    <n v="22"/>
    <n v="0"/>
    <n v="16"/>
    <n v="1"/>
    <n v="0"/>
    <x v="7"/>
    <x v="9"/>
    <x v="15"/>
    <n v="501"/>
    <n v="7.9"/>
    <x v="59"/>
  </r>
  <r>
    <n v="11"/>
    <n v="23"/>
    <n v="0"/>
    <n v="21"/>
    <n v="1"/>
    <n v="0"/>
    <x v="4"/>
    <x v="20"/>
    <x v="4"/>
    <n v="511"/>
    <n v="8.4"/>
    <x v="60"/>
  </r>
  <r>
    <n v="14"/>
    <n v="22"/>
    <n v="2"/>
    <n v="13"/>
    <n v="1"/>
    <n v="0"/>
    <x v="7"/>
    <x v="1"/>
    <x v="2"/>
    <n v="490"/>
    <n v="8.3000000000000007"/>
    <x v="61"/>
  </r>
  <r>
    <n v="13"/>
    <n v="22"/>
    <n v="2"/>
    <n v="15"/>
    <n v="1"/>
    <n v="0"/>
    <x v="4"/>
    <x v="8"/>
    <x v="26"/>
    <n v="563"/>
    <n v="8.4"/>
    <x v="24"/>
  </r>
  <r>
    <n v="23"/>
    <n v="23"/>
    <n v="2"/>
    <n v="10"/>
    <n v="1"/>
    <n v="0"/>
    <x v="8"/>
    <x v="3"/>
    <x v="23"/>
    <n v="713"/>
    <n v="8.9"/>
    <x v="62"/>
  </r>
  <r>
    <n v="9"/>
    <n v="21"/>
    <n v="3"/>
    <n v="22"/>
    <n v="1"/>
    <n v="0"/>
    <x v="10"/>
    <x v="17"/>
    <x v="16"/>
    <n v="527"/>
    <n v="0"/>
    <x v="63"/>
  </r>
  <r>
    <n v="18"/>
    <n v="23"/>
    <n v="1"/>
    <n v="10"/>
    <n v="1"/>
    <n v="0"/>
    <x v="12"/>
    <x v="6"/>
    <x v="17"/>
    <n v="495"/>
    <n v="9.1"/>
    <x v="64"/>
  </r>
  <r>
    <n v="7"/>
    <n v="17"/>
    <n v="3"/>
    <n v="4"/>
    <n v="1"/>
    <n v="0"/>
    <x v="3"/>
    <x v="17"/>
    <x v="19"/>
    <n v="341"/>
    <n v="8.8000000000000007"/>
    <x v="65"/>
  </r>
  <r>
    <n v="8"/>
    <n v="18"/>
    <n v="0"/>
    <n v="17"/>
    <n v="1"/>
    <n v="0"/>
    <x v="0"/>
    <x v="17"/>
    <x v="2"/>
    <n v="294"/>
    <n v="8.8000000000000007"/>
    <x v="66"/>
  </r>
  <r>
    <n v="5"/>
    <n v="17"/>
    <n v="2"/>
    <n v="7"/>
    <n v="7"/>
    <n v="0"/>
    <x v="6"/>
    <x v="7"/>
    <x v="20"/>
    <n v="456"/>
    <n v="7.8"/>
    <x v="67"/>
  </r>
  <r>
    <n v="22"/>
    <n v="23"/>
    <n v="0"/>
    <n v="11"/>
    <n v="1"/>
    <n v="0"/>
    <x v="3"/>
    <x v="0"/>
    <x v="15"/>
    <n v="681"/>
    <n v="8.1"/>
    <x v="68"/>
  </r>
  <r>
    <n v="20"/>
    <n v="23"/>
    <n v="1"/>
    <n v="13"/>
    <n v="1"/>
    <n v="0"/>
    <x v="2"/>
    <x v="15"/>
    <x v="23"/>
    <n v="544"/>
    <n v="9.3000000000000007"/>
    <x v="69"/>
  </r>
  <r>
    <n v="23"/>
    <n v="22"/>
    <n v="0"/>
    <n v="12"/>
    <n v="1"/>
    <n v="0"/>
    <x v="7"/>
    <x v="20"/>
    <x v="20"/>
    <n v="635"/>
    <n v="7.7"/>
    <x v="70"/>
  </r>
  <r>
    <n v="16"/>
    <n v="23"/>
    <n v="3"/>
    <n v="13"/>
    <n v="12"/>
    <n v="0"/>
    <x v="9"/>
    <x v="8"/>
    <x v="21"/>
    <n v="562"/>
    <n v="8.4"/>
    <x v="71"/>
  </r>
  <r>
    <n v="19"/>
    <n v="22"/>
    <n v="0"/>
    <n v="0"/>
    <n v="0"/>
    <n v="0"/>
    <x v="6"/>
    <x v="1"/>
    <x v="26"/>
    <n v="480"/>
    <n v="8.3000000000000007"/>
    <x v="72"/>
  </r>
  <r>
    <n v="6"/>
    <n v="0"/>
    <n v="0"/>
    <n v="9"/>
    <n v="1"/>
    <n v="0"/>
    <x v="2"/>
    <x v="21"/>
    <x v="13"/>
    <n v="370"/>
    <n v="7.4"/>
    <x v="73"/>
  </r>
  <r>
    <n v="9"/>
    <n v="18"/>
    <n v="1"/>
    <n v="14"/>
    <n v="1"/>
    <n v="0"/>
    <x v="1"/>
    <x v="7"/>
    <x v="20"/>
    <n v="306"/>
    <n v="7.8"/>
    <x v="74"/>
  </r>
  <r>
    <n v="9"/>
    <n v="20"/>
    <n v="1"/>
    <n v="22"/>
    <n v="1"/>
    <n v="0"/>
    <x v="1"/>
    <x v="15"/>
    <x v="19"/>
    <n v="0"/>
    <n v="9.3000000000000007"/>
    <x v="75"/>
  </r>
  <r>
    <n v="23"/>
    <n v="22"/>
    <n v="0"/>
    <n v="12"/>
    <n v="1"/>
    <n v="0"/>
    <x v="8"/>
    <x v="22"/>
    <x v="3"/>
    <n v="417"/>
    <n v="8.1"/>
    <x v="76"/>
  </r>
  <r>
    <n v="16"/>
    <n v="23"/>
    <n v="1"/>
    <n v="16"/>
    <n v="1"/>
    <n v="0"/>
    <x v="9"/>
    <x v="15"/>
    <x v="20"/>
    <n v="495"/>
    <n v="9.3000000000000007"/>
    <x v="77"/>
  </r>
  <r>
    <n v="5"/>
    <n v="20"/>
    <n v="3"/>
    <n v="13"/>
    <n v="1"/>
    <n v="0"/>
    <x v="4"/>
    <x v="14"/>
    <x v="23"/>
    <n v="488"/>
    <n v="7.6"/>
    <x v="78"/>
  </r>
  <r>
    <n v="10"/>
    <n v="17"/>
    <n v="2"/>
    <n v="4"/>
    <n v="1"/>
    <n v="0"/>
    <x v="1"/>
    <x v="20"/>
    <x v="12"/>
    <n v="225"/>
    <n v="9.1"/>
    <x v="79"/>
  </r>
  <r>
    <n v="0"/>
    <n v="23"/>
    <n v="0"/>
    <n v="15"/>
    <n v="1"/>
    <n v="0"/>
    <x v="12"/>
    <x v="3"/>
    <x v="1"/>
    <n v="417"/>
    <n v="8.9"/>
    <x v="80"/>
  </r>
  <r>
    <n v="20"/>
    <n v="22"/>
    <n v="0"/>
    <n v="17"/>
    <n v="1"/>
    <n v="0"/>
    <x v="9"/>
    <x v="10"/>
    <x v="28"/>
    <n v="670"/>
    <n v="8.5"/>
    <x v="81"/>
  </r>
  <r>
    <n v="5"/>
    <n v="19"/>
    <n v="3"/>
    <n v="15"/>
    <n v="1"/>
    <n v="0"/>
    <x v="10"/>
    <x v="15"/>
    <x v="22"/>
    <n v="356"/>
    <n v="9.3000000000000007"/>
    <x v="82"/>
  </r>
  <r>
    <n v="9"/>
    <n v="19"/>
    <n v="3"/>
    <n v="3"/>
    <n v="1"/>
    <n v="0"/>
    <x v="4"/>
    <x v="13"/>
    <x v="29"/>
    <n v="0"/>
    <n v="9.1999999999999993"/>
    <x v="83"/>
  </r>
  <r>
    <n v="8"/>
    <n v="20"/>
    <n v="2"/>
    <n v="6"/>
    <n v="7"/>
    <n v="0"/>
    <x v="7"/>
    <x v="19"/>
    <x v="1"/>
    <n v="397"/>
    <n v="7.4"/>
    <x v="84"/>
  </r>
  <r>
    <n v="15"/>
    <n v="23"/>
    <n v="2"/>
    <n v="7"/>
    <n v="1"/>
    <n v="0"/>
    <x v="3"/>
    <x v="3"/>
    <x v="27"/>
    <n v="389"/>
    <n v="8.9"/>
    <x v="85"/>
  </r>
  <r>
    <n v="6"/>
    <n v="19"/>
    <n v="2"/>
    <n v="15"/>
    <n v="1"/>
    <n v="0"/>
    <x v="8"/>
    <x v="6"/>
    <x v="10"/>
    <n v="480"/>
    <n v="9.1"/>
    <x v="86"/>
  </r>
  <r>
    <n v="21"/>
    <n v="23"/>
    <n v="0"/>
    <n v="19"/>
    <n v="1"/>
    <n v="0"/>
    <x v="10"/>
    <x v="23"/>
    <x v="30"/>
    <n v="757"/>
    <n v="7.8"/>
    <x v="87"/>
  </r>
  <r>
    <n v="10"/>
    <n v="19"/>
    <n v="0"/>
    <n v="5"/>
    <n v="7"/>
    <n v="0"/>
    <x v="0"/>
    <x v="3"/>
    <x v="16"/>
    <n v="390"/>
    <n v="8.9"/>
    <x v="88"/>
  </r>
  <r>
    <n v="5"/>
    <n v="22"/>
    <n v="2"/>
    <n v="11"/>
    <n v="1"/>
    <n v="0"/>
    <x v="0"/>
    <x v="3"/>
    <x v="12"/>
    <n v="525"/>
    <n v="8.9"/>
    <x v="89"/>
  </r>
  <r>
    <n v="14"/>
    <n v="23"/>
    <n v="1"/>
    <n v="18"/>
    <n v="1"/>
    <n v="0"/>
    <x v="7"/>
    <x v="19"/>
    <x v="12"/>
    <n v="474"/>
    <n v="7.4"/>
    <x v="90"/>
  </r>
  <r>
    <n v="14"/>
    <n v="22"/>
    <n v="3"/>
    <n v="13"/>
    <n v="1"/>
    <n v="0"/>
    <x v="4"/>
    <x v="0"/>
    <x v="10"/>
    <n v="639"/>
    <n v="8.1"/>
    <x v="91"/>
  </r>
  <r>
    <n v="7"/>
    <n v="17"/>
    <n v="0"/>
    <n v="15"/>
    <n v="1"/>
    <n v="0"/>
    <x v="0"/>
    <x v="19"/>
    <x v="5"/>
    <n v="406"/>
    <n v="7.4"/>
    <x v="92"/>
  </r>
  <r>
    <n v="19"/>
    <n v="22"/>
    <n v="3"/>
    <n v="8"/>
    <n v="1"/>
    <n v="0"/>
    <x v="11"/>
    <x v="24"/>
    <x v="31"/>
    <n v="409"/>
    <n v="7.6"/>
    <x v="24"/>
  </r>
  <r>
    <n v="19"/>
    <n v="22"/>
    <n v="1"/>
    <n v="3"/>
    <n v="1"/>
    <n v="0"/>
    <x v="12"/>
    <x v="14"/>
    <x v="30"/>
    <n v="512"/>
    <n v="7.6"/>
    <x v="93"/>
  </r>
  <r>
    <n v="0"/>
    <n v="23"/>
    <n v="1"/>
    <n v="3"/>
    <n v="12"/>
    <n v="0"/>
    <x v="7"/>
    <x v="19"/>
    <x v="4"/>
    <n v="596"/>
    <n v="7.4"/>
    <x v="94"/>
  </r>
  <r>
    <n v="0"/>
    <n v="23"/>
    <n v="1"/>
    <n v="19"/>
    <n v="12"/>
    <n v="0"/>
    <x v="6"/>
    <x v="17"/>
    <x v="11"/>
    <n v="634"/>
    <n v="8.8000000000000007"/>
    <x v="95"/>
  </r>
  <r>
    <n v="15"/>
    <n v="23"/>
    <n v="0"/>
    <n v="4"/>
    <n v="1"/>
    <n v="0"/>
    <x v="12"/>
    <x v="17"/>
    <x v="28"/>
    <n v="382"/>
    <n v="8.8000000000000007"/>
    <x v="96"/>
  </r>
  <r>
    <n v="8"/>
    <n v="18"/>
    <n v="3"/>
    <n v="10"/>
    <n v="1"/>
    <n v="0"/>
    <x v="2"/>
    <x v="10"/>
    <x v="31"/>
    <n v="296"/>
    <n v="8.5"/>
    <x v="97"/>
  </r>
  <r>
    <n v="17"/>
    <n v="0"/>
    <n v="1"/>
    <n v="6"/>
    <n v="1"/>
    <n v="0"/>
    <x v="1"/>
    <x v="0"/>
    <x v="30"/>
    <n v="504"/>
    <n v="8.1"/>
    <x v="98"/>
  </r>
  <r>
    <n v="10"/>
    <n v="18"/>
    <n v="3"/>
    <n v="16"/>
    <n v="1"/>
    <n v="0"/>
    <x v="5"/>
    <x v="3"/>
    <x v="31"/>
    <n v="405"/>
    <n v="8.9"/>
    <x v="99"/>
  </r>
  <r>
    <n v="6"/>
    <n v="20"/>
    <n v="1"/>
    <n v="3"/>
    <n v="7"/>
    <n v="0"/>
    <x v="6"/>
    <x v="3"/>
    <x v="5"/>
    <n v="0"/>
    <n v="8.9"/>
    <x v="100"/>
  </r>
  <r>
    <n v="14"/>
    <n v="23"/>
    <n v="1"/>
    <n v="19"/>
    <n v="1"/>
    <n v="0"/>
    <x v="5"/>
    <x v="0"/>
    <x v="1"/>
    <n v="608"/>
    <n v="8.1"/>
    <x v="101"/>
  </r>
  <r>
    <n v="0"/>
    <n v="0"/>
    <n v="3"/>
    <n v="14"/>
    <n v="1"/>
    <n v="0"/>
    <x v="11"/>
    <x v="15"/>
    <x v="2"/>
    <n v="697"/>
    <n v="9.3000000000000007"/>
    <x v="102"/>
  </r>
  <r>
    <n v="15"/>
    <n v="23"/>
    <n v="2"/>
    <n v="21"/>
    <n v="1"/>
    <n v="0"/>
    <x v="0"/>
    <x v="25"/>
    <x v="23"/>
    <n v="591"/>
    <n v="8.1999999999999993"/>
    <x v="103"/>
  </r>
  <r>
    <n v="13"/>
    <n v="23"/>
    <n v="2"/>
    <n v="17"/>
    <n v="1"/>
    <n v="0"/>
    <x v="11"/>
    <x v="16"/>
    <x v="0"/>
    <n v="532"/>
    <n v="8.1999999999999993"/>
    <x v="104"/>
  </r>
  <r>
    <n v="16"/>
    <n v="23"/>
    <n v="3"/>
    <n v="20"/>
    <n v="1"/>
    <n v="0"/>
    <x v="2"/>
    <x v="3"/>
    <x v="24"/>
    <n v="533"/>
    <n v="8.9"/>
    <x v="105"/>
  </r>
  <r>
    <n v="15"/>
    <n v="22"/>
    <n v="0"/>
    <n v="12"/>
    <n v="1"/>
    <n v="0"/>
    <x v="3"/>
    <x v="9"/>
    <x v="30"/>
    <n v="429"/>
    <n v="7.9"/>
    <x v="106"/>
  </r>
  <r>
    <n v="17"/>
    <n v="23"/>
    <n v="1"/>
    <n v="0"/>
    <n v="1"/>
    <n v="0"/>
    <x v="4"/>
    <x v="26"/>
    <x v="3"/>
    <n v="493"/>
    <n v="7.9"/>
    <x v="107"/>
  </r>
  <r>
    <n v="23"/>
    <n v="23"/>
    <n v="3"/>
    <n v="16"/>
    <n v="1"/>
    <n v="0"/>
    <x v="8"/>
    <x v="27"/>
    <x v="15"/>
    <n v="589"/>
    <n v="8.3000000000000007"/>
    <x v="108"/>
  </r>
  <r>
    <n v="10"/>
    <n v="18"/>
    <n v="2"/>
    <n v="9"/>
    <n v="1"/>
    <n v="0"/>
    <x v="10"/>
    <x v="13"/>
    <x v="32"/>
    <n v="490"/>
    <n v="9.1999999999999993"/>
    <x v="109"/>
  </r>
  <r>
    <n v="8"/>
    <n v="17"/>
    <n v="1"/>
    <n v="8"/>
    <n v="1"/>
    <n v="0"/>
    <x v="9"/>
    <x v="17"/>
    <x v="11"/>
    <n v="412"/>
    <n v="8.8000000000000007"/>
    <x v="110"/>
  </r>
  <r>
    <n v="10"/>
    <n v="22"/>
    <n v="2"/>
    <n v="16"/>
    <n v="1"/>
    <n v="0"/>
    <x v="4"/>
    <x v="15"/>
    <x v="21"/>
    <n v="613"/>
    <n v="9.3000000000000007"/>
    <x v="111"/>
  </r>
  <r>
    <n v="15"/>
    <n v="23"/>
    <n v="1"/>
    <n v="10"/>
    <n v="1"/>
    <n v="0"/>
    <x v="7"/>
    <x v="4"/>
    <x v="24"/>
    <n v="573"/>
    <n v="8.6999999999999993"/>
    <x v="112"/>
  </r>
  <r>
    <n v="10"/>
    <n v="23"/>
    <n v="1"/>
    <n v="17"/>
    <n v="1"/>
    <n v="0"/>
    <x v="12"/>
    <x v="13"/>
    <x v="31"/>
    <n v="444"/>
    <n v="9.1999999999999993"/>
    <x v="113"/>
  </r>
  <r>
    <n v="6"/>
    <n v="18"/>
    <n v="0"/>
    <n v="12"/>
    <n v="7"/>
    <n v="0"/>
    <x v="11"/>
    <x v="4"/>
    <x v="6"/>
    <n v="491"/>
    <n v="8.6999999999999993"/>
    <x v="114"/>
  </r>
  <r>
    <n v="23"/>
    <n v="23"/>
    <n v="3"/>
    <n v="14"/>
    <n v="1"/>
    <n v="0"/>
    <x v="12"/>
    <x v="20"/>
    <x v="22"/>
    <n v="686"/>
    <n v="8.1"/>
    <x v="115"/>
  </r>
  <r>
    <n v="23"/>
    <n v="22"/>
    <n v="3"/>
    <n v="6"/>
    <n v="1"/>
    <n v="0"/>
    <x v="0"/>
    <x v="6"/>
    <x v="11"/>
    <n v="431"/>
    <n v="9.1"/>
    <x v="116"/>
  </r>
  <r>
    <n v="21"/>
    <n v="23"/>
    <n v="2"/>
    <n v="14"/>
    <n v="12"/>
    <n v="0"/>
    <x v="12"/>
    <x v="0"/>
    <x v="2"/>
    <n v="838"/>
    <n v="8.1"/>
    <x v="117"/>
  </r>
  <r>
    <n v="7"/>
    <n v="23"/>
    <n v="2"/>
    <n v="14"/>
    <n v="1"/>
    <n v="0"/>
    <x v="2"/>
    <x v="15"/>
    <x v="16"/>
    <n v="546"/>
    <n v="9.3000000000000007"/>
    <x v="118"/>
  </r>
  <r>
    <n v="10"/>
    <n v="19"/>
    <n v="3"/>
    <n v="9"/>
    <n v="1"/>
    <n v="0"/>
    <x v="9"/>
    <x v="0"/>
    <x v="4"/>
    <n v="381"/>
    <n v="8.1"/>
    <x v="119"/>
  </r>
  <r>
    <n v="21"/>
    <n v="23"/>
    <n v="3"/>
    <n v="0"/>
    <n v="1"/>
    <n v="0"/>
    <x v="11"/>
    <x v="0"/>
    <x v="20"/>
    <n v="519"/>
    <n v="8.1"/>
    <x v="120"/>
  </r>
  <r>
    <n v="6"/>
    <n v="20"/>
    <n v="2"/>
    <n v="19"/>
    <n v="0"/>
    <n v="0"/>
    <x v="6"/>
    <x v="16"/>
    <x v="29"/>
    <n v="587"/>
    <n v="8.1999999999999993"/>
    <x v="121"/>
  </r>
  <r>
    <n v="6"/>
    <n v="18"/>
    <n v="0"/>
    <n v="9"/>
    <n v="1"/>
    <n v="0"/>
    <x v="1"/>
    <x v="12"/>
    <x v="20"/>
    <n v="301"/>
    <n v="8.6999999999999993"/>
    <x v="122"/>
  </r>
  <r>
    <n v="0"/>
    <n v="23"/>
    <n v="1"/>
    <n v="9"/>
    <n v="1"/>
    <n v="0"/>
    <x v="3"/>
    <x v="0"/>
    <x v="3"/>
    <n v="386"/>
    <n v="8.1"/>
    <x v="123"/>
  </r>
  <r>
    <n v="12"/>
    <n v="22"/>
    <n v="3"/>
    <n v="22"/>
    <n v="0"/>
    <n v="0"/>
    <x v="11"/>
    <x v="9"/>
    <x v="30"/>
    <n v="599"/>
    <n v="7.9"/>
    <x v="124"/>
  </r>
  <r>
    <n v="9"/>
    <n v="20"/>
    <n v="3"/>
    <n v="21"/>
    <n v="1"/>
    <n v="0"/>
    <x v="11"/>
    <x v="6"/>
    <x v="2"/>
    <n v="582"/>
    <n v="9.1"/>
    <x v="125"/>
  </r>
  <r>
    <n v="12"/>
    <n v="23"/>
    <n v="0"/>
    <n v="6"/>
    <n v="1"/>
    <n v="0"/>
    <x v="7"/>
    <x v="7"/>
    <x v="20"/>
    <n v="337"/>
    <n v="7.8"/>
    <x v="126"/>
  </r>
  <r>
    <n v="14"/>
    <n v="23"/>
    <n v="0"/>
    <n v="20"/>
    <n v="1"/>
    <n v="0"/>
    <x v="12"/>
    <x v="9"/>
    <x v="1"/>
    <n v="662"/>
    <n v="7.9"/>
    <x v="127"/>
  </r>
  <r>
    <n v="23"/>
    <n v="23"/>
    <n v="3"/>
    <n v="14"/>
    <n v="0"/>
    <n v="0"/>
    <x v="7"/>
    <x v="12"/>
    <x v="12"/>
    <n v="517"/>
    <n v="8.6999999999999993"/>
    <x v="128"/>
  </r>
  <r>
    <n v="5"/>
    <n v="0"/>
    <n v="0"/>
    <n v="20"/>
    <n v="1"/>
    <n v="0"/>
    <x v="8"/>
    <x v="7"/>
    <x v="23"/>
    <n v="464"/>
    <n v="7.8"/>
    <x v="129"/>
  </r>
  <r>
    <n v="11"/>
    <n v="22"/>
    <n v="0"/>
    <n v="6"/>
    <n v="12"/>
    <n v="0"/>
    <x v="0"/>
    <x v="10"/>
    <x v="30"/>
    <n v="332"/>
    <n v="8.5"/>
    <x v="130"/>
  </r>
  <r>
    <n v="11"/>
    <n v="23"/>
    <n v="3"/>
    <n v="16"/>
    <n v="1"/>
    <n v="0"/>
    <x v="0"/>
    <x v="15"/>
    <x v="21"/>
    <n v="391"/>
    <s v="nan "/>
    <x v="131"/>
  </r>
  <r>
    <n v="0"/>
    <n v="23"/>
    <n v="0"/>
    <n v="20"/>
    <n v="12"/>
    <n v="0"/>
    <x v="8"/>
    <x v="0"/>
    <x v="2"/>
    <n v="707"/>
    <n v="8.1"/>
    <x v="132"/>
  </r>
  <r>
    <n v="17"/>
    <n v="23"/>
    <n v="2"/>
    <n v="13"/>
    <n v="1"/>
    <n v="0"/>
    <x v="7"/>
    <x v="0"/>
    <x v="30"/>
    <n v="500"/>
    <n v="8.1"/>
    <x v="133"/>
  </r>
  <r>
    <n v="8"/>
    <n v="17"/>
    <n v="0"/>
    <n v="14"/>
    <n v="1"/>
    <n v="0"/>
    <x v="7"/>
    <x v="15"/>
    <x v="0"/>
    <n v="335"/>
    <n v="9.3000000000000007"/>
    <x v="134"/>
  </r>
  <r>
    <n v="12"/>
    <n v="22"/>
    <n v="3"/>
    <n v="11"/>
    <n v="1"/>
    <n v="0"/>
    <x v="1"/>
    <x v="15"/>
    <x v="32"/>
    <n v="573"/>
    <n v="0"/>
    <x v="135"/>
  </r>
  <r>
    <n v="13"/>
    <n v="23"/>
    <n v="2"/>
    <n v="7"/>
    <n v="1"/>
    <n v="0"/>
    <x v="5"/>
    <x v="20"/>
    <x v="25"/>
    <n v="511"/>
    <n v="7.4"/>
    <x v="136"/>
  </r>
  <r>
    <n v="0"/>
    <n v="23"/>
    <n v="2"/>
    <n v="17"/>
    <n v="1"/>
    <n v="0"/>
    <x v="9"/>
    <x v="10"/>
    <x v="13"/>
    <n v="689"/>
    <n v="8.5"/>
    <x v="137"/>
  </r>
  <r>
    <n v="23"/>
    <n v="23"/>
    <n v="2"/>
    <n v="7"/>
    <n v="12"/>
    <n v="0"/>
    <x v="7"/>
    <x v="11"/>
    <x v="14"/>
    <n v="543"/>
    <n v="8.4"/>
    <x v="138"/>
  </r>
  <r>
    <n v="9"/>
    <n v="22"/>
    <n v="2"/>
    <n v="9"/>
    <n v="1"/>
    <n v="0"/>
    <x v="1"/>
    <x v="0"/>
    <x v="14"/>
    <n v="527"/>
    <n v="8.1"/>
    <x v="139"/>
  </r>
  <r>
    <n v="20"/>
    <n v="23"/>
    <n v="3"/>
    <n v="18"/>
    <n v="1"/>
    <n v="0"/>
    <x v="2"/>
    <x v="6"/>
    <x v="18"/>
    <n v="634"/>
    <n v="9.1"/>
    <x v="140"/>
  </r>
  <r>
    <n v="20"/>
    <n v="23"/>
    <n v="2"/>
    <n v="8"/>
    <n v="1"/>
    <n v="0"/>
    <x v="8"/>
    <x v="0"/>
    <x v="11"/>
    <n v="632"/>
    <n v="8.1"/>
    <x v="141"/>
  </r>
  <r>
    <n v="22"/>
    <n v="23"/>
    <n v="2"/>
    <n v="8"/>
    <n v="1"/>
    <n v="0"/>
    <x v="3"/>
    <x v="4"/>
    <x v="30"/>
    <n v="658"/>
    <n v="8.6999999999999993"/>
    <x v="142"/>
  </r>
  <r>
    <n v="17"/>
    <n v="22"/>
    <n v="0"/>
    <n v="16"/>
    <n v="12"/>
    <n v="0"/>
    <x v="7"/>
    <x v="17"/>
    <x v="13"/>
    <s v="nan "/>
    <n v="8.8000000000000007"/>
    <x v="143"/>
  </r>
  <r>
    <n v="11"/>
    <n v="22"/>
    <n v="3"/>
    <n v="19"/>
    <n v="1"/>
    <n v="0"/>
    <x v="0"/>
    <x v="13"/>
    <x v="4"/>
    <n v="536"/>
    <n v="9.1999999999999993"/>
    <x v="144"/>
  </r>
  <r>
    <n v="6"/>
    <n v="19"/>
    <n v="1"/>
    <n v="0"/>
    <n v="1"/>
    <n v="0"/>
    <x v="1"/>
    <x v="14"/>
    <x v="8"/>
    <n v="340"/>
    <n v="7.6"/>
    <x v="24"/>
  </r>
  <r>
    <n v="5"/>
    <n v="0"/>
    <n v="3"/>
    <n v="14"/>
    <n v="7"/>
    <n v="0"/>
    <x v="1"/>
    <x v="3"/>
    <x v="9"/>
    <n v="0"/>
    <n v="8.9"/>
    <x v="145"/>
  </r>
  <r>
    <n v="11"/>
    <n v="22"/>
    <n v="0"/>
    <n v="5"/>
    <n v="1"/>
    <n v="0"/>
    <x v="2"/>
    <x v="0"/>
    <x v="2"/>
    <n v="236"/>
    <n v="8.1"/>
    <x v="146"/>
  </r>
  <r>
    <n v="20"/>
    <n v="23"/>
    <n v="2"/>
    <n v="21"/>
    <n v="12"/>
    <n v="0"/>
    <x v="10"/>
    <x v="15"/>
    <x v="20"/>
    <n v="780"/>
    <n v="9.3000000000000007"/>
    <x v="147"/>
  </r>
  <r>
    <n v="11"/>
    <n v="22"/>
    <n v="2"/>
    <n v="14"/>
    <n v="1"/>
    <n v="0"/>
    <x v="4"/>
    <x v="28"/>
    <x v="1"/>
    <n v="394"/>
    <n v="0"/>
    <x v="148"/>
  </r>
  <r>
    <n v="17"/>
    <n v="0"/>
    <n v="2"/>
    <n v="0"/>
    <n v="1"/>
    <n v="0"/>
    <x v="9"/>
    <x v="19"/>
    <x v="30"/>
    <n v="413"/>
    <n v="7.4"/>
    <x v="149"/>
  </r>
  <r>
    <n v="14"/>
    <n v="23"/>
    <n v="0"/>
    <n v="15"/>
    <n v="1"/>
    <n v="0"/>
    <x v="3"/>
    <x v="4"/>
    <x v="31"/>
    <n v="413"/>
    <n v="8.6999999999999993"/>
    <x v="150"/>
  </r>
  <r>
    <n v="16"/>
    <n v="22"/>
    <n v="2"/>
    <n v="3"/>
    <n v="1"/>
    <n v="0"/>
    <x v="12"/>
    <x v="29"/>
    <x v="4"/>
    <n v="337"/>
    <n v="9.3000000000000007"/>
    <x v="151"/>
  </r>
  <r>
    <n v="18"/>
    <n v="22"/>
    <n v="1"/>
    <n v="19"/>
    <n v="1"/>
    <n v="0"/>
    <x v="4"/>
    <x v="1"/>
    <x v="6"/>
    <n v="546"/>
    <n v="8.3000000000000007"/>
    <x v="152"/>
  </r>
  <r>
    <n v="13"/>
    <n v="23"/>
    <n v="3"/>
    <n v="6"/>
    <n v="1"/>
    <n v="0"/>
    <x v="11"/>
    <x v="19"/>
    <x v="22"/>
    <n v="536"/>
    <n v="7.4"/>
    <x v="153"/>
  </r>
  <r>
    <n v="5"/>
    <n v="22"/>
    <n v="2"/>
    <n v="4"/>
    <n v="1"/>
    <n v="0"/>
    <x v="2"/>
    <x v="8"/>
    <x v="15"/>
    <n v="253"/>
    <n v="8.4"/>
    <x v="154"/>
  </r>
  <r>
    <n v="10"/>
    <n v="20"/>
    <n v="3"/>
    <n v="12"/>
    <n v="1"/>
    <n v="0"/>
    <x v="3"/>
    <x v="1"/>
    <x v="16"/>
    <n v="387"/>
    <n v="8.3000000000000007"/>
    <x v="24"/>
  </r>
  <r>
    <n v="17"/>
    <n v="22"/>
    <n v="1"/>
    <n v="10"/>
    <n v="1"/>
    <n v="0"/>
    <x v="11"/>
    <x v="20"/>
    <x v="26"/>
    <n v="556"/>
    <n v="7.8"/>
    <x v="155"/>
  </r>
  <r>
    <n v="7"/>
    <n v="0"/>
    <n v="2"/>
    <n v="17"/>
    <n v="1"/>
    <n v="0"/>
    <x v="0"/>
    <x v="8"/>
    <x v="2"/>
    <n v="480"/>
    <n v="8.4"/>
    <x v="156"/>
  </r>
  <r>
    <n v="0"/>
    <n v="23"/>
    <n v="3"/>
    <n v="0"/>
    <n v="12"/>
    <n v="0"/>
    <x v="1"/>
    <x v="10"/>
    <x v="30"/>
    <n v="690"/>
    <n v="8.5"/>
    <x v="157"/>
  </r>
  <r>
    <n v="9"/>
    <n v="22"/>
    <n v="2"/>
    <n v="0"/>
    <n v="1"/>
    <n v="0"/>
    <x v="3"/>
    <x v="14"/>
    <x v="21"/>
    <n v="504"/>
    <n v="7.6"/>
    <x v="158"/>
  </r>
  <r>
    <n v="14"/>
    <n v="22"/>
    <n v="1"/>
    <n v="10"/>
    <n v="1"/>
    <n v="0"/>
    <x v="0"/>
    <x v="1"/>
    <x v="16"/>
    <n v="429"/>
    <n v="8.3000000000000007"/>
    <x v="159"/>
  </r>
  <r>
    <n v="5"/>
    <n v="20"/>
    <n v="1"/>
    <n v="18"/>
    <n v="1"/>
    <n v="0"/>
    <x v="4"/>
    <x v="19"/>
    <x v="20"/>
    <n v="532"/>
    <n v="7.4"/>
    <x v="160"/>
  </r>
  <r>
    <n v="17"/>
    <n v="22"/>
    <n v="2"/>
    <n v="15"/>
    <n v="12"/>
    <n v="0"/>
    <x v="8"/>
    <x v="10"/>
    <x v="18"/>
    <n v="584"/>
    <n v="8.5"/>
    <x v="161"/>
  </r>
  <r>
    <n v="7"/>
    <n v="21"/>
    <n v="3"/>
    <n v="22"/>
    <n v="1"/>
    <n v="0"/>
    <x v="8"/>
    <x v="9"/>
    <x v="4"/>
    <n v="675"/>
    <n v="7.9"/>
    <x v="162"/>
  </r>
  <r>
    <n v="0"/>
    <n v="23"/>
    <n v="1"/>
    <n v="0"/>
    <n v="1"/>
    <n v="0"/>
    <x v="11"/>
    <x v="3"/>
    <x v="31"/>
    <n v="643"/>
    <n v="8.9"/>
    <x v="163"/>
  </r>
  <r>
    <n v="7"/>
    <n v="20"/>
    <n v="2"/>
    <n v="22"/>
    <n v="1"/>
    <n v="0"/>
    <x v="6"/>
    <x v="6"/>
    <x v="23"/>
    <n v="522"/>
    <n v="9.1"/>
    <x v="164"/>
  </r>
  <r>
    <n v="16"/>
    <n v="23"/>
    <n v="1"/>
    <n v="15"/>
    <n v="1"/>
    <n v="0"/>
    <x v="2"/>
    <x v="7"/>
    <x v="2"/>
    <n v="657"/>
    <n v="7.8"/>
    <x v="165"/>
  </r>
  <r>
    <n v="20"/>
    <n v="23"/>
    <n v="1"/>
    <n v="20"/>
    <n v="12"/>
    <n v="0"/>
    <x v="12"/>
    <x v="14"/>
    <x v="8"/>
    <n v="845"/>
    <n v="7.6"/>
    <x v="166"/>
  </r>
  <r>
    <n v="17"/>
    <n v="23"/>
    <n v="1"/>
    <n v="14"/>
    <n v="1"/>
    <n v="0"/>
    <x v="11"/>
    <x v="5"/>
    <x v="26"/>
    <n v="388"/>
    <n v="7.7"/>
    <x v="167"/>
  </r>
  <r>
    <n v="6"/>
    <n v="23"/>
    <n v="1"/>
    <n v="12"/>
    <n v="7"/>
    <n v="0"/>
    <x v="5"/>
    <x v="9"/>
    <x v="19"/>
    <n v="649"/>
    <n v="7.9"/>
    <x v="168"/>
  </r>
  <r>
    <n v="5"/>
    <n v="0"/>
    <n v="2"/>
    <n v="16"/>
    <n v="1"/>
    <n v="0"/>
    <x v="4"/>
    <x v="15"/>
    <x v="11"/>
    <n v="398"/>
    <n v="9.3000000000000007"/>
    <x v="169"/>
  </r>
  <r>
    <n v="8"/>
    <n v="20"/>
    <n v="3"/>
    <n v="16"/>
    <n v="1"/>
    <n v="0"/>
    <x v="8"/>
    <x v="0"/>
    <x v="24"/>
    <n v="634"/>
    <n v="8.1"/>
    <x v="170"/>
  </r>
  <r>
    <n v="20"/>
    <n v="22"/>
    <n v="1"/>
    <n v="10"/>
    <n v="1"/>
    <n v="0"/>
    <x v="2"/>
    <x v="30"/>
    <x v="22"/>
    <n v="611"/>
    <n v="7.7"/>
    <x v="171"/>
  </r>
  <r>
    <n v="16"/>
    <n v="23"/>
    <n v="3"/>
    <n v="10"/>
    <n v="1"/>
    <n v="0"/>
    <x v="0"/>
    <x v="20"/>
    <x v="0"/>
    <n v="591"/>
    <n v="9.1"/>
    <x v="172"/>
  </r>
  <r>
    <n v="22"/>
    <n v="23"/>
    <n v="0"/>
    <n v="15"/>
    <n v="12"/>
    <n v="0"/>
    <x v="2"/>
    <x v="19"/>
    <x v="19"/>
    <n v="735"/>
    <n v="7.4"/>
    <x v="173"/>
  </r>
  <r>
    <n v="23"/>
    <n v="22"/>
    <n v="1"/>
    <n v="10"/>
    <n v="1"/>
    <n v="0"/>
    <x v="4"/>
    <x v="4"/>
    <x v="21"/>
    <n v="449"/>
    <n v="8.6999999999999993"/>
    <x v="174"/>
  </r>
  <r>
    <n v="13"/>
    <n v="0"/>
    <n v="0"/>
    <n v="11"/>
    <n v="1"/>
    <n v="0"/>
    <x v="3"/>
    <x v="3"/>
    <x v="19"/>
    <n v="396"/>
    <n v="8.9"/>
    <x v="175"/>
  </r>
  <r>
    <n v="18"/>
    <n v="23"/>
    <n v="0"/>
    <n v="13"/>
    <n v="1"/>
    <n v="0"/>
    <x v="11"/>
    <x v="0"/>
    <x v="10"/>
    <n v="420"/>
    <n v="8.1"/>
    <x v="176"/>
  </r>
  <r>
    <n v="22"/>
    <n v="22"/>
    <n v="0"/>
    <n v="15"/>
    <n v="1"/>
    <n v="0"/>
    <x v="4"/>
    <x v="7"/>
    <x v="3"/>
    <n v="592"/>
    <n v="7.8"/>
    <x v="177"/>
  </r>
  <r>
    <n v="6"/>
    <n v="17"/>
    <n v="2"/>
    <n v="14"/>
    <n v="1"/>
    <n v="0"/>
    <x v="9"/>
    <x v="0"/>
    <x v="17"/>
    <n v="395"/>
    <n v="8.1"/>
    <x v="178"/>
  </r>
  <r>
    <n v="8"/>
    <n v="0"/>
    <n v="2"/>
    <n v="20"/>
    <n v="1"/>
    <n v="0"/>
    <x v="4"/>
    <x v="15"/>
    <x v="3"/>
    <n v="522"/>
    <n v="9.3000000000000007"/>
    <x v="179"/>
  </r>
  <r>
    <n v="10"/>
    <n v="0"/>
    <n v="3"/>
    <n v="5"/>
    <n v="1"/>
    <n v="0"/>
    <x v="3"/>
    <x v="5"/>
    <x v="14"/>
    <n v="403"/>
    <n v="7.7"/>
    <x v="180"/>
  </r>
  <r>
    <n v="10"/>
    <n v="20"/>
    <n v="3"/>
    <n v="21"/>
    <n v="7"/>
    <n v="0"/>
    <x v="11"/>
    <x v="4"/>
    <x v="29"/>
    <n v="634"/>
    <n v="8.6999999999999993"/>
    <x v="181"/>
  </r>
  <r>
    <n v="23"/>
    <n v="23"/>
    <n v="3"/>
    <n v="11"/>
    <n v="1"/>
    <n v="0"/>
    <x v="1"/>
    <x v="5"/>
    <x v="18"/>
    <n v="611"/>
    <n v="7.7"/>
    <x v="171"/>
  </r>
  <r>
    <n v="12"/>
    <n v="23"/>
    <n v="0"/>
    <n v="15"/>
    <n v="1"/>
    <n v="0"/>
    <x v="4"/>
    <x v="17"/>
    <x v="22"/>
    <n v="475"/>
    <n v="8.8000000000000007"/>
    <x v="182"/>
  </r>
  <r>
    <n v="15"/>
    <n v="23"/>
    <n v="2"/>
    <n v="18"/>
    <n v="12"/>
    <n v="0"/>
    <x v="7"/>
    <x v="7"/>
    <x v="29"/>
    <n v="544"/>
    <n v="7.8"/>
    <x v="183"/>
  </r>
  <r>
    <n v="20"/>
    <n v="22"/>
    <n v="1"/>
    <n v="4"/>
    <n v="1"/>
    <n v="0"/>
    <x v="10"/>
    <x v="19"/>
    <x v="23"/>
    <n v="337"/>
    <n v="7.4"/>
    <x v="184"/>
  </r>
  <r>
    <n v="17"/>
    <n v="22"/>
    <n v="2"/>
    <n v="4"/>
    <n v="12"/>
    <n v="0"/>
    <x v="2"/>
    <x v="15"/>
    <x v="23"/>
    <n v="564"/>
    <n v="9.3000000000000007"/>
    <x v="185"/>
  </r>
  <r>
    <n v="11"/>
    <n v="22"/>
    <n v="3"/>
    <n v="16"/>
    <n v="12"/>
    <n v="0"/>
    <x v="8"/>
    <x v="3"/>
    <x v="13"/>
    <n v="638"/>
    <n v="8.9"/>
    <x v="186"/>
  </r>
  <r>
    <n v="7"/>
    <n v="21"/>
    <n v="1"/>
    <n v="22"/>
    <n v="1"/>
    <n v="0"/>
    <x v="9"/>
    <x v="17"/>
    <x v="16"/>
    <n v="485"/>
    <n v="8.8000000000000007"/>
    <x v="187"/>
  </r>
  <r>
    <n v="5"/>
    <n v="19"/>
    <n v="0"/>
    <n v="9"/>
    <n v="1"/>
    <n v="0"/>
    <x v="3"/>
    <x v="4"/>
    <x v="23"/>
    <n v="201"/>
    <n v="8.6999999999999993"/>
    <x v="24"/>
  </r>
  <r>
    <n v="10"/>
    <n v="21"/>
    <n v="0"/>
    <n v="13"/>
    <n v="1"/>
    <n v="0"/>
    <x v="12"/>
    <x v="10"/>
    <x v="31"/>
    <n v="425"/>
    <n v="8.5"/>
    <x v="188"/>
  </r>
  <r>
    <n v="14"/>
    <n v="22"/>
    <n v="0"/>
    <n v="3"/>
    <n v="1"/>
    <n v="0"/>
    <x v="6"/>
    <x v="9"/>
    <x v="3"/>
    <n v="287"/>
    <n v="7.9"/>
    <x v="189"/>
  </r>
  <r>
    <n v="14"/>
    <n v="22"/>
    <n v="3"/>
    <n v="15"/>
    <n v="1"/>
    <n v="0"/>
    <x v="11"/>
    <x v="19"/>
    <x v="3"/>
    <n v="688"/>
    <n v="7.4"/>
    <x v="190"/>
  </r>
  <r>
    <n v="23"/>
    <n v="23"/>
    <n v="2"/>
    <n v="18"/>
    <n v="1"/>
    <n v="0"/>
    <x v="11"/>
    <x v="8"/>
    <x v="25"/>
    <n v="665"/>
    <n v="8.4"/>
    <x v="191"/>
  </r>
  <r>
    <n v="20"/>
    <n v="23"/>
    <n v="1"/>
    <n v="14"/>
    <n v="1"/>
    <n v="0"/>
    <x v="2"/>
    <x v="20"/>
    <x v="19"/>
    <n v="658"/>
    <n v="7.7"/>
    <x v="7"/>
  </r>
  <r>
    <n v="20"/>
    <n v="23"/>
    <n v="1"/>
    <n v="7"/>
    <n v="12"/>
    <n v="0"/>
    <x v="2"/>
    <x v="20"/>
    <x v="17"/>
    <n v="695"/>
    <n v="9.3000000000000007"/>
    <x v="192"/>
  </r>
  <r>
    <n v="22"/>
    <n v="23"/>
    <n v="3"/>
    <n v="14"/>
    <n v="1"/>
    <n v="0"/>
    <x v="11"/>
    <x v="8"/>
    <x v="17"/>
    <n v="566"/>
    <n v="8.4"/>
    <x v="193"/>
  </r>
  <r>
    <n v="15"/>
    <n v="23"/>
    <n v="0"/>
    <n v="14"/>
    <n v="1"/>
    <n v="0"/>
    <x v="6"/>
    <x v="20"/>
    <x v="9"/>
    <n v="679"/>
    <n v="7.4"/>
    <x v="194"/>
  </r>
  <r>
    <n v="7"/>
    <n v="18"/>
    <n v="2"/>
    <n v="19"/>
    <n v="1"/>
    <n v="0"/>
    <x v="4"/>
    <x v="29"/>
    <x v="13"/>
    <n v="486"/>
    <n v="9.3000000000000007"/>
    <x v="195"/>
  </r>
  <r>
    <n v="17"/>
    <n v="23"/>
    <n v="1"/>
    <n v="3"/>
    <n v="1"/>
    <n v="0"/>
    <x v="6"/>
    <x v="13"/>
    <x v="5"/>
    <n v="316"/>
    <n v="9.1999999999999993"/>
    <x v="196"/>
  </r>
  <r>
    <n v="6"/>
    <n v="22"/>
    <n v="3"/>
    <n v="9"/>
    <n v="1"/>
    <n v="0"/>
    <x v="12"/>
    <x v="16"/>
    <x v="26"/>
    <n v="544"/>
    <n v="8.1999999999999993"/>
    <x v="197"/>
  </r>
  <r>
    <n v="20"/>
    <n v="23"/>
    <n v="2"/>
    <n v="13"/>
    <n v="1"/>
    <n v="0"/>
    <x v="7"/>
    <x v="19"/>
    <x v="21"/>
    <n v="445"/>
    <n v="7.4"/>
    <x v="198"/>
  </r>
  <r>
    <n v="10"/>
    <n v="22"/>
    <n v="3"/>
    <n v="9"/>
    <n v="1"/>
    <n v="0"/>
    <x v="8"/>
    <x v="3"/>
    <x v="2"/>
    <n v="486"/>
    <n v="8.9"/>
    <x v="145"/>
  </r>
  <r>
    <n v="18"/>
    <n v="0"/>
    <n v="3"/>
    <n v="18"/>
    <n v="1"/>
    <n v="0"/>
    <x v="10"/>
    <x v="19"/>
    <x v="30"/>
    <n v="677"/>
    <n v="7.4"/>
    <x v="199"/>
  </r>
  <r>
    <n v="16"/>
    <n v="22"/>
    <n v="0"/>
    <n v="4"/>
    <n v="1"/>
    <n v="0"/>
    <x v="7"/>
    <x v="5"/>
    <x v="0"/>
    <n v="470"/>
    <n v="7.7"/>
    <x v="200"/>
  </r>
  <r>
    <n v="19"/>
    <n v="23"/>
    <n v="1"/>
    <n v="17"/>
    <n v="12"/>
    <n v="0"/>
    <x v="0"/>
    <x v="16"/>
    <x v="17"/>
    <n v="509"/>
    <n v="8.1999999999999993"/>
    <x v="201"/>
  </r>
  <r>
    <n v="14"/>
    <n v="23"/>
    <n v="0"/>
    <n v="17"/>
    <n v="1"/>
    <n v="0"/>
    <x v="8"/>
    <x v="29"/>
    <x v="15"/>
    <n v="602"/>
    <n v="9.3000000000000007"/>
    <x v="202"/>
  </r>
  <r>
    <n v="16"/>
    <n v="23"/>
    <n v="0"/>
    <n v="17"/>
    <n v="1"/>
    <n v="0"/>
    <x v="9"/>
    <x v="1"/>
    <x v="24"/>
    <n v="405"/>
    <n v="8.3000000000000007"/>
    <x v="203"/>
  </r>
  <r>
    <n v="6"/>
    <n v="19"/>
    <n v="1"/>
    <n v="0"/>
    <n v="1"/>
    <n v="0"/>
    <x v="1"/>
    <x v="21"/>
    <x v="14"/>
    <n v="420"/>
    <n v="7.4"/>
    <x v="204"/>
  </r>
  <r>
    <n v="21"/>
    <n v="23"/>
    <n v="3"/>
    <n v="4"/>
    <n v="1"/>
    <n v="0"/>
    <x v="7"/>
    <x v="10"/>
    <x v="26"/>
    <n v="490"/>
    <n v="8.5"/>
    <x v="205"/>
  </r>
  <r>
    <n v="12"/>
    <n v="0"/>
    <n v="2"/>
    <n v="22"/>
    <n v="1"/>
    <n v="0"/>
    <x v="2"/>
    <x v="20"/>
    <x v="22"/>
    <n v="588"/>
    <n v="8.8000000000000007"/>
    <x v="206"/>
  </r>
  <r>
    <n v="15"/>
    <n v="23"/>
    <n v="1"/>
    <n v="20"/>
    <n v="12"/>
    <n v="0"/>
    <x v="0"/>
    <x v="7"/>
    <x v="32"/>
    <n v="493"/>
    <n v="7.8"/>
    <x v="207"/>
  </r>
  <r>
    <n v="9"/>
    <n v="19"/>
    <n v="3"/>
    <n v="6"/>
    <n v="1"/>
    <n v="0"/>
    <x v="4"/>
    <x v="0"/>
    <x v="18"/>
    <n v="467"/>
    <n v="8.1"/>
    <x v="208"/>
  </r>
  <r>
    <n v="19"/>
    <n v="23"/>
    <n v="3"/>
    <n v="16"/>
    <n v="12"/>
    <n v="0"/>
    <x v="9"/>
    <x v="8"/>
    <x v="32"/>
    <n v="646"/>
    <n v="8.4"/>
    <x v="209"/>
  </r>
  <r>
    <n v="6"/>
    <n v="23"/>
    <n v="0"/>
    <n v="18"/>
    <n v="1"/>
    <n v="0"/>
    <x v="0"/>
    <x v="10"/>
    <x v="3"/>
    <n v="365"/>
    <n v="8.5"/>
    <x v="210"/>
  </r>
  <r>
    <n v="9"/>
    <n v="19"/>
    <n v="0"/>
    <n v="21"/>
    <n v="1"/>
    <n v="0"/>
    <x v="11"/>
    <x v="6"/>
    <x v="17"/>
    <n v="452"/>
    <n v="9.1"/>
    <x v="211"/>
  </r>
  <r>
    <n v="8"/>
    <n v="18"/>
    <n v="0"/>
    <n v="21"/>
    <n v="1"/>
    <n v="0"/>
    <x v="1"/>
    <x v="30"/>
    <x v="11"/>
    <n v="489"/>
    <n v="7.7"/>
    <x v="212"/>
  </r>
  <r>
    <n v="16"/>
    <n v="22"/>
    <n v="3"/>
    <n v="17"/>
    <n v="1"/>
    <n v="0"/>
    <x v="10"/>
    <x v="6"/>
    <x v="1"/>
    <n v="641"/>
    <n v="9.1"/>
    <x v="213"/>
  </r>
  <r>
    <n v="6"/>
    <n v="19"/>
    <n v="1"/>
    <n v="15"/>
    <n v="1"/>
    <n v="0"/>
    <x v="1"/>
    <x v="16"/>
    <x v="30"/>
    <n v="297"/>
    <n v="8.1999999999999993"/>
    <x v="214"/>
  </r>
  <r>
    <n v="19"/>
    <n v="23"/>
    <n v="0"/>
    <n v="22"/>
    <n v="1"/>
    <n v="0"/>
    <x v="5"/>
    <x v="4"/>
    <x v="17"/>
    <n v="594"/>
    <n v="8.6999999999999993"/>
    <x v="215"/>
  </r>
  <r>
    <n v="18"/>
    <n v="22"/>
    <n v="2"/>
    <n v="8"/>
    <n v="1"/>
    <n v="0"/>
    <x v="5"/>
    <x v="6"/>
    <x v="3"/>
    <n v="587"/>
    <n v="9.1"/>
    <x v="216"/>
  </r>
  <r>
    <n v="5"/>
    <n v="17"/>
    <n v="3"/>
    <n v="14"/>
    <n v="1"/>
    <n v="0"/>
    <x v="12"/>
    <x v="7"/>
    <x v="19"/>
    <n v="550"/>
    <n v="7.8"/>
    <x v="217"/>
  </r>
  <r>
    <n v="14"/>
    <n v="22"/>
    <n v="0"/>
    <n v="5"/>
    <n v="0"/>
    <n v="0"/>
    <x v="4"/>
    <x v="7"/>
    <x v="8"/>
    <n v="310"/>
    <n v="7.8"/>
    <x v="218"/>
  </r>
  <r>
    <n v="9"/>
    <n v="19"/>
    <n v="0"/>
    <n v="9"/>
    <n v="1"/>
    <n v="0"/>
    <x v="1"/>
    <x v="4"/>
    <x v="9"/>
    <n v="486"/>
    <n v="8.6999999999999993"/>
    <x v="219"/>
  </r>
  <r>
    <n v="23"/>
    <n v="22"/>
    <n v="0"/>
    <n v="10"/>
    <n v="1"/>
    <n v="0"/>
    <x v="1"/>
    <x v="5"/>
    <x v="21"/>
    <n v="466"/>
    <n v="7.7"/>
    <x v="24"/>
  </r>
  <r>
    <n v="7"/>
    <n v="18"/>
    <n v="1"/>
    <n v="13"/>
    <n v="1"/>
    <n v="0"/>
    <x v="3"/>
    <x v="4"/>
    <x v="24"/>
    <n v="0"/>
    <n v="8.6999999999999993"/>
    <x v="220"/>
  </r>
  <r>
    <n v="9"/>
    <n v="23"/>
    <n v="0"/>
    <n v="11"/>
    <n v="1"/>
    <n v="0"/>
    <x v="5"/>
    <x v="9"/>
    <x v="0"/>
    <n v="557"/>
    <n v="7.9"/>
    <x v="221"/>
  </r>
  <r>
    <n v="12"/>
    <n v="23"/>
    <n v="3"/>
    <n v="19"/>
    <n v="12"/>
    <n v="0"/>
    <x v="1"/>
    <x v="16"/>
    <x v="10"/>
    <n v="646"/>
    <n v="8.1999999999999993"/>
    <x v="222"/>
  </r>
  <r>
    <n v="6"/>
    <n v="22"/>
    <n v="1"/>
    <n v="4"/>
    <n v="1"/>
    <n v="0"/>
    <x v="3"/>
    <x v="0"/>
    <x v="25"/>
    <n v="487"/>
    <n v="8.1"/>
    <x v="223"/>
  </r>
  <r>
    <n v="9"/>
    <n v="20"/>
    <n v="1"/>
    <n v="14"/>
    <n v="7"/>
    <n v="0"/>
    <x v="6"/>
    <x v="10"/>
    <x v="17"/>
    <n v="527"/>
    <n v="8.5"/>
    <x v="224"/>
  </r>
  <r>
    <n v="21"/>
    <n v="23"/>
    <n v="0"/>
    <n v="6"/>
    <n v="1"/>
    <n v="0"/>
    <x v="9"/>
    <x v="7"/>
    <x v="29"/>
    <n v="0"/>
    <n v="7.8"/>
    <x v="225"/>
  </r>
  <r>
    <n v="20"/>
    <n v="0"/>
    <n v="0"/>
    <n v="0"/>
    <n v="1"/>
    <n v="0"/>
    <x v="1"/>
    <x v="25"/>
    <x v="14"/>
    <n v="512"/>
    <n v="8.1999999999999993"/>
    <x v="226"/>
  </r>
  <r>
    <n v="17"/>
    <n v="23"/>
    <n v="0"/>
    <n v="6"/>
    <n v="1"/>
    <n v="0"/>
    <x v="7"/>
    <x v="29"/>
    <x v="28"/>
    <n v="490"/>
    <n v="9.3000000000000007"/>
    <x v="227"/>
  </r>
  <r>
    <n v="8"/>
    <n v="22"/>
    <n v="2"/>
    <n v="9"/>
    <n v="7"/>
    <n v="0"/>
    <x v="9"/>
    <x v="13"/>
    <x v="19"/>
    <n v="432"/>
    <n v="9.1999999999999993"/>
    <x v="228"/>
  </r>
  <r>
    <n v="22"/>
    <n v="22"/>
    <n v="2"/>
    <n v="22"/>
    <n v="1"/>
    <n v="0"/>
    <x v="2"/>
    <x v="31"/>
    <x v="2"/>
    <n v="632"/>
    <n v="0"/>
    <x v="229"/>
  </r>
  <r>
    <n v="11"/>
    <n v="0"/>
    <n v="2"/>
    <n v="11"/>
    <n v="1"/>
    <n v="0"/>
    <x v="9"/>
    <x v="1"/>
    <x v="4"/>
    <n v="361"/>
    <n v="8.3000000000000007"/>
    <x v="230"/>
  </r>
  <r>
    <n v="7"/>
    <n v="21"/>
    <n v="1"/>
    <n v="19"/>
    <n v="1"/>
    <n v="0"/>
    <x v="7"/>
    <x v="15"/>
    <x v="4"/>
    <n v="0"/>
    <n v="9.3000000000000007"/>
    <x v="231"/>
  </r>
  <r>
    <n v="15"/>
    <n v="23"/>
    <n v="1"/>
    <n v="5"/>
    <n v="1"/>
    <n v="0"/>
    <x v="2"/>
    <x v="30"/>
    <x v="23"/>
    <n v="519"/>
    <n v="7.7"/>
    <x v="232"/>
  </r>
  <r>
    <n v="12"/>
    <n v="23"/>
    <n v="0"/>
    <n v="8"/>
    <n v="1"/>
    <n v="0"/>
    <x v="3"/>
    <x v="19"/>
    <x v="30"/>
    <n v="517"/>
    <n v="7.4"/>
    <x v="233"/>
  </r>
  <r>
    <n v="5"/>
    <n v="21"/>
    <n v="3"/>
    <n v="6"/>
    <n v="1"/>
    <n v="0"/>
    <x v="5"/>
    <x v="7"/>
    <x v="6"/>
    <n v="436"/>
    <n v="7.8"/>
    <x v="40"/>
  </r>
  <r>
    <n v="0"/>
    <n v="23"/>
    <n v="0"/>
    <n v="5"/>
    <n v="1"/>
    <n v="0"/>
    <x v="3"/>
    <x v="6"/>
    <x v="12"/>
    <n v="490"/>
    <n v="9.1"/>
    <x v="234"/>
  </r>
  <r>
    <n v="21"/>
    <n v="23"/>
    <n v="3"/>
    <n v="12"/>
    <n v="1"/>
    <n v="0"/>
    <x v="9"/>
    <x v="13"/>
    <x v="1"/>
    <n v="640"/>
    <n v="9.1999999999999993"/>
    <x v="235"/>
  </r>
  <r>
    <n v="14"/>
    <n v="22"/>
    <n v="0"/>
    <n v="18"/>
    <n v="1"/>
    <n v="0"/>
    <x v="11"/>
    <x v="14"/>
    <x v="22"/>
    <n v="505"/>
    <n v="7.6"/>
    <x v="236"/>
  </r>
  <r>
    <n v="10"/>
    <n v="20"/>
    <n v="2"/>
    <n v="3"/>
    <n v="1"/>
    <n v="0"/>
    <x v="7"/>
    <x v="9"/>
    <x v="0"/>
    <n v="362"/>
    <n v="7.9"/>
    <x v="237"/>
  </r>
  <r>
    <n v="20"/>
    <n v="22"/>
    <n v="1"/>
    <n v="5"/>
    <n v="12"/>
    <n v="0"/>
    <x v="0"/>
    <x v="8"/>
    <x v="0"/>
    <n v="528"/>
    <n v="8.4"/>
    <x v="238"/>
  </r>
  <r>
    <n v="9"/>
    <n v="21"/>
    <n v="0"/>
    <n v="17"/>
    <n v="1"/>
    <n v="0"/>
    <x v="6"/>
    <x v="20"/>
    <x v="28"/>
    <n v="387"/>
    <n v="9.3000000000000007"/>
    <x v="239"/>
  </r>
  <r>
    <n v="8"/>
    <n v="20"/>
    <n v="0"/>
    <n v="0"/>
    <n v="1"/>
    <n v="0"/>
    <x v="9"/>
    <x v="14"/>
    <x v="23"/>
    <n v="334"/>
    <n v="7.6"/>
    <x v="240"/>
  </r>
  <r>
    <n v="12"/>
    <n v="22"/>
    <n v="2"/>
    <n v="17"/>
    <n v="1"/>
    <n v="0"/>
    <x v="7"/>
    <x v="9"/>
    <x v="5"/>
    <n v="474"/>
    <n v="7.9"/>
    <x v="241"/>
  </r>
  <r>
    <n v="0"/>
    <n v="22"/>
    <n v="3"/>
    <n v="9"/>
    <n v="1"/>
    <n v="0"/>
    <x v="11"/>
    <x v="13"/>
    <x v="10"/>
    <n v="394"/>
    <n v="0"/>
    <x v="24"/>
  </r>
  <r>
    <n v="16"/>
    <n v="23"/>
    <n v="1"/>
    <n v="5"/>
    <n v="12"/>
    <n v="0"/>
    <x v="1"/>
    <x v="30"/>
    <x v="5"/>
    <n v="519"/>
    <n v="7.7"/>
    <x v="232"/>
  </r>
  <r>
    <n v="23"/>
    <n v="22"/>
    <n v="2"/>
    <n v="14"/>
    <n v="1"/>
    <n v="0"/>
    <x v="11"/>
    <x v="6"/>
    <x v="27"/>
    <n v="530"/>
    <n v="0"/>
    <x v="24"/>
  </r>
  <r>
    <n v="20"/>
    <n v="23"/>
    <n v="3"/>
    <n v="19"/>
    <n v="1"/>
    <n v="0"/>
    <x v="2"/>
    <x v="1"/>
    <x v="21"/>
    <n v="569"/>
    <n v="8.3000000000000007"/>
    <x v="242"/>
  </r>
  <r>
    <n v="11"/>
    <n v="22"/>
    <n v="2"/>
    <n v="19"/>
    <n v="1"/>
    <n v="0"/>
    <x v="2"/>
    <x v="3"/>
    <x v="21"/>
    <n v="420"/>
    <n v="8.9"/>
    <x v="243"/>
  </r>
  <r>
    <n v="23"/>
    <n v="23"/>
    <n v="0"/>
    <n v="9"/>
    <n v="12"/>
    <n v="0"/>
    <x v="6"/>
    <x v="32"/>
    <x v="2"/>
    <n v="607"/>
    <n v="9.1999999999999993"/>
    <x v="244"/>
  </r>
  <r>
    <n v="20"/>
    <n v="23"/>
    <n v="3"/>
    <n v="7"/>
    <n v="1"/>
    <n v="0"/>
    <x v="11"/>
    <x v="9"/>
    <x v="18"/>
    <n v="478"/>
    <n v="7.9"/>
    <x v="245"/>
  </r>
  <r>
    <n v="19"/>
    <n v="23"/>
    <n v="1"/>
    <n v="15"/>
    <n v="0"/>
    <n v="0"/>
    <x v="1"/>
    <x v="5"/>
    <x v="28"/>
    <n v="533"/>
    <n v="7.7"/>
    <x v="246"/>
  </r>
  <r>
    <n v="22"/>
    <n v="23"/>
    <n v="0"/>
    <n v="15"/>
    <n v="1"/>
    <n v="0"/>
    <x v="8"/>
    <x v="16"/>
    <x v="18"/>
    <n v="691"/>
    <n v="8.1999999999999993"/>
    <x v="247"/>
  </r>
  <r>
    <n v="8"/>
    <n v="20"/>
    <n v="0"/>
    <n v="19"/>
    <n v="1"/>
    <n v="0"/>
    <x v="5"/>
    <x v="4"/>
    <x v="3"/>
    <n v="501"/>
    <n v="8.6999999999999993"/>
    <x v="248"/>
  </r>
  <r>
    <n v="16"/>
    <n v="22"/>
    <n v="0"/>
    <n v="7"/>
    <n v="0"/>
    <n v="0"/>
    <x v="4"/>
    <x v="13"/>
    <x v="27"/>
    <n v="422"/>
    <n v="9.1999999999999993"/>
    <x v="249"/>
  </r>
  <r>
    <n v="21"/>
    <n v="23"/>
    <n v="3"/>
    <n v="7"/>
    <n v="1"/>
    <n v="0"/>
    <x v="3"/>
    <x v="7"/>
    <x v="1"/>
    <n v="485"/>
    <n v="7.8"/>
    <x v="250"/>
  </r>
  <r>
    <n v="0"/>
    <n v="23"/>
    <n v="1"/>
    <n v="11"/>
    <n v="12"/>
    <n v="0"/>
    <x v="12"/>
    <x v="16"/>
    <x v="14"/>
    <n v="665"/>
    <n v="8.1999999999999993"/>
    <x v="251"/>
  </r>
  <r>
    <n v="9"/>
    <n v="22"/>
    <n v="3"/>
    <n v="3"/>
    <n v="1"/>
    <n v="0"/>
    <x v="11"/>
    <x v="0"/>
    <x v="9"/>
    <n v="395"/>
    <n v="8.1"/>
    <x v="178"/>
  </r>
  <r>
    <n v="16"/>
    <n v="22"/>
    <n v="3"/>
    <n v="14"/>
    <n v="12"/>
    <n v="0"/>
    <x v="12"/>
    <x v="17"/>
    <x v="19"/>
    <n v="719"/>
    <n v="8.8000000000000007"/>
    <x v="252"/>
  </r>
  <r>
    <n v="14"/>
    <n v="22"/>
    <n v="2"/>
    <n v="6"/>
    <n v="12"/>
    <n v="0"/>
    <x v="9"/>
    <x v="15"/>
    <x v="3"/>
    <n v="577"/>
    <n v="9.3000000000000007"/>
    <x v="253"/>
  </r>
  <r>
    <n v="7"/>
    <n v="17"/>
    <n v="1"/>
    <n v="18"/>
    <n v="7"/>
    <n v="0"/>
    <x v="2"/>
    <x v="15"/>
    <x v="12"/>
    <n v="536"/>
    <n v="9.3000000000000007"/>
    <x v="254"/>
  </r>
  <r>
    <n v="6"/>
    <n v="19"/>
    <n v="3"/>
    <n v="20"/>
    <n v="7"/>
    <n v="0"/>
    <x v="2"/>
    <x v="29"/>
    <x v="22"/>
    <n v="497"/>
    <n v="9.3000000000000007"/>
    <x v="255"/>
  </r>
  <r>
    <n v="20"/>
    <n v="0"/>
    <n v="1"/>
    <n v="3"/>
    <n v="1"/>
    <n v="0"/>
    <x v="2"/>
    <x v="17"/>
    <x v="11"/>
    <n v="557"/>
    <n v="8.8000000000000007"/>
    <x v="256"/>
  </r>
  <r>
    <n v="20"/>
    <n v="23"/>
    <n v="0"/>
    <n v="11"/>
    <n v="1"/>
    <n v="0"/>
    <x v="2"/>
    <x v="17"/>
    <x v="9"/>
    <n v="520"/>
    <n v="8.8000000000000007"/>
    <x v="51"/>
  </r>
  <r>
    <n v="23"/>
    <n v="23"/>
    <n v="1"/>
    <n v="4"/>
    <n v="0"/>
    <n v="0"/>
    <x v="7"/>
    <x v="23"/>
    <x v="13"/>
    <n v="426"/>
    <n v="7.8"/>
    <x v="257"/>
  </r>
  <r>
    <n v="18"/>
    <n v="22"/>
    <n v="0"/>
    <n v="21"/>
    <n v="1"/>
    <n v="0"/>
    <x v="3"/>
    <x v="5"/>
    <x v="17"/>
    <n v="554"/>
    <n v="7.7"/>
    <x v="258"/>
  </r>
  <r>
    <n v="0"/>
    <n v="23"/>
    <n v="1"/>
    <n v="12"/>
    <n v="1"/>
    <n v="0"/>
    <x v="7"/>
    <x v="15"/>
    <x v="31"/>
    <n v="587"/>
    <n v="9.3000000000000007"/>
    <x v="259"/>
  </r>
  <r>
    <n v="19"/>
    <n v="23"/>
    <n v="2"/>
    <n v="22"/>
    <n v="1"/>
    <n v="0"/>
    <x v="3"/>
    <x v="10"/>
    <x v="8"/>
    <n v="0"/>
    <n v="8.5"/>
    <x v="24"/>
  </r>
  <r>
    <n v="5"/>
    <n v="20"/>
    <n v="0"/>
    <n v="8"/>
    <n v="1"/>
    <n v="0"/>
    <x v="10"/>
    <x v="6"/>
    <x v="15"/>
    <n v="311"/>
    <n v="9.1"/>
    <x v="260"/>
  </r>
  <r>
    <n v="19"/>
    <n v="22"/>
    <n v="1"/>
    <n v="13"/>
    <n v="1"/>
    <n v="0"/>
    <x v="9"/>
    <x v="33"/>
    <x v="16"/>
    <n v="429"/>
    <n v="0"/>
    <x v="261"/>
  </r>
  <r>
    <n v="16"/>
    <n v="23"/>
    <n v="0"/>
    <n v="9"/>
    <n v="1"/>
    <n v="0"/>
    <x v="8"/>
    <x v="14"/>
    <x v="18"/>
    <n v="376"/>
    <n v="7.6"/>
    <x v="262"/>
  </r>
  <r>
    <n v="22"/>
    <n v="22"/>
    <n v="0"/>
    <n v="9"/>
    <n v="1"/>
    <n v="0"/>
    <x v="6"/>
    <x v="4"/>
    <x v="7"/>
    <n v="574"/>
    <n v="8.6999999999999993"/>
    <x v="263"/>
  </r>
  <r>
    <n v="8"/>
    <n v="0"/>
    <n v="0"/>
    <n v="0"/>
    <n v="1"/>
    <n v="0"/>
    <x v="6"/>
    <x v="0"/>
    <x v="12"/>
    <n v="589"/>
    <n v="8.1"/>
    <x v="264"/>
  </r>
  <r>
    <n v="11"/>
    <n v="23"/>
    <n v="2"/>
    <n v="21"/>
    <n v="1"/>
    <n v="0"/>
    <x v="3"/>
    <x v="8"/>
    <x v="31"/>
    <n v="669"/>
    <n v="8.4"/>
    <x v="265"/>
  </r>
  <r>
    <n v="18"/>
    <n v="23"/>
    <n v="3"/>
    <n v="0"/>
    <n v="1"/>
    <n v="0"/>
    <x v="7"/>
    <x v="20"/>
    <x v="14"/>
    <n v="771"/>
    <n v="8.8000000000000007"/>
    <x v="266"/>
  </r>
  <r>
    <n v="19"/>
    <n v="23"/>
    <n v="0"/>
    <n v="9"/>
    <n v="1"/>
    <n v="0"/>
    <x v="6"/>
    <x v="15"/>
    <x v="12"/>
    <n v="477"/>
    <n v="9.3000000000000007"/>
    <x v="267"/>
  </r>
  <r>
    <n v="0"/>
    <n v="22"/>
    <n v="3"/>
    <n v="21"/>
    <n v="1"/>
    <n v="0"/>
    <x v="4"/>
    <x v="3"/>
    <x v="30"/>
    <n v="742"/>
    <n v="8.9"/>
    <x v="268"/>
  </r>
  <r>
    <n v="6"/>
    <n v="22"/>
    <n v="1"/>
    <n v="15"/>
    <n v="1"/>
    <n v="0"/>
    <x v="0"/>
    <x v="6"/>
    <x v="14"/>
    <n v="513"/>
    <n v="9.1"/>
    <x v="55"/>
  </r>
  <r>
    <n v="21"/>
    <n v="22"/>
    <n v="0"/>
    <n v="22"/>
    <n v="1"/>
    <n v="0"/>
    <x v="2"/>
    <x v="9"/>
    <x v="29"/>
    <n v="539"/>
    <n v="7.9"/>
    <x v="269"/>
  </r>
  <r>
    <n v="20"/>
    <n v="22"/>
    <n v="3"/>
    <n v="7"/>
    <n v="12"/>
    <n v="0"/>
    <x v="5"/>
    <x v="14"/>
    <x v="18"/>
    <n v="626"/>
    <n v="7.6"/>
    <x v="270"/>
  </r>
  <r>
    <n v="0"/>
    <n v="20"/>
    <n v="0"/>
    <n v="20"/>
    <n v="1"/>
    <n v="0"/>
    <x v="9"/>
    <x v="15"/>
    <x v="24"/>
    <n v="617"/>
    <n v="9.3000000000000007"/>
    <x v="271"/>
  </r>
  <r>
    <n v="17"/>
    <n v="23"/>
    <n v="1"/>
    <n v="17"/>
    <n v="1"/>
    <n v="0"/>
    <x v="3"/>
    <x v="32"/>
    <x v="1"/>
    <n v="618"/>
    <n v="9.1999999999999993"/>
    <x v="272"/>
  </r>
  <r>
    <n v="21"/>
    <n v="23"/>
    <n v="1"/>
    <n v="9"/>
    <n v="1"/>
    <n v="0"/>
    <x v="6"/>
    <x v="12"/>
    <x v="13"/>
    <n v="441"/>
    <n v="8.6999999999999993"/>
    <x v="273"/>
  </r>
  <r>
    <n v="20"/>
    <n v="23"/>
    <n v="0"/>
    <n v="15"/>
    <n v="12"/>
    <n v="0"/>
    <x v="2"/>
    <x v="13"/>
    <x v="29"/>
    <n v="749"/>
    <n v="9.1999999999999993"/>
    <x v="274"/>
  </r>
  <r>
    <n v="21"/>
    <n v="23"/>
    <n v="0"/>
    <n v="12"/>
    <n v="1"/>
    <n v="0"/>
    <x v="9"/>
    <x v="13"/>
    <x v="6"/>
    <n v="501"/>
    <n v="9.1999999999999993"/>
    <x v="275"/>
  </r>
  <r>
    <n v="8"/>
    <n v="21"/>
    <n v="0"/>
    <n v="17"/>
    <n v="7"/>
    <n v="0"/>
    <x v="1"/>
    <x v="17"/>
    <x v="9"/>
    <n v="382"/>
    <n v="8.8000000000000007"/>
    <x v="96"/>
  </r>
  <r>
    <n v="18"/>
    <n v="23"/>
    <n v="3"/>
    <n v="4"/>
    <n v="1"/>
    <n v="0"/>
    <x v="6"/>
    <x v="6"/>
    <x v="15"/>
    <n v="413"/>
    <n v="9.1"/>
    <x v="276"/>
  </r>
  <r>
    <n v="20"/>
    <n v="22"/>
    <n v="3"/>
    <n v="6"/>
    <n v="1"/>
    <n v="0"/>
    <x v="5"/>
    <x v="8"/>
    <x v="5"/>
    <n v="414"/>
    <n v="8.4"/>
    <x v="277"/>
  </r>
  <r>
    <n v="23"/>
    <n v="22"/>
    <n v="0"/>
    <n v="21"/>
    <n v="1"/>
    <n v="0"/>
    <x v="11"/>
    <x v="19"/>
    <x v="26"/>
    <n v="603"/>
    <n v="7.4"/>
    <x v="278"/>
  </r>
  <r>
    <n v="5"/>
    <n v="23"/>
    <n v="2"/>
    <n v="21"/>
    <n v="7"/>
    <n v="0"/>
    <x v="8"/>
    <x v="14"/>
    <x v="28"/>
    <n v="590"/>
    <n v="7.6"/>
    <x v="279"/>
  </r>
  <r>
    <n v="10"/>
    <n v="22"/>
    <n v="0"/>
    <n v="4"/>
    <n v="1"/>
    <n v="0"/>
    <x v="2"/>
    <x v="6"/>
    <x v="1"/>
    <n v="332"/>
    <n v="9.1"/>
    <x v="280"/>
  </r>
  <r>
    <n v="6"/>
    <n v="18"/>
    <n v="3"/>
    <n v="12"/>
    <n v="7"/>
    <n v="0"/>
    <x v="10"/>
    <x v="7"/>
    <x v="0"/>
    <n v="452"/>
    <n v="7.8"/>
    <x v="281"/>
  </r>
  <r>
    <n v="17"/>
    <n v="23"/>
    <n v="1"/>
    <n v="5"/>
    <n v="1"/>
    <n v="0"/>
    <x v="7"/>
    <x v="3"/>
    <x v="20"/>
    <n v="437"/>
    <n v="8.9"/>
    <x v="282"/>
  </r>
  <r>
    <n v="17"/>
    <n v="22"/>
    <n v="1"/>
    <n v="4"/>
    <n v="1"/>
    <n v="0"/>
    <x v="5"/>
    <x v="17"/>
    <x v="24"/>
    <n v="392"/>
    <n v="8.8000000000000007"/>
    <x v="283"/>
  </r>
  <r>
    <n v="14"/>
    <n v="22"/>
    <n v="3"/>
    <n v="20"/>
    <n v="12"/>
    <n v="0"/>
    <x v="2"/>
    <x v="4"/>
    <x v="2"/>
    <n v="752"/>
    <n v="8.6999999999999993"/>
    <x v="284"/>
  </r>
  <r>
    <n v="14"/>
    <n v="22"/>
    <n v="0"/>
    <n v="6"/>
    <n v="1"/>
    <n v="0"/>
    <x v="6"/>
    <x v="17"/>
    <x v="13"/>
    <n v="0"/>
    <n v="8.8000000000000007"/>
    <x v="285"/>
  </r>
  <r>
    <n v="16"/>
    <n v="23"/>
    <n v="1"/>
    <n v="19"/>
    <n v="1"/>
    <n v="0"/>
    <x v="0"/>
    <x v="10"/>
    <x v="32"/>
    <n v="635"/>
    <n v="8.5"/>
    <x v="286"/>
  </r>
  <r>
    <n v="14"/>
    <n v="22"/>
    <n v="1"/>
    <n v="22"/>
    <n v="1"/>
    <n v="0"/>
    <x v="4"/>
    <x v="0"/>
    <x v="10"/>
    <n v="566"/>
    <n v="8.1"/>
    <x v="287"/>
  </r>
  <r>
    <n v="15"/>
    <n v="23"/>
    <n v="1"/>
    <n v="6"/>
    <n v="0"/>
    <n v="0"/>
    <x v="9"/>
    <x v="8"/>
    <x v="2"/>
    <n v="378"/>
    <n v="8.4"/>
    <x v="288"/>
  </r>
  <r>
    <n v="17"/>
    <n v="22"/>
    <n v="3"/>
    <n v="11"/>
    <n v="1"/>
    <n v="0"/>
    <x v="5"/>
    <x v="8"/>
    <x v="11"/>
    <n v="535"/>
    <n v="8.4"/>
    <x v="289"/>
  </r>
  <r>
    <n v="19"/>
    <n v="23"/>
    <n v="0"/>
    <n v="21"/>
    <n v="1"/>
    <n v="0"/>
    <x v="8"/>
    <x v="3"/>
    <x v="24"/>
    <s v="nan "/>
    <n v="8.9"/>
    <x v="290"/>
  </r>
  <r>
    <n v="15"/>
    <n v="22"/>
    <n v="1"/>
    <n v="21"/>
    <n v="1"/>
    <n v="0"/>
    <x v="12"/>
    <x v="6"/>
    <x v="17"/>
    <n v="553"/>
    <n v="9.1"/>
    <x v="291"/>
  </r>
  <r>
    <n v="21"/>
    <n v="22"/>
    <n v="1"/>
    <n v="8"/>
    <n v="0"/>
    <n v="0"/>
    <x v="8"/>
    <x v="8"/>
    <x v="17"/>
    <n v="502"/>
    <n v="8.4"/>
    <x v="292"/>
  </r>
  <r>
    <n v="7"/>
    <n v="23"/>
    <n v="1"/>
    <n v="5"/>
    <n v="7"/>
    <n v="0"/>
    <x v="4"/>
    <x v="4"/>
    <x v="0"/>
    <n v="568"/>
    <n v="8.6999999999999993"/>
    <x v="293"/>
  </r>
  <r>
    <n v="18"/>
    <n v="22"/>
    <n v="0"/>
    <n v="18"/>
    <n v="1"/>
    <n v="0"/>
    <x v="10"/>
    <x v="0"/>
    <x v="27"/>
    <n v="468"/>
    <n v="8.1"/>
    <x v="294"/>
  </r>
  <r>
    <n v="10"/>
    <n v="21"/>
    <n v="1"/>
    <n v="8"/>
    <n v="1"/>
    <n v="0"/>
    <x v="0"/>
    <x v="6"/>
    <x v="32"/>
    <n v="462"/>
    <n v="9.1"/>
    <x v="295"/>
  </r>
  <r>
    <n v="5"/>
    <n v="21"/>
    <n v="3"/>
    <n v="17"/>
    <n v="1"/>
    <n v="0"/>
    <x v="12"/>
    <x v="17"/>
    <x v="10"/>
    <n v="438"/>
    <n v="8.8000000000000007"/>
    <x v="24"/>
  </r>
  <r>
    <n v="5"/>
    <n v="19"/>
    <n v="1"/>
    <n v="0"/>
    <n v="0"/>
    <n v="0"/>
    <x v="2"/>
    <x v="10"/>
    <x v="28"/>
    <n v="516"/>
    <n v="8.5"/>
    <x v="296"/>
  </r>
  <r>
    <n v="22"/>
    <n v="22"/>
    <n v="2"/>
    <n v="18"/>
    <n v="1"/>
    <n v="0"/>
    <x v="2"/>
    <x v="0"/>
    <x v="14"/>
    <n v="735"/>
    <n v="8.1"/>
    <x v="297"/>
  </r>
  <r>
    <n v="0"/>
    <n v="22"/>
    <n v="3"/>
    <n v="10"/>
    <n v="0"/>
    <n v="0"/>
    <x v="3"/>
    <x v="15"/>
    <x v="24"/>
    <n v="0"/>
    <n v="9.3000000000000007"/>
    <x v="298"/>
  </r>
  <r>
    <n v="5"/>
    <n v="19"/>
    <n v="2"/>
    <n v="8"/>
    <n v="1"/>
    <n v="0"/>
    <x v="0"/>
    <x v="1"/>
    <x v="29"/>
    <n v="308"/>
    <n v="8.3000000000000007"/>
    <x v="299"/>
  </r>
  <r>
    <n v="18"/>
    <n v="23"/>
    <n v="0"/>
    <n v="4"/>
    <n v="1"/>
    <n v="0"/>
    <x v="6"/>
    <x v="17"/>
    <x v="20"/>
    <n v="439"/>
    <n v="8.8000000000000007"/>
    <x v="300"/>
  </r>
  <r>
    <n v="0"/>
    <n v="19"/>
    <n v="2"/>
    <n v="8"/>
    <n v="7"/>
    <n v="0"/>
    <x v="3"/>
    <x v="4"/>
    <x v="16"/>
    <n v="349"/>
    <n v="8.6999999999999993"/>
    <x v="24"/>
  </r>
  <r>
    <n v="23"/>
    <n v="22"/>
    <n v="1"/>
    <n v="8"/>
    <n v="12"/>
    <n v="0"/>
    <x v="12"/>
    <x v="8"/>
    <x v="24"/>
    <n v="753"/>
    <n v="8.4"/>
    <x v="301"/>
  </r>
  <r>
    <n v="19"/>
    <n v="22"/>
    <n v="1"/>
    <n v="17"/>
    <n v="1"/>
    <n v="0"/>
    <x v="5"/>
    <x v="16"/>
    <x v="14"/>
    <n v="513"/>
    <n v="8.1999999999999993"/>
    <x v="302"/>
  </r>
  <r>
    <n v="21"/>
    <n v="22"/>
    <n v="2"/>
    <n v="3"/>
    <n v="1"/>
    <n v="0"/>
    <x v="1"/>
    <x v="13"/>
    <x v="10"/>
    <n v="601"/>
    <n v="9.1999999999999993"/>
    <x v="303"/>
  </r>
  <r>
    <n v="9"/>
    <n v="23"/>
    <n v="0"/>
    <n v="5"/>
    <n v="0"/>
    <n v="0"/>
    <x v="0"/>
    <x v="20"/>
    <x v="2"/>
    <n v="399"/>
    <n v="7.6"/>
    <x v="304"/>
  </r>
  <r>
    <n v="16"/>
    <n v="22"/>
    <n v="2"/>
    <n v="4"/>
    <n v="12"/>
    <n v="0"/>
    <x v="3"/>
    <x v="15"/>
    <x v="20"/>
    <n v="0"/>
    <n v="9.3000000000000007"/>
    <x v="305"/>
  </r>
  <r>
    <n v="13"/>
    <n v="23"/>
    <n v="2"/>
    <n v="14"/>
    <n v="12"/>
    <n v="0"/>
    <x v="3"/>
    <x v="14"/>
    <x v="1"/>
    <n v="591"/>
    <n v="7.6"/>
    <x v="306"/>
  </r>
  <r>
    <n v="8"/>
    <n v="17"/>
    <n v="3"/>
    <n v="9"/>
    <n v="1"/>
    <n v="0"/>
    <x v="5"/>
    <x v="7"/>
    <x v="21"/>
    <n v="350"/>
    <n v="7.8"/>
    <x v="307"/>
  </r>
  <r>
    <n v="7"/>
    <n v="22"/>
    <n v="3"/>
    <n v="7"/>
    <n v="1"/>
    <n v="0"/>
    <x v="2"/>
    <x v="5"/>
    <x v="30"/>
    <n v="313"/>
    <n v="7.7"/>
    <x v="308"/>
  </r>
  <r>
    <n v="16"/>
    <n v="22"/>
    <n v="0"/>
    <n v="16"/>
    <n v="1"/>
    <n v="0"/>
    <x v="9"/>
    <x v="1"/>
    <x v="24"/>
    <n v="472"/>
    <n v="8.3000000000000007"/>
    <x v="309"/>
  </r>
  <r>
    <n v="20"/>
    <n v="22"/>
    <n v="2"/>
    <n v="9"/>
    <n v="1"/>
    <n v="0"/>
    <x v="1"/>
    <x v="17"/>
    <x v="30"/>
    <n v="673"/>
    <n v="8.8000000000000007"/>
    <x v="310"/>
  </r>
  <r>
    <n v="20"/>
    <n v="23"/>
    <n v="2"/>
    <n v="6"/>
    <n v="1"/>
    <n v="0"/>
    <x v="4"/>
    <x v="18"/>
    <x v="8"/>
    <n v="451"/>
    <n v="8.3000000000000007"/>
    <x v="311"/>
  </r>
  <r>
    <n v="19"/>
    <n v="23"/>
    <n v="0"/>
    <n v="20"/>
    <n v="1"/>
    <n v="0"/>
    <x v="9"/>
    <x v="6"/>
    <x v="12"/>
    <n v="651"/>
    <n v="9.1"/>
    <x v="312"/>
  </r>
  <r>
    <n v="13"/>
    <n v="23"/>
    <n v="0"/>
    <n v="6"/>
    <n v="12"/>
    <n v="0"/>
    <x v="3"/>
    <x v="3"/>
    <x v="2"/>
    <n v="612"/>
    <n v="8.9"/>
    <x v="313"/>
  </r>
  <r>
    <n v="8"/>
    <n v="23"/>
    <n v="0"/>
    <n v="22"/>
    <n v="1"/>
    <n v="0"/>
    <x v="6"/>
    <x v="4"/>
    <x v="22"/>
    <n v="0"/>
    <n v="8.6999999999999993"/>
    <x v="314"/>
  </r>
  <r>
    <n v="23"/>
    <n v="22"/>
    <n v="3"/>
    <n v="7"/>
    <n v="1"/>
    <n v="0"/>
    <x v="1"/>
    <x v="4"/>
    <x v="6"/>
    <n v="479"/>
    <n v="8.6999999999999993"/>
    <x v="315"/>
  </r>
  <r>
    <n v="20"/>
    <n v="22"/>
    <n v="0"/>
    <n v="0"/>
    <n v="1"/>
    <n v="0"/>
    <x v="11"/>
    <x v="34"/>
    <x v="19"/>
    <n v="0"/>
    <n v="9.1"/>
    <x v="316"/>
  </r>
  <r>
    <n v="18"/>
    <n v="22"/>
    <n v="2"/>
    <n v="10"/>
    <n v="1"/>
    <n v="0"/>
    <x v="0"/>
    <x v="13"/>
    <x v="18"/>
    <n v="405"/>
    <n v="9.1999999999999993"/>
    <x v="317"/>
  </r>
  <r>
    <n v="0"/>
    <n v="22"/>
    <n v="3"/>
    <n v="13"/>
    <n v="1"/>
    <n v="0"/>
    <x v="5"/>
    <x v="34"/>
    <x v="24"/>
    <n v="546"/>
    <n v="9.1"/>
    <x v="318"/>
  </r>
  <r>
    <n v="5"/>
    <n v="18"/>
    <n v="3"/>
    <n v="13"/>
    <n v="1"/>
    <n v="0"/>
    <x v="12"/>
    <x v="14"/>
    <x v="8"/>
    <n v="391"/>
    <n v="7.6"/>
    <x v="319"/>
  </r>
  <r>
    <n v="19"/>
    <n v="23"/>
    <n v="2"/>
    <n v="14"/>
    <n v="1"/>
    <n v="0"/>
    <x v="2"/>
    <x v="16"/>
    <x v="30"/>
    <n v="512"/>
    <n v="8.1999999999999993"/>
    <x v="226"/>
  </r>
  <r>
    <n v="14"/>
    <n v="22"/>
    <n v="1"/>
    <n v="3"/>
    <n v="1"/>
    <n v="0"/>
    <x v="11"/>
    <x v="9"/>
    <x v="27"/>
    <n v="300"/>
    <n v="7.9"/>
    <x v="320"/>
  </r>
  <r>
    <n v="10"/>
    <n v="22"/>
    <n v="0"/>
    <n v="12"/>
    <n v="7"/>
    <n v="0"/>
    <x v="0"/>
    <x v="19"/>
    <x v="17"/>
    <n v="406"/>
    <n v="7.4"/>
    <x v="24"/>
  </r>
  <r>
    <n v="0"/>
    <n v="23"/>
    <n v="0"/>
    <n v="16"/>
    <n v="12"/>
    <n v="0"/>
    <x v="8"/>
    <x v="14"/>
    <x v="32"/>
    <n v="533"/>
    <n v="7.6"/>
    <x v="321"/>
  </r>
  <r>
    <n v="8"/>
    <n v="18"/>
    <n v="3"/>
    <n v="8"/>
    <n v="1"/>
    <n v="0"/>
    <x v="6"/>
    <x v="14"/>
    <x v="22"/>
    <n v="331"/>
    <n v="7.6"/>
    <x v="322"/>
  </r>
  <r>
    <n v="13"/>
    <n v="23"/>
    <n v="3"/>
    <n v="14"/>
    <n v="1"/>
    <n v="0"/>
    <x v="2"/>
    <x v="8"/>
    <x v="1"/>
    <n v="685"/>
    <n v="8.4"/>
    <x v="323"/>
  </r>
  <r>
    <n v="0"/>
    <n v="23"/>
    <n v="2"/>
    <n v="10"/>
    <n v="0"/>
    <n v="0"/>
    <x v="11"/>
    <x v="19"/>
    <x v="24"/>
    <n v="655"/>
    <n v="0"/>
    <x v="324"/>
  </r>
  <r>
    <n v="7"/>
    <n v="21"/>
    <n v="1"/>
    <n v="10"/>
    <n v="1"/>
    <n v="0"/>
    <x v="8"/>
    <x v="0"/>
    <x v="1"/>
    <n v="477"/>
    <n v="8.1"/>
    <x v="325"/>
  </r>
  <r>
    <n v="13"/>
    <n v="23"/>
    <n v="1"/>
    <n v="4"/>
    <n v="1"/>
    <n v="0"/>
    <x v="8"/>
    <x v="14"/>
    <x v="16"/>
    <n v="513"/>
    <n v="7.6"/>
    <x v="326"/>
  </r>
  <r>
    <n v="7"/>
    <n v="20"/>
    <n v="0"/>
    <n v="0"/>
    <n v="1"/>
    <n v="0"/>
    <x v="0"/>
    <x v="1"/>
    <x v="16"/>
    <n v="328"/>
    <n v="8.3000000000000007"/>
    <x v="327"/>
  </r>
  <r>
    <n v="17"/>
    <n v="22"/>
    <n v="3"/>
    <n v="4"/>
    <n v="1"/>
    <n v="0"/>
    <x v="9"/>
    <x v="6"/>
    <x v="6"/>
    <n v="372"/>
    <n v="9.1"/>
    <x v="328"/>
  </r>
  <r>
    <n v="21"/>
    <n v="23"/>
    <n v="2"/>
    <n v="6"/>
    <n v="1"/>
    <n v="0"/>
    <x v="7"/>
    <x v="23"/>
    <x v="18"/>
    <n v="0"/>
    <n v="7.8"/>
    <x v="329"/>
  </r>
  <r>
    <n v="10"/>
    <n v="22"/>
    <n v="2"/>
    <n v="0"/>
    <n v="1"/>
    <n v="0"/>
    <x v="12"/>
    <x v="3"/>
    <x v="2"/>
    <n v="578"/>
    <n v="8.9"/>
    <x v="330"/>
  </r>
  <r>
    <n v="8"/>
    <n v="23"/>
    <n v="1"/>
    <n v="19"/>
    <n v="1"/>
    <n v="0"/>
    <x v="3"/>
    <x v="14"/>
    <x v="13"/>
    <n v="661"/>
    <n v="7.6"/>
    <x v="24"/>
  </r>
  <r>
    <n v="10"/>
    <n v="20"/>
    <n v="2"/>
    <n v="4"/>
    <n v="1"/>
    <n v="0"/>
    <x v="2"/>
    <x v="14"/>
    <x v="1"/>
    <n v="467"/>
    <n v="7.6"/>
    <x v="331"/>
  </r>
  <r>
    <n v="23"/>
    <n v="23"/>
    <n v="0"/>
    <n v="21"/>
    <n v="1"/>
    <n v="0"/>
    <x v="12"/>
    <x v="3"/>
    <x v="1"/>
    <n v="537"/>
    <n v="8.9"/>
    <x v="332"/>
  </r>
  <r>
    <n v="17"/>
    <n v="23"/>
    <n v="1"/>
    <n v="12"/>
    <n v="1"/>
    <n v="0"/>
    <x v="6"/>
    <x v="4"/>
    <x v="9"/>
    <n v="496"/>
    <n v="8.6999999999999993"/>
    <x v="333"/>
  </r>
  <r>
    <n v="8"/>
    <n v="19"/>
    <n v="2"/>
    <n v="18"/>
    <n v="1"/>
    <n v="0"/>
    <x v="1"/>
    <x v="9"/>
    <x v="9"/>
    <n v="432"/>
    <n v="7.9"/>
    <x v="334"/>
  </r>
  <r>
    <n v="14"/>
    <n v="22"/>
    <n v="0"/>
    <n v="8"/>
    <n v="0"/>
    <n v="0"/>
    <x v="7"/>
    <x v="4"/>
    <x v="32"/>
    <n v="545"/>
    <n v="8.6999999999999993"/>
    <x v="335"/>
  </r>
  <r>
    <n v="17"/>
    <n v="23"/>
    <n v="2"/>
    <n v="14"/>
    <n v="12"/>
    <n v="0"/>
    <x v="3"/>
    <x v="19"/>
    <x v="32"/>
    <n v="587"/>
    <n v="7.4"/>
    <x v="336"/>
  </r>
  <r>
    <n v="12"/>
    <n v="0"/>
    <n v="1"/>
    <n v="11"/>
    <n v="12"/>
    <n v="0"/>
    <x v="6"/>
    <x v="0"/>
    <x v="28"/>
    <n v="467"/>
    <n v="8.1"/>
    <x v="208"/>
  </r>
  <r>
    <n v="7"/>
    <n v="20"/>
    <n v="2"/>
    <n v="6"/>
    <n v="7"/>
    <n v="0"/>
    <x v="0"/>
    <x v="5"/>
    <x v="5"/>
    <n v="473"/>
    <n v="7.7"/>
    <x v="337"/>
  </r>
  <r>
    <n v="11"/>
    <n v="22"/>
    <n v="3"/>
    <n v="6"/>
    <n v="12"/>
    <n v="0"/>
    <x v="3"/>
    <x v="15"/>
    <x v="27"/>
    <n v="561"/>
    <n v="9.3000000000000007"/>
    <x v="338"/>
  </r>
  <r>
    <n v="22"/>
    <n v="23"/>
    <n v="3"/>
    <n v="3"/>
    <n v="12"/>
    <n v="0"/>
    <x v="12"/>
    <x v="19"/>
    <x v="27"/>
    <n v="739"/>
    <n v="7.4"/>
    <x v="339"/>
  </r>
  <r>
    <n v="23"/>
    <n v="22"/>
    <n v="2"/>
    <n v="22"/>
    <n v="1"/>
    <n v="0"/>
    <x v="9"/>
    <x v="28"/>
    <x v="25"/>
    <n v="807"/>
    <n v="8.8000000000000007"/>
    <x v="340"/>
  </r>
  <r>
    <n v="8"/>
    <n v="20"/>
    <n v="3"/>
    <n v="14"/>
    <n v="7"/>
    <n v="0"/>
    <x v="0"/>
    <x v="14"/>
    <x v="25"/>
    <n v="499"/>
    <n v="7.6"/>
    <x v="341"/>
  </r>
  <r>
    <n v="23"/>
    <n v="23"/>
    <n v="3"/>
    <n v="18"/>
    <n v="1"/>
    <n v="0"/>
    <x v="11"/>
    <x v="8"/>
    <x v="1"/>
    <n v="564"/>
    <n v="8.4"/>
    <x v="342"/>
  </r>
  <r>
    <n v="14"/>
    <n v="23"/>
    <n v="0"/>
    <n v="19"/>
    <n v="12"/>
    <n v="0"/>
    <x v="12"/>
    <x v="13"/>
    <x v="18"/>
    <n v="534"/>
    <n v="9.1999999999999993"/>
    <x v="343"/>
  </r>
  <r>
    <n v="11"/>
    <n v="23"/>
    <n v="3"/>
    <n v="9"/>
    <n v="12"/>
    <n v="0"/>
    <x v="8"/>
    <x v="3"/>
    <x v="26"/>
    <n v="610"/>
    <n v="8.9"/>
    <x v="344"/>
  </r>
  <r>
    <n v="22"/>
    <n v="22"/>
    <n v="0"/>
    <n v="20"/>
    <n v="1"/>
    <n v="0"/>
    <x v="3"/>
    <x v="17"/>
    <x v="8"/>
    <n v="654"/>
    <n v="8.8000000000000007"/>
    <x v="345"/>
  </r>
  <r>
    <n v="19"/>
    <n v="23"/>
    <n v="1"/>
    <n v="14"/>
    <n v="1"/>
    <n v="0"/>
    <x v="3"/>
    <x v="26"/>
    <x v="27"/>
    <n v="651"/>
    <n v="7.9"/>
    <x v="346"/>
  </r>
  <r>
    <n v="19"/>
    <n v="23"/>
    <n v="0"/>
    <n v="11"/>
    <n v="1"/>
    <n v="0"/>
    <x v="11"/>
    <x v="16"/>
    <x v="12"/>
    <n v="565"/>
    <n v="8.1999999999999993"/>
    <x v="347"/>
  </r>
  <r>
    <n v="0"/>
    <n v="22"/>
    <n v="2"/>
    <n v="11"/>
    <n v="1"/>
    <n v="0"/>
    <x v="0"/>
    <x v="14"/>
    <x v="12"/>
    <n v="538"/>
    <n v="7.6"/>
    <x v="348"/>
  </r>
  <r>
    <n v="10"/>
    <n v="17"/>
    <n v="2"/>
    <n v="22"/>
    <n v="7"/>
    <n v="0"/>
    <x v="1"/>
    <x v="31"/>
    <x v="24"/>
    <n v="548"/>
    <n v="8.5"/>
    <x v="349"/>
  </r>
  <r>
    <n v="17"/>
    <n v="22"/>
    <n v="2"/>
    <n v="12"/>
    <n v="1"/>
    <n v="0"/>
    <x v="1"/>
    <x v="10"/>
    <x v="6"/>
    <n v="615"/>
    <n v="8.5"/>
    <x v="350"/>
  </r>
  <r>
    <n v="16"/>
    <n v="22"/>
    <n v="3"/>
    <n v="10"/>
    <n v="1"/>
    <n v="0"/>
    <x v="6"/>
    <x v="20"/>
    <x v="0"/>
    <n v="580"/>
    <n v="8.5"/>
    <x v="351"/>
  </r>
  <r>
    <n v="19"/>
    <n v="22"/>
    <n v="3"/>
    <n v="6"/>
    <n v="12"/>
    <n v="0"/>
    <x v="12"/>
    <x v="19"/>
    <x v="29"/>
    <n v="501"/>
    <n v="0"/>
    <x v="352"/>
  </r>
  <r>
    <n v="5"/>
    <n v="19"/>
    <n v="2"/>
    <n v="7"/>
    <n v="1"/>
    <n v="0"/>
    <x v="3"/>
    <x v="1"/>
    <x v="0"/>
    <n v="256"/>
    <n v="8.3000000000000007"/>
    <x v="353"/>
  </r>
  <r>
    <n v="7"/>
    <n v="21"/>
    <n v="0"/>
    <n v="6"/>
    <n v="1"/>
    <n v="0"/>
    <x v="8"/>
    <x v="29"/>
    <x v="23"/>
    <n v="276"/>
    <n v="9.3000000000000007"/>
    <x v="354"/>
  </r>
  <r>
    <n v="12"/>
    <n v="23"/>
    <n v="2"/>
    <n v="9"/>
    <n v="1"/>
    <n v="0"/>
    <x v="7"/>
    <x v="3"/>
    <x v="31"/>
    <n v="546"/>
    <n v="8.9"/>
    <x v="355"/>
  </r>
  <r>
    <n v="8"/>
    <n v="19"/>
    <n v="2"/>
    <n v="10"/>
    <n v="1"/>
    <n v="0"/>
    <x v="1"/>
    <x v="17"/>
    <x v="13"/>
    <n v="407"/>
    <n v="8.8000000000000007"/>
    <x v="356"/>
  </r>
  <r>
    <n v="5"/>
    <n v="20"/>
    <n v="2"/>
    <n v="19"/>
    <n v="7"/>
    <n v="0"/>
    <x v="8"/>
    <x v="9"/>
    <x v="13"/>
    <n v="658"/>
    <n v="7.9"/>
    <x v="357"/>
  </r>
  <r>
    <n v="19"/>
    <n v="23"/>
    <n v="0"/>
    <n v="0"/>
    <n v="0"/>
    <n v="0"/>
    <x v="0"/>
    <x v="6"/>
    <x v="15"/>
    <n v="491"/>
    <n v="9.1"/>
    <x v="358"/>
  </r>
  <r>
    <n v="20"/>
    <n v="22"/>
    <n v="3"/>
    <n v="3"/>
    <n v="12"/>
    <n v="0"/>
    <x v="11"/>
    <x v="7"/>
    <x v="23"/>
    <n v="0"/>
    <n v="7.8"/>
    <x v="359"/>
  </r>
  <r>
    <n v="8"/>
    <n v="17"/>
    <n v="1"/>
    <n v="20"/>
    <n v="7"/>
    <n v="0"/>
    <x v="12"/>
    <x v="0"/>
    <x v="30"/>
    <n v="634"/>
    <n v="8.1"/>
    <x v="170"/>
  </r>
  <r>
    <n v="22"/>
    <n v="23"/>
    <n v="3"/>
    <n v="7"/>
    <n v="1"/>
    <n v="0"/>
    <x v="2"/>
    <x v="7"/>
    <x v="27"/>
    <n v="578"/>
    <n v="7.8"/>
    <x v="360"/>
  </r>
  <r>
    <n v="14"/>
    <n v="22"/>
    <n v="0"/>
    <n v="21"/>
    <n v="12"/>
    <n v="0"/>
    <x v="1"/>
    <x v="4"/>
    <x v="9"/>
    <n v="510"/>
    <n v="8.6999999999999993"/>
    <x v="361"/>
  </r>
  <r>
    <n v="0"/>
    <n v="22"/>
    <n v="2"/>
    <n v="21"/>
    <n v="1"/>
    <n v="0"/>
    <x v="3"/>
    <x v="15"/>
    <x v="32"/>
    <n v="754"/>
    <n v="9.3000000000000007"/>
    <x v="362"/>
  </r>
  <r>
    <n v="20"/>
    <n v="23"/>
    <n v="1"/>
    <n v="8"/>
    <n v="12"/>
    <n v="0"/>
    <x v="10"/>
    <x v="15"/>
    <x v="8"/>
    <n v="536"/>
    <n v="9.3000000000000007"/>
    <x v="254"/>
  </r>
  <r>
    <n v="9"/>
    <n v="23"/>
    <n v="1"/>
    <n v="22"/>
    <n v="1"/>
    <n v="0"/>
    <x v="6"/>
    <x v="17"/>
    <x v="30"/>
    <n v="490"/>
    <n v="8.8000000000000007"/>
    <x v="363"/>
  </r>
  <r>
    <n v="18"/>
    <n v="22"/>
    <n v="0"/>
    <n v="6"/>
    <n v="0"/>
    <n v="0"/>
    <x v="11"/>
    <x v="3"/>
    <x v="2"/>
    <n v="557"/>
    <n v="8.9"/>
    <x v="364"/>
  </r>
  <r>
    <n v="0"/>
    <n v="22"/>
    <n v="0"/>
    <n v="20"/>
    <n v="1"/>
    <n v="0"/>
    <x v="7"/>
    <x v="6"/>
    <x v="6"/>
    <n v="410"/>
    <n v="9.1"/>
    <x v="316"/>
  </r>
  <r>
    <n v="15"/>
    <n v="22"/>
    <n v="3"/>
    <n v="6"/>
    <n v="1"/>
    <n v="0"/>
    <x v="6"/>
    <x v="10"/>
    <x v="7"/>
    <n v="414"/>
    <n v="8.5"/>
    <x v="365"/>
  </r>
  <r>
    <n v="18"/>
    <n v="22"/>
    <n v="0"/>
    <n v="7"/>
    <n v="1"/>
    <n v="0"/>
    <x v="3"/>
    <x v="20"/>
    <x v="13"/>
    <n v="488"/>
    <n v="8.1"/>
    <x v="366"/>
  </r>
  <r>
    <n v="6"/>
    <n v="22"/>
    <n v="0"/>
    <n v="19"/>
    <n v="1"/>
    <n v="0"/>
    <x v="10"/>
    <x v="20"/>
    <x v="15"/>
    <n v="432"/>
    <n v="7.8"/>
    <x v="367"/>
  </r>
  <r>
    <n v="17"/>
    <n v="22"/>
    <n v="3"/>
    <n v="7"/>
    <n v="1"/>
    <n v="0"/>
    <x v="8"/>
    <x v="10"/>
    <x v="21"/>
    <n v="552"/>
    <n v="8.5"/>
    <x v="368"/>
  </r>
  <r>
    <n v="11"/>
    <n v="22"/>
    <n v="1"/>
    <n v="12"/>
    <n v="1"/>
    <n v="0"/>
    <x v="8"/>
    <x v="1"/>
    <x v="31"/>
    <n v="563"/>
    <n v="8.3000000000000007"/>
    <x v="369"/>
  </r>
  <r>
    <n v="20"/>
    <n v="23"/>
    <n v="3"/>
    <n v="20"/>
    <n v="12"/>
    <n v="0"/>
    <x v="4"/>
    <x v="7"/>
    <x v="14"/>
    <n v="754"/>
    <n v="7.8"/>
    <x v="370"/>
  </r>
  <r>
    <n v="9"/>
    <n v="20"/>
    <n v="2"/>
    <n v="3"/>
    <n v="1"/>
    <n v="0"/>
    <x v="6"/>
    <x v="3"/>
    <x v="27"/>
    <n v="414"/>
    <n v="0"/>
    <x v="371"/>
  </r>
  <r>
    <n v="23"/>
    <n v="23"/>
    <n v="0"/>
    <n v="22"/>
    <n v="1"/>
    <n v="0"/>
    <x v="1"/>
    <x v="5"/>
    <x v="5"/>
    <n v="563"/>
    <n v="7.7"/>
    <x v="372"/>
  </r>
  <r>
    <n v="5"/>
    <n v="18"/>
    <n v="3"/>
    <n v="3"/>
    <n v="1"/>
    <n v="0"/>
    <x v="11"/>
    <x v="5"/>
    <x v="5"/>
    <n v="309"/>
    <n v="7.7"/>
    <x v="373"/>
  </r>
  <r>
    <n v="20"/>
    <n v="23"/>
    <n v="1"/>
    <n v="8"/>
    <n v="1"/>
    <n v="0"/>
    <x v="8"/>
    <x v="6"/>
    <x v="29"/>
    <n v="566"/>
    <n v="9.1"/>
    <x v="374"/>
  </r>
  <r>
    <n v="16"/>
    <n v="23"/>
    <n v="2"/>
    <n v="0"/>
    <n v="1"/>
    <n v="0"/>
    <x v="10"/>
    <x v="16"/>
    <x v="25"/>
    <n v="588"/>
    <n v="8.1999999999999993"/>
    <x v="375"/>
  </r>
  <r>
    <n v="18"/>
    <n v="23"/>
    <n v="1"/>
    <n v="16"/>
    <n v="0"/>
    <n v="0"/>
    <x v="4"/>
    <x v="4"/>
    <x v="4"/>
    <n v="463"/>
    <n v="8.6999999999999993"/>
    <x v="376"/>
  </r>
  <r>
    <n v="10"/>
    <n v="0"/>
    <n v="3"/>
    <n v="9"/>
    <n v="1"/>
    <n v="0"/>
    <x v="0"/>
    <x v="16"/>
    <x v="16"/>
    <n v="369"/>
    <n v="8.1999999999999993"/>
    <x v="377"/>
  </r>
  <r>
    <n v="13"/>
    <n v="22"/>
    <n v="2"/>
    <n v="15"/>
    <n v="1"/>
    <n v="0"/>
    <x v="6"/>
    <x v="13"/>
    <x v="5"/>
    <n v="627"/>
    <n v="9.1999999999999993"/>
    <x v="378"/>
  </r>
  <r>
    <n v="11"/>
    <n v="23"/>
    <n v="1"/>
    <n v="22"/>
    <n v="1"/>
    <n v="0"/>
    <x v="6"/>
    <x v="6"/>
    <x v="6"/>
    <n v="0"/>
    <n v="9.1"/>
    <x v="379"/>
  </r>
  <r>
    <n v="5"/>
    <n v="23"/>
    <n v="1"/>
    <n v="19"/>
    <n v="1"/>
    <n v="0"/>
    <x v="8"/>
    <x v="27"/>
    <x v="23"/>
    <n v="522"/>
    <n v="8.4"/>
    <x v="380"/>
  </r>
  <r>
    <n v="19"/>
    <n v="23"/>
    <n v="0"/>
    <n v="5"/>
    <n v="12"/>
    <n v="0"/>
    <x v="5"/>
    <x v="9"/>
    <x v="25"/>
    <n v="503"/>
    <n v="7.9"/>
    <x v="381"/>
  </r>
  <r>
    <n v="19"/>
    <n v="22"/>
    <n v="0"/>
    <n v="13"/>
    <n v="12"/>
    <n v="0"/>
    <x v="7"/>
    <x v="21"/>
    <x v="18"/>
    <n v="456"/>
    <n v="7.4"/>
    <x v="382"/>
  </r>
  <r>
    <n v="15"/>
    <n v="22"/>
    <n v="0"/>
    <n v="7"/>
    <n v="1"/>
    <n v="0"/>
    <x v="7"/>
    <x v="0"/>
    <x v="13"/>
    <n v="539"/>
    <n v="8.1"/>
    <x v="383"/>
  </r>
  <r>
    <n v="8"/>
    <n v="23"/>
    <n v="3"/>
    <n v="9"/>
    <n v="1"/>
    <n v="0"/>
    <x v="4"/>
    <x v="14"/>
    <x v="32"/>
    <n v="526"/>
    <n v="0"/>
    <x v="384"/>
  </r>
  <r>
    <n v="19"/>
    <n v="22"/>
    <n v="3"/>
    <n v="19"/>
    <n v="1"/>
    <n v="0"/>
    <x v="6"/>
    <x v="10"/>
    <x v="22"/>
    <n v="736"/>
    <n v="8.5"/>
    <x v="385"/>
  </r>
  <r>
    <n v="15"/>
    <n v="22"/>
    <n v="1"/>
    <n v="19"/>
    <n v="1"/>
    <n v="0"/>
    <x v="3"/>
    <x v="14"/>
    <x v="8"/>
    <n v="634"/>
    <n v="7.6"/>
    <x v="386"/>
  </r>
  <r>
    <n v="8"/>
    <n v="19"/>
    <n v="3"/>
    <n v="22"/>
    <n v="1"/>
    <n v="0"/>
    <x v="2"/>
    <x v="20"/>
    <x v="18"/>
    <n v="607"/>
    <n v="8.6999999999999993"/>
    <x v="387"/>
  </r>
  <r>
    <n v="20"/>
    <n v="23"/>
    <n v="2"/>
    <n v="18"/>
    <n v="1"/>
    <n v="0"/>
    <x v="2"/>
    <x v="3"/>
    <x v="15"/>
    <n v="544"/>
    <n v="8.9"/>
    <x v="388"/>
  </r>
  <r>
    <n v="0"/>
    <n v="23"/>
    <n v="1"/>
    <n v="17"/>
    <n v="1"/>
    <n v="0"/>
    <x v="11"/>
    <x v="13"/>
    <x v="10"/>
    <n v="640"/>
    <n v="0"/>
    <x v="235"/>
  </r>
  <r>
    <n v="7"/>
    <n v="22"/>
    <n v="3"/>
    <n v="12"/>
    <n v="1"/>
    <n v="0"/>
    <x v="8"/>
    <x v="15"/>
    <x v="12"/>
    <n v="636"/>
    <n v="9.3000000000000007"/>
    <x v="389"/>
  </r>
  <r>
    <n v="12"/>
    <n v="23"/>
    <n v="0"/>
    <n v="14"/>
    <n v="1"/>
    <n v="0"/>
    <x v="10"/>
    <x v="33"/>
    <x v="5"/>
    <n v="460"/>
    <n v="8.1"/>
    <x v="0"/>
  </r>
  <r>
    <n v="19"/>
    <n v="23"/>
    <n v="1"/>
    <n v="20"/>
    <n v="1"/>
    <n v="0"/>
    <x v="7"/>
    <x v="10"/>
    <x v="17"/>
    <n v="508"/>
    <n v="8.5"/>
    <x v="390"/>
  </r>
  <r>
    <n v="10"/>
    <n v="20"/>
    <n v="3"/>
    <n v="17"/>
    <n v="1"/>
    <n v="0"/>
    <x v="2"/>
    <x v="3"/>
    <x v="17"/>
    <n v="524"/>
    <n v="8.9"/>
    <x v="391"/>
  </r>
  <r>
    <n v="6"/>
    <n v="0"/>
    <n v="2"/>
    <n v="18"/>
    <n v="1"/>
    <n v="0"/>
    <x v="2"/>
    <x v="20"/>
    <x v="9"/>
    <n v="534"/>
    <n v="0"/>
    <x v="392"/>
  </r>
  <r>
    <n v="10"/>
    <n v="18"/>
    <n v="0"/>
    <n v="17"/>
    <n v="7"/>
    <n v="0"/>
    <x v="9"/>
    <x v="17"/>
    <x v="17"/>
    <n v="397"/>
    <n v="8.8000000000000007"/>
    <x v="393"/>
  </r>
  <r>
    <n v="22"/>
    <n v="22"/>
    <n v="3"/>
    <n v="17"/>
    <n v="1"/>
    <n v="0"/>
    <x v="11"/>
    <x v="6"/>
    <x v="8"/>
    <n v="699"/>
    <n v="9.1"/>
    <x v="394"/>
  </r>
  <r>
    <n v="9"/>
    <n v="23"/>
    <n v="0"/>
    <n v="3"/>
    <n v="0"/>
    <n v="0"/>
    <x v="1"/>
    <x v="0"/>
    <x v="1"/>
    <n v="228"/>
    <n v="8.1"/>
    <x v="24"/>
  </r>
  <r>
    <n v="12"/>
    <n v="22"/>
    <n v="1"/>
    <n v="7"/>
    <n v="1"/>
    <n v="0"/>
    <x v="0"/>
    <x v="15"/>
    <x v="0"/>
    <n v="474"/>
    <n v="9.3000000000000007"/>
    <x v="395"/>
  </r>
  <r>
    <n v="5"/>
    <n v="19"/>
    <n v="1"/>
    <n v="3"/>
    <n v="1"/>
    <n v="0"/>
    <x v="2"/>
    <x v="5"/>
    <x v="4"/>
    <n v="387"/>
    <n v="7.7"/>
    <x v="396"/>
  </r>
  <r>
    <n v="21"/>
    <n v="23"/>
    <n v="3"/>
    <n v="7"/>
    <n v="1"/>
    <n v="0"/>
    <x v="1"/>
    <x v="25"/>
    <x v="11"/>
    <n v="483"/>
    <n v="8.1999999999999993"/>
    <x v="397"/>
  </r>
  <r>
    <n v="10"/>
    <n v="20"/>
    <n v="1"/>
    <n v="0"/>
    <n v="1"/>
    <n v="0"/>
    <x v="10"/>
    <x v="16"/>
    <x v="0"/>
    <n v="492"/>
    <n v="8.1999999999999993"/>
    <x v="398"/>
  </r>
  <r>
    <n v="18"/>
    <n v="0"/>
    <n v="2"/>
    <n v="10"/>
    <n v="1"/>
    <n v="0"/>
    <x v="5"/>
    <x v="17"/>
    <x v="0"/>
    <n v="596"/>
    <n v="8.8000000000000007"/>
    <x v="399"/>
  </r>
  <r>
    <n v="5"/>
    <n v="17"/>
    <n v="0"/>
    <n v="10"/>
    <n v="1"/>
    <n v="0"/>
    <x v="8"/>
    <x v="3"/>
    <x v="17"/>
    <n v="302"/>
    <n v="8.9"/>
    <x v="400"/>
  </r>
  <r>
    <n v="18"/>
    <n v="23"/>
    <n v="1"/>
    <n v="18"/>
    <n v="1"/>
    <n v="0"/>
    <x v="6"/>
    <x v="8"/>
    <x v="4"/>
    <n v="495"/>
    <n v="8.4"/>
    <x v="401"/>
  </r>
  <r>
    <n v="21"/>
    <n v="23"/>
    <n v="1"/>
    <n v="15"/>
    <n v="12"/>
    <n v="0"/>
    <x v="11"/>
    <x v="14"/>
    <x v="10"/>
    <n v="618"/>
    <n v="7.6"/>
    <x v="402"/>
  </r>
  <r>
    <n v="11"/>
    <n v="23"/>
    <n v="1"/>
    <n v="13"/>
    <n v="12"/>
    <n v="0"/>
    <x v="5"/>
    <x v="5"/>
    <x v="16"/>
    <n v="665"/>
    <n v="7.7"/>
    <x v="403"/>
  </r>
  <r>
    <n v="7"/>
    <n v="23"/>
    <n v="0"/>
    <n v="14"/>
    <n v="1"/>
    <n v="0"/>
    <x v="11"/>
    <x v="1"/>
    <x v="5"/>
    <n v="553"/>
    <n v="8.3000000000000007"/>
    <x v="404"/>
  </r>
  <r>
    <n v="15"/>
    <n v="22"/>
    <n v="1"/>
    <n v="8"/>
    <n v="0"/>
    <n v="0"/>
    <x v="6"/>
    <x v="3"/>
    <x v="7"/>
    <n v="460"/>
    <n v="8.9"/>
    <x v="405"/>
  </r>
  <r>
    <n v="17"/>
    <n v="22"/>
    <n v="0"/>
    <n v="10"/>
    <n v="1"/>
    <n v="0"/>
    <x v="11"/>
    <x v="8"/>
    <x v="15"/>
    <n v="308"/>
    <n v="8.4"/>
    <x v="66"/>
  </r>
  <r>
    <n v="0"/>
    <n v="18"/>
    <n v="1"/>
    <n v="6"/>
    <n v="7"/>
    <n v="0"/>
    <x v="12"/>
    <x v="9"/>
    <x v="17"/>
    <n v="333"/>
    <n v="7.9"/>
    <x v="406"/>
  </r>
  <r>
    <n v="13"/>
    <n v="23"/>
    <n v="1"/>
    <n v="20"/>
    <n v="1"/>
    <n v="0"/>
    <x v="6"/>
    <x v="3"/>
    <x v="11"/>
    <n v="0"/>
    <n v="8.9"/>
    <x v="24"/>
  </r>
  <r>
    <n v="9"/>
    <n v="21"/>
    <n v="3"/>
    <n v="13"/>
    <n v="1"/>
    <n v="0"/>
    <x v="8"/>
    <x v="14"/>
    <x v="6"/>
    <n v="383"/>
    <n v="7.6"/>
    <x v="24"/>
  </r>
  <r>
    <n v="19"/>
    <n v="22"/>
    <n v="1"/>
    <n v="3"/>
    <n v="1"/>
    <n v="0"/>
    <x v="5"/>
    <x v="5"/>
    <x v="2"/>
    <n v="577"/>
    <n v="7.7"/>
    <x v="407"/>
  </r>
  <r>
    <n v="15"/>
    <n v="23"/>
    <n v="3"/>
    <n v="14"/>
    <n v="12"/>
    <n v="0"/>
    <x v="8"/>
    <x v="7"/>
    <x v="6"/>
    <n v="812"/>
    <n v="7.8"/>
    <x v="24"/>
  </r>
  <r>
    <n v="14"/>
    <n v="22"/>
    <n v="3"/>
    <n v="18"/>
    <n v="12"/>
    <n v="0"/>
    <x v="8"/>
    <x v="8"/>
    <x v="4"/>
    <n v="712"/>
    <n v="0"/>
    <x v="408"/>
  </r>
  <r>
    <n v="18"/>
    <n v="23"/>
    <n v="3"/>
    <n v="6"/>
    <n v="1"/>
    <n v="0"/>
    <x v="3"/>
    <x v="8"/>
    <x v="5"/>
    <n v="599"/>
    <n v="8.4"/>
    <x v="409"/>
  </r>
  <r>
    <n v="13"/>
    <n v="23"/>
    <n v="1"/>
    <n v="17"/>
    <n v="12"/>
    <n v="0"/>
    <x v="4"/>
    <x v="9"/>
    <x v="32"/>
    <n v="0"/>
    <n v="7.9"/>
    <x v="410"/>
  </r>
  <r>
    <n v="20"/>
    <n v="22"/>
    <n v="0"/>
    <n v="6"/>
    <n v="1"/>
    <n v="0"/>
    <x v="2"/>
    <x v="24"/>
    <x v="19"/>
    <n v="403"/>
    <n v="7.6"/>
    <x v="24"/>
  </r>
  <r>
    <n v="19"/>
    <n v="22"/>
    <n v="3"/>
    <n v="5"/>
    <n v="12"/>
    <n v="0"/>
    <x v="1"/>
    <x v="19"/>
    <x v="25"/>
    <n v="625"/>
    <n v="7.4"/>
    <x v="411"/>
  </r>
  <r>
    <n v="21"/>
    <n v="22"/>
    <n v="3"/>
    <n v="0"/>
    <n v="0"/>
    <n v="0"/>
    <x v="7"/>
    <x v="20"/>
    <x v="23"/>
    <n v="737"/>
    <n v="7.9"/>
    <x v="412"/>
  </r>
  <r>
    <n v="13"/>
    <n v="23"/>
    <n v="2"/>
    <n v="3"/>
    <n v="1"/>
    <n v="0"/>
    <x v="2"/>
    <x v="16"/>
    <x v="28"/>
    <n v="374"/>
    <n v="8.1999999999999993"/>
    <x v="413"/>
  </r>
  <r>
    <n v="9"/>
    <n v="22"/>
    <n v="0"/>
    <n v="21"/>
    <n v="1"/>
    <n v="0"/>
    <x v="4"/>
    <x v="4"/>
    <x v="3"/>
    <n v="418"/>
    <n v="8.6999999999999993"/>
    <x v="414"/>
  </r>
  <r>
    <n v="21"/>
    <n v="23"/>
    <n v="3"/>
    <n v="13"/>
    <n v="0"/>
    <n v="0"/>
    <x v="1"/>
    <x v="32"/>
    <x v="25"/>
    <n v="756"/>
    <n v="9.1999999999999993"/>
    <x v="415"/>
  </r>
  <r>
    <n v="9"/>
    <n v="18"/>
    <n v="3"/>
    <n v="13"/>
    <n v="1"/>
    <n v="0"/>
    <x v="4"/>
    <x v="3"/>
    <x v="30"/>
    <n v="341"/>
    <n v="8.9"/>
    <x v="416"/>
  </r>
  <r>
    <n v="20"/>
    <n v="22"/>
    <n v="0"/>
    <n v="22"/>
    <n v="12"/>
    <n v="0"/>
    <x v="12"/>
    <x v="13"/>
    <x v="2"/>
    <n v="754"/>
    <n v="9.1999999999999993"/>
    <x v="417"/>
  </r>
  <r>
    <n v="20"/>
    <n v="23"/>
    <n v="1"/>
    <n v="4"/>
    <n v="1"/>
    <n v="0"/>
    <x v="2"/>
    <x v="13"/>
    <x v="22"/>
    <n v="317"/>
    <n v="9.1999999999999993"/>
    <x v="418"/>
  </r>
  <r>
    <n v="21"/>
    <n v="23"/>
    <n v="0"/>
    <n v="6"/>
    <n v="1"/>
    <n v="0"/>
    <x v="8"/>
    <x v="17"/>
    <x v="17"/>
    <n v="580"/>
    <n v="8.8000000000000007"/>
    <x v="419"/>
  </r>
  <r>
    <n v="0"/>
    <n v="23"/>
    <n v="3"/>
    <n v="0"/>
    <n v="1"/>
    <n v="0"/>
    <x v="8"/>
    <x v="20"/>
    <x v="19"/>
    <n v="523"/>
    <n v="7.9"/>
    <x v="420"/>
  </r>
  <r>
    <n v="12"/>
    <n v="23"/>
    <n v="0"/>
    <n v="7"/>
    <n v="1"/>
    <n v="0"/>
    <x v="7"/>
    <x v="8"/>
    <x v="28"/>
    <n v="298"/>
    <n v="8.4"/>
    <x v="421"/>
  </r>
  <r>
    <n v="18"/>
    <n v="23"/>
    <n v="1"/>
    <n v="17"/>
    <n v="1"/>
    <n v="0"/>
    <x v="0"/>
    <x v="3"/>
    <x v="10"/>
    <n v="653"/>
    <n v="8.9"/>
    <x v="422"/>
  </r>
  <r>
    <n v="9"/>
    <n v="17"/>
    <n v="1"/>
    <n v="18"/>
    <n v="1"/>
    <n v="0"/>
    <x v="8"/>
    <x v="16"/>
    <x v="8"/>
    <n v="518"/>
    <n v="8.1999999999999993"/>
    <x v="423"/>
  </r>
  <r>
    <n v="13"/>
    <n v="22"/>
    <n v="1"/>
    <n v="5"/>
    <n v="1"/>
    <n v="0"/>
    <x v="0"/>
    <x v="7"/>
    <x v="23"/>
    <n v="298"/>
    <n v="7.8"/>
    <x v="424"/>
  </r>
  <r>
    <n v="11"/>
    <n v="22"/>
    <n v="0"/>
    <n v="11"/>
    <n v="12"/>
    <n v="0"/>
    <x v="0"/>
    <x v="7"/>
    <x v="13"/>
    <n v="357"/>
    <n v="0"/>
    <x v="425"/>
  </r>
  <r>
    <n v="16"/>
    <n v="23"/>
    <n v="3"/>
    <n v="20"/>
    <n v="1"/>
    <n v="0"/>
    <x v="7"/>
    <x v="5"/>
    <x v="2"/>
    <n v="566"/>
    <n v="7.7"/>
    <x v="426"/>
  </r>
  <r>
    <n v="18"/>
    <n v="23"/>
    <n v="1"/>
    <n v="9"/>
    <n v="1"/>
    <n v="0"/>
    <x v="9"/>
    <x v="17"/>
    <x v="17"/>
    <n v="562"/>
    <n v="8.8000000000000007"/>
    <x v="427"/>
  </r>
  <r>
    <n v="6"/>
    <n v="19"/>
    <n v="2"/>
    <n v="14"/>
    <n v="1"/>
    <n v="0"/>
    <x v="9"/>
    <x v="4"/>
    <x v="0"/>
    <n v="410"/>
    <n v="8.6999999999999993"/>
    <x v="428"/>
  </r>
  <r>
    <n v="16"/>
    <n v="23"/>
    <n v="2"/>
    <n v="7"/>
    <n v="1"/>
    <n v="0"/>
    <x v="4"/>
    <x v="10"/>
    <x v="23"/>
    <n v="373"/>
    <n v="8.5"/>
    <x v="429"/>
  </r>
  <r>
    <n v="12"/>
    <n v="23"/>
    <n v="0"/>
    <n v="11"/>
    <n v="12"/>
    <n v="0"/>
    <x v="6"/>
    <x v="28"/>
    <x v="16"/>
    <n v="533"/>
    <n v="8.8000000000000007"/>
    <x v="430"/>
  </r>
  <r>
    <n v="20"/>
    <n v="23"/>
    <n v="2"/>
    <n v="8"/>
    <n v="1"/>
    <n v="0"/>
    <x v="5"/>
    <x v="7"/>
    <x v="22"/>
    <n v="507"/>
    <n v="7.8"/>
    <x v="431"/>
  </r>
  <r>
    <n v="15"/>
    <n v="22"/>
    <n v="3"/>
    <n v="18"/>
    <n v="12"/>
    <n v="0"/>
    <x v="11"/>
    <x v="9"/>
    <x v="20"/>
    <n v="700"/>
    <n v="7.9"/>
    <x v="432"/>
  </r>
  <r>
    <n v="12"/>
    <n v="23"/>
    <n v="1"/>
    <n v="5"/>
    <n v="1"/>
    <n v="0"/>
    <x v="2"/>
    <x v="13"/>
    <x v="11"/>
    <n v="468"/>
    <n v="9.1999999999999993"/>
    <x v="433"/>
  </r>
  <r>
    <n v="20"/>
    <n v="23"/>
    <n v="1"/>
    <n v="6"/>
    <n v="1"/>
    <n v="0"/>
    <x v="5"/>
    <x v="5"/>
    <x v="16"/>
    <n v="413"/>
    <n v="7.7"/>
    <x v="434"/>
  </r>
  <r>
    <n v="23"/>
    <n v="22"/>
    <n v="0"/>
    <n v="18"/>
    <n v="12"/>
    <n v="0"/>
    <x v="8"/>
    <x v="8"/>
    <x v="31"/>
    <n v="799"/>
    <n v="8.4"/>
    <x v="24"/>
  </r>
  <r>
    <n v="15"/>
    <n v="22"/>
    <n v="2"/>
    <n v="14"/>
    <n v="1"/>
    <n v="0"/>
    <x v="7"/>
    <x v="13"/>
    <x v="29"/>
    <n v="487"/>
    <n v="9.1999999999999993"/>
    <x v="435"/>
  </r>
  <r>
    <n v="22"/>
    <n v="23"/>
    <n v="2"/>
    <n v="12"/>
    <n v="1"/>
    <n v="0"/>
    <x v="3"/>
    <x v="5"/>
    <x v="14"/>
    <n v="480"/>
    <n v="7.7"/>
    <x v="436"/>
  </r>
  <r>
    <n v="12"/>
    <n v="0"/>
    <n v="2"/>
    <n v="19"/>
    <n v="1"/>
    <n v="0"/>
    <x v="7"/>
    <x v="7"/>
    <x v="26"/>
    <n v="611"/>
    <n v="7.8"/>
    <x v="437"/>
  </r>
  <r>
    <n v="8"/>
    <n v="19"/>
    <n v="0"/>
    <n v="14"/>
    <n v="1"/>
    <n v="0"/>
    <x v="0"/>
    <x v="6"/>
    <x v="26"/>
    <n v="327"/>
    <n v="9.1"/>
    <x v="438"/>
  </r>
  <r>
    <n v="11"/>
    <n v="23"/>
    <n v="1"/>
    <n v="19"/>
    <n v="1"/>
    <n v="0"/>
    <x v="7"/>
    <x v="19"/>
    <x v="26"/>
    <n v="507"/>
    <n v="7.4"/>
    <x v="439"/>
  </r>
  <r>
    <n v="18"/>
    <n v="22"/>
    <n v="3"/>
    <n v="7"/>
    <n v="1"/>
    <n v="0"/>
    <x v="2"/>
    <x v="0"/>
    <x v="17"/>
    <n v="602"/>
    <n v="8.1"/>
    <x v="440"/>
  </r>
  <r>
    <n v="16"/>
    <n v="23"/>
    <n v="2"/>
    <n v="3"/>
    <n v="1"/>
    <n v="0"/>
    <x v="2"/>
    <x v="32"/>
    <x v="20"/>
    <n v="314"/>
    <n v="9.1999999999999993"/>
    <x v="441"/>
  </r>
  <r>
    <n v="6"/>
    <n v="22"/>
    <n v="1"/>
    <n v="15"/>
    <n v="7"/>
    <n v="0"/>
    <x v="5"/>
    <x v="2"/>
    <x v="11"/>
    <n v="389"/>
    <n v="8.9"/>
    <x v="85"/>
  </r>
  <r>
    <n v="9"/>
    <n v="20"/>
    <n v="3"/>
    <n v="16"/>
    <n v="1"/>
    <n v="0"/>
    <x v="2"/>
    <x v="7"/>
    <x v="31"/>
    <n v="616"/>
    <n v="7.8"/>
    <x v="24"/>
  </r>
  <r>
    <n v="6"/>
    <n v="17"/>
    <n v="3"/>
    <n v="13"/>
    <n v="1"/>
    <n v="0"/>
    <x v="8"/>
    <x v="3"/>
    <x v="31"/>
    <n v="331"/>
    <n v="8.9"/>
    <x v="442"/>
  </r>
  <r>
    <n v="11"/>
    <n v="22"/>
    <n v="3"/>
    <n v="17"/>
    <n v="1"/>
    <n v="0"/>
    <x v="7"/>
    <x v="19"/>
    <x v="15"/>
    <n v="481"/>
    <n v="7.4"/>
    <x v="443"/>
  </r>
  <r>
    <n v="17"/>
    <n v="23"/>
    <n v="1"/>
    <n v="0"/>
    <n v="1"/>
    <n v="0"/>
    <x v="4"/>
    <x v="15"/>
    <x v="27"/>
    <n v="334"/>
    <n v="9.3000000000000007"/>
    <x v="444"/>
  </r>
  <r>
    <n v="21"/>
    <n v="0"/>
    <n v="3"/>
    <n v="12"/>
    <n v="1"/>
    <n v="0"/>
    <x v="1"/>
    <x v="3"/>
    <x v="13"/>
    <n v="490"/>
    <n v="8.9"/>
    <x v="445"/>
  </r>
  <r>
    <n v="18"/>
    <n v="22"/>
    <n v="1"/>
    <n v="16"/>
    <n v="1"/>
    <n v="0"/>
    <x v="0"/>
    <x v="17"/>
    <x v="22"/>
    <n v="524"/>
    <n v="8.8000000000000007"/>
    <x v="446"/>
  </r>
  <r>
    <n v="11"/>
    <n v="22"/>
    <n v="1"/>
    <n v="20"/>
    <n v="1"/>
    <n v="0"/>
    <x v="1"/>
    <x v="14"/>
    <x v="1"/>
    <n v="525"/>
    <n v="7.6"/>
    <x v="447"/>
  </r>
  <r>
    <n v="12"/>
    <n v="22"/>
    <n v="0"/>
    <n v="14"/>
    <n v="12"/>
    <n v="0"/>
    <x v="10"/>
    <x v="12"/>
    <x v="1"/>
    <n v="604"/>
    <n v="8.6999999999999993"/>
    <x v="448"/>
  </r>
  <r>
    <n v="5"/>
    <n v="18"/>
    <n v="2"/>
    <n v="20"/>
    <n v="1"/>
    <n v="0"/>
    <x v="1"/>
    <x v="8"/>
    <x v="20"/>
    <n v="426"/>
    <n v="8.4"/>
    <x v="449"/>
  </r>
  <r>
    <n v="7"/>
    <n v="17"/>
    <n v="2"/>
    <n v="16"/>
    <n v="7"/>
    <n v="0"/>
    <x v="1"/>
    <x v="3"/>
    <x v="4"/>
    <n v="570"/>
    <n v="8.9"/>
    <x v="450"/>
  </r>
  <r>
    <n v="5"/>
    <n v="21"/>
    <n v="0"/>
    <n v="15"/>
    <n v="1"/>
    <n v="0"/>
    <x v="12"/>
    <x v="4"/>
    <x v="14"/>
    <n v="443"/>
    <n v="8.6999999999999993"/>
    <x v="451"/>
  </r>
  <r>
    <n v="13"/>
    <n v="22"/>
    <n v="0"/>
    <n v="12"/>
    <n v="1"/>
    <n v="0"/>
    <x v="7"/>
    <x v="3"/>
    <x v="27"/>
    <n v="377"/>
    <n v="0"/>
    <x v="452"/>
  </r>
  <r>
    <n v="19"/>
    <n v="22"/>
    <n v="0"/>
    <n v="20"/>
    <n v="12"/>
    <n v="0"/>
    <x v="6"/>
    <x v="13"/>
    <x v="23"/>
    <n v="0"/>
    <n v="9.1999999999999993"/>
    <x v="453"/>
  </r>
  <r>
    <n v="22"/>
    <n v="22"/>
    <n v="3"/>
    <n v="14"/>
    <n v="1"/>
    <n v="0"/>
    <x v="4"/>
    <x v="16"/>
    <x v="3"/>
    <n v="666"/>
    <n v="8.1999999999999993"/>
    <x v="454"/>
  </r>
  <r>
    <n v="9"/>
    <n v="23"/>
    <n v="2"/>
    <n v="5"/>
    <n v="1"/>
    <n v="0"/>
    <x v="1"/>
    <x v="20"/>
    <x v="6"/>
    <n v="341"/>
    <n v="7.4"/>
    <x v="455"/>
  </r>
  <r>
    <n v="9"/>
    <n v="23"/>
    <n v="1"/>
    <n v="3"/>
    <n v="1"/>
    <n v="0"/>
    <x v="3"/>
    <x v="9"/>
    <x v="7"/>
    <n v="392"/>
    <n v="7.9"/>
    <x v="456"/>
  </r>
  <r>
    <n v="15"/>
    <n v="22"/>
    <n v="2"/>
    <n v="7"/>
    <n v="1"/>
    <n v="0"/>
    <x v="7"/>
    <x v="10"/>
    <x v="15"/>
    <n v="477"/>
    <n v="8.5"/>
    <x v="457"/>
  </r>
  <r>
    <n v="21"/>
    <n v="23"/>
    <n v="0"/>
    <n v="21"/>
    <n v="1"/>
    <n v="0"/>
    <x v="4"/>
    <x v="4"/>
    <x v="6"/>
    <n v="478"/>
    <n v="8.6999999999999993"/>
    <x v="458"/>
  </r>
  <r>
    <n v="23"/>
    <n v="23"/>
    <n v="3"/>
    <n v="11"/>
    <n v="1"/>
    <n v="0"/>
    <x v="5"/>
    <x v="34"/>
    <x v="11"/>
    <n v="533"/>
    <n v="9.1"/>
    <x v="459"/>
  </r>
  <r>
    <n v="12"/>
    <n v="22"/>
    <n v="0"/>
    <n v="9"/>
    <n v="1"/>
    <n v="0"/>
    <x v="6"/>
    <x v="9"/>
    <x v="23"/>
    <n v="494"/>
    <n v="7.9"/>
    <x v="460"/>
  </r>
  <r>
    <n v="18"/>
    <n v="22"/>
    <n v="3"/>
    <n v="19"/>
    <n v="1"/>
    <n v="0"/>
    <x v="4"/>
    <x v="6"/>
    <x v="11"/>
    <n v="751"/>
    <n v="9.1"/>
    <x v="24"/>
  </r>
  <r>
    <n v="0"/>
    <n v="21"/>
    <n v="0"/>
    <n v="5"/>
    <n v="1"/>
    <n v="0"/>
    <x v="2"/>
    <x v="6"/>
    <x v="23"/>
    <n v="321"/>
    <n v="9.1"/>
    <x v="461"/>
  </r>
  <r>
    <n v="13"/>
    <n v="22"/>
    <n v="0"/>
    <n v="0"/>
    <n v="12"/>
    <n v="0"/>
    <x v="7"/>
    <x v="13"/>
    <x v="30"/>
    <n v="503"/>
    <n v="9.1999999999999993"/>
    <x v="462"/>
  </r>
  <r>
    <n v="18"/>
    <n v="23"/>
    <n v="2"/>
    <n v="4"/>
    <n v="12"/>
    <n v="0"/>
    <x v="5"/>
    <x v="6"/>
    <x v="6"/>
    <n v="692"/>
    <n v="9.1"/>
    <x v="463"/>
  </r>
  <r>
    <n v="22"/>
    <n v="22"/>
    <n v="2"/>
    <n v="7"/>
    <n v="1"/>
    <n v="0"/>
    <x v="12"/>
    <x v="0"/>
    <x v="23"/>
    <n v="602"/>
    <n v="8.1"/>
    <x v="440"/>
  </r>
  <r>
    <n v="20"/>
    <n v="23"/>
    <n v="1"/>
    <n v="10"/>
    <n v="12"/>
    <n v="0"/>
    <x v="6"/>
    <x v="14"/>
    <x v="19"/>
    <n v="545"/>
    <n v="7.6"/>
    <x v="464"/>
  </r>
  <r>
    <n v="15"/>
    <n v="23"/>
    <n v="3"/>
    <n v="15"/>
    <n v="12"/>
    <n v="0"/>
    <x v="6"/>
    <x v="30"/>
    <x v="24"/>
    <n v="587"/>
    <n v="7.7"/>
    <x v="465"/>
  </r>
  <r>
    <n v="8"/>
    <n v="18"/>
    <n v="1"/>
    <n v="5"/>
    <n v="1"/>
    <n v="0"/>
    <x v="12"/>
    <x v="8"/>
    <x v="23"/>
    <n v="404"/>
    <n v="8.4"/>
    <x v="466"/>
  </r>
  <r>
    <n v="13"/>
    <n v="22"/>
    <n v="0"/>
    <n v="0"/>
    <n v="1"/>
    <n v="0"/>
    <x v="1"/>
    <x v="7"/>
    <x v="30"/>
    <n v="408"/>
    <n v="7.8"/>
    <x v="467"/>
  </r>
  <r>
    <n v="20"/>
    <n v="23"/>
    <n v="3"/>
    <n v="10"/>
    <n v="1"/>
    <n v="0"/>
    <x v="1"/>
    <x v="6"/>
    <x v="16"/>
    <n v="675"/>
    <n v="9.1"/>
    <x v="468"/>
  </r>
  <r>
    <n v="11"/>
    <n v="22"/>
    <n v="1"/>
    <n v="11"/>
    <n v="1"/>
    <n v="0"/>
    <x v="8"/>
    <x v="15"/>
    <x v="19"/>
    <n v="413"/>
    <n v="9.3000000000000007"/>
    <x v="469"/>
  </r>
  <r>
    <n v="16"/>
    <n v="23"/>
    <n v="0"/>
    <n v="14"/>
    <n v="1"/>
    <n v="0"/>
    <x v="4"/>
    <x v="7"/>
    <x v="21"/>
    <n v="631"/>
    <n v="7.8"/>
    <x v="470"/>
  </r>
  <r>
    <n v="17"/>
    <n v="23"/>
    <n v="1"/>
    <n v="12"/>
    <n v="1"/>
    <n v="0"/>
    <x v="10"/>
    <x v="10"/>
    <x v="24"/>
    <n v="512"/>
    <n v="8.5"/>
    <x v="471"/>
  </r>
  <r>
    <n v="14"/>
    <n v="23"/>
    <n v="2"/>
    <n v="7"/>
    <n v="1"/>
    <n v="0"/>
    <x v="8"/>
    <x v="0"/>
    <x v="16"/>
    <n v="545"/>
    <n v="8.1"/>
    <x v="472"/>
  </r>
  <r>
    <n v="7"/>
    <n v="20"/>
    <n v="2"/>
    <n v="6"/>
    <n v="7"/>
    <n v="0"/>
    <x v="9"/>
    <x v="20"/>
    <x v="9"/>
    <n v="416"/>
    <n v="7.7"/>
    <x v="473"/>
  </r>
  <r>
    <n v="5"/>
    <n v="17"/>
    <n v="2"/>
    <n v="12"/>
    <n v="1"/>
    <n v="0"/>
    <x v="12"/>
    <x v="9"/>
    <x v="17"/>
    <n v="494"/>
    <n v="7.9"/>
    <x v="460"/>
  </r>
  <r>
    <n v="13"/>
    <n v="22"/>
    <n v="1"/>
    <n v="7"/>
    <n v="1"/>
    <n v="0"/>
    <x v="10"/>
    <x v="16"/>
    <x v="7"/>
    <n v="432"/>
    <n v="8.1999999999999993"/>
    <x v="474"/>
  </r>
  <r>
    <n v="20"/>
    <n v="22"/>
    <n v="1"/>
    <n v="0"/>
    <n v="12"/>
    <n v="0"/>
    <x v="5"/>
    <x v="15"/>
    <x v="15"/>
    <n v="560"/>
    <n v="9.3000000000000007"/>
    <x v="475"/>
  </r>
  <r>
    <n v="11"/>
    <n v="22"/>
    <n v="2"/>
    <n v="20"/>
    <n v="1"/>
    <n v="0"/>
    <x v="0"/>
    <x v="6"/>
    <x v="25"/>
    <n v="650"/>
    <n v="9.1"/>
    <x v="476"/>
  </r>
  <r>
    <n v="9"/>
    <n v="18"/>
    <n v="2"/>
    <n v="12"/>
    <n v="1"/>
    <n v="0"/>
    <x v="0"/>
    <x v="9"/>
    <x v="4"/>
    <n v="460"/>
    <n v="7.9"/>
    <x v="477"/>
  </r>
  <r>
    <n v="5"/>
    <n v="17"/>
    <n v="0"/>
    <n v="17"/>
    <n v="1"/>
    <n v="0"/>
    <x v="3"/>
    <x v="6"/>
    <x v="16"/>
    <n v="458"/>
    <n v="9.1"/>
    <x v="478"/>
  </r>
  <r>
    <n v="6"/>
    <n v="21"/>
    <n v="2"/>
    <n v="3"/>
    <n v="1"/>
    <n v="0"/>
    <x v="2"/>
    <x v="9"/>
    <x v="8"/>
    <n v="487"/>
    <n v="7.9"/>
    <x v="479"/>
  </r>
  <r>
    <n v="18"/>
    <n v="22"/>
    <n v="2"/>
    <n v="7"/>
    <n v="1"/>
    <n v="0"/>
    <x v="11"/>
    <x v="10"/>
    <x v="15"/>
    <n v="491"/>
    <n v="8.5"/>
    <x v="480"/>
  </r>
  <r>
    <n v="22"/>
    <n v="22"/>
    <n v="3"/>
    <n v="4"/>
    <n v="1"/>
    <n v="0"/>
    <x v="12"/>
    <x v="7"/>
    <x v="26"/>
    <n v="503"/>
    <n v="7.8"/>
    <x v="36"/>
  </r>
  <r>
    <n v="21"/>
    <n v="22"/>
    <n v="2"/>
    <n v="14"/>
    <n v="12"/>
    <n v="0"/>
    <x v="11"/>
    <x v="8"/>
    <x v="20"/>
    <n v="564"/>
    <n v="8.4"/>
    <x v="342"/>
  </r>
  <r>
    <n v="11"/>
    <n v="23"/>
    <n v="1"/>
    <n v="6"/>
    <n v="1"/>
    <n v="0"/>
    <x v="1"/>
    <x v="9"/>
    <x v="16"/>
    <n v="459"/>
    <n v="7.9"/>
    <x v="481"/>
  </r>
  <r>
    <n v="17"/>
    <n v="22"/>
    <n v="1"/>
    <n v="17"/>
    <n v="1"/>
    <n v="0"/>
    <x v="6"/>
    <x v="20"/>
    <x v="16"/>
    <n v="525"/>
    <n v="8.6999999999999993"/>
    <x v="482"/>
  </r>
  <r>
    <n v="10"/>
    <n v="23"/>
    <n v="2"/>
    <n v="22"/>
    <n v="1"/>
    <n v="0"/>
    <x v="1"/>
    <x v="9"/>
    <x v="14"/>
    <n v="631"/>
    <n v="7.9"/>
    <x v="483"/>
  </r>
  <r>
    <n v="8"/>
    <n v="23"/>
    <n v="0"/>
    <n v="5"/>
    <n v="1"/>
    <n v="0"/>
    <x v="8"/>
    <x v="1"/>
    <x v="7"/>
    <n v="0"/>
    <n v="8.3000000000000007"/>
    <x v="484"/>
  </r>
  <r>
    <n v="12"/>
    <n v="22"/>
    <n v="1"/>
    <n v="18"/>
    <n v="1"/>
    <n v="0"/>
    <x v="0"/>
    <x v="13"/>
    <x v="20"/>
    <n v="591"/>
    <n v="9.1999999999999993"/>
    <x v="24"/>
  </r>
  <r>
    <n v="13"/>
    <n v="22"/>
    <n v="1"/>
    <n v="3"/>
    <n v="0"/>
    <n v="0"/>
    <x v="1"/>
    <x v="17"/>
    <x v="1"/>
    <s v="nan "/>
    <n v="8.8000000000000007"/>
    <x v="436"/>
  </r>
  <r>
    <n v="18"/>
    <n v="23"/>
    <n v="2"/>
    <n v="13"/>
    <n v="1"/>
    <n v="0"/>
    <x v="3"/>
    <x v="4"/>
    <x v="33"/>
    <n v="661"/>
    <n v="8.6999999999999993"/>
    <x v="485"/>
  </r>
  <r>
    <n v="0"/>
    <n v="22"/>
    <n v="3"/>
    <n v="19"/>
    <n v="1"/>
    <n v="0"/>
    <x v="6"/>
    <x v="8"/>
    <x v="6"/>
    <n v="701"/>
    <n v="8.4"/>
    <x v="486"/>
  </r>
  <r>
    <n v="10"/>
    <n v="23"/>
    <n v="2"/>
    <n v="11"/>
    <n v="1"/>
    <n v="0"/>
    <x v="11"/>
    <x v="5"/>
    <x v="5"/>
    <n v="404"/>
    <n v="7.7"/>
    <x v="487"/>
  </r>
  <r>
    <n v="19"/>
    <n v="22"/>
    <n v="2"/>
    <n v="3"/>
    <n v="1"/>
    <n v="0"/>
    <x v="6"/>
    <x v="9"/>
    <x v="25"/>
    <n v="589"/>
    <n v="7.9"/>
    <x v="488"/>
  </r>
  <r>
    <n v="10"/>
    <n v="22"/>
    <n v="3"/>
    <n v="8"/>
    <n v="1"/>
    <n v="0"/>
    <x v="11"/>
    <x v="17"/>
    <x v="14"/>
    <n v="352"/>
    <n v="8.8000000000000007"/>
    <x v="489"/>
  </r>
  <r>
    <n v="17"/>
    <n v="22"/>
    <n v="2"/>
    <n v="14"/>
    <n v="1"/>
    <n v="0"/>
    <x v="8"/>
    <x v="16"/>
    <x v="0"/>
    <n v="685"/>
    <n v="8.1999999999999993"/>
    <x v="490"/>
  </r>
  <r>
    <n v="22"/>
    <n v="23"/>
    <n v="0"/>
    <n v="19"/>
    <n v="1"/>
    <n v="0"/>
    <x v="1"/>
    <x v="10"/>
    <x v="7"/>
    <n v="601"/>
    <n v="8.5"/>
    <x v="491"/>
  </r>
  <r>
    <n v="13"/>
    <n v="22"/>
    <n v="3"/>
    <n v="8"/>
    <n v="1"/>
    <n v="0"/>
    <x v="2"/>
    <x v="10"/>
    <x v="8"/>
    <n v="569"/>
    <n v="8.5"/>
    <x v="492"/>
  </r>
  <r>
    <n v="19"/>
    <n v="22"/>
    <n v="0"/>
    <n v="9"/>
    <n v="1"/>
    <n v="0"/>
    <x v="8"/>
    <x v="5"/>
    <x v="17"/>
    <n v="444"/>
    <n v="7.7"/>
    <x v="493"/>
  </r>
  <r>
    <n v="14"/>
    <n v="22"/>
    <n v="3"/>
    <n v="8"/>
    <n v="12"/>
    <n v="0"/>
    <x v="9"/>
    <x v="32"/>
    <x v="5"/>
    <n v="596"/>
    <n v="0"/>
    <x v="494"/>
  </r>
  <r>
    <n v="21"/>
    <n v="22"/>
    <n v="2"/>
    <n v="13"/>
    <n v="1"/>
    <n v="0"/>
    <x v="5"/>
    <x v="20"/>
    <x v="1"/>
    <n v="672"/>
    <n v="7.7"/>
    <x v="206"/>
  </r>
  <r>
    <n v="11"/>
    <n v="23"/>
    <n v="2"/>
    <n v="19"/>
    <n v="12"/>
    <n v="0"/>
    <x v="4"/>
    <x v="6"/>
    <x v="3"/>
    <n v="819"/>
    <n v="9.1"/>
    <x v="495"/>
  </r>
  <r>
    <n v="0"/>
    <n v="17"/>
    <n v="2"/>
    <n v="5"/>
    <n v="0"/>
    <n v="0"/>
    <x v="8"/>
    <x v="1"/>
    <x v="5"/>
    <n v="389"/>
    <n v="8.3000000000000007"/>
    <x v="24"/>
  </r>
  <r>
    <n v="22"/>
    <n v="23"/>
    <n v="0"/>
    <n v="20"/>
    <n v="1"/>
    <n v="0"/>
    <x v="12"/>
    <x v="16"/>
    <x v="4"/>
    <n v="673"/>
    <n v="8.1999999999999993"/>
    <x v="496"/>
  </r>
  <r>
    <n v="20"/>
    <n v="23"/>
    <n v="3"/>
    <n v="4"/>
    <n v="1"/>
    <n v="0"/>
    <x v="0"/>
    <x v="1"/>
    <x v="4"/>
    <n v="574"/>
    <n v="8.3000000000000007"/>
    <x v="497"/>
  </r>
  <r>
    <n v="12"/>
    <n v="22"/>
    <n v="2"/>
    <n v="6"/>
    <n v="0"/>
    <n v="0"/>
    <x v="7"/>
    <x v="8"/>
    <x v="10"/>
    <n v="463"/>
    <n v="8.4"/>
    <x v="498"/>
  </r>
  <r>
    <n v="14"/>
    <n v="22"/>
    <n v="3"/>
    <n v="20"/>
    <n v="1"/>
    <n v="0"/>
    <x v="5"/>
    <x v="14"/>
    <x v="30"/>
    <n v="742"/>
    <n v="7.6"/>
    <x v="499"/>
  </r>
  <r>
    <n v="13"/>
    <n v="22"/>
    <n v="2"/>
    <n v="22"/>
    <n v="1"/>
    <n v="0"/>
    <x v="4"/>
    <x v="10"/>
    <x v="16"/>
    <n v="0"/>
    <n v="8.5"/>
    <x v="24"/>
  </r>
  <r>
    <n v="0"/>
    <n v="22"/>
    <n v="2"/>
    <n v="14"/>
    <n v="12"/>
    <n v="0"/>
    <x v="1"/>
    <x v="13"/>
    <x v="15"/>
    <n v="577"/>
    <n v="9.1999999999999993"/>
    <x v="500"/>
  </r>
  <r>
    <n v="18"/>
    <n v="22"/>
    <n v="2"/>
    <n v="20"/>
    <n v="1"/>
    <n v="0"/>
    <x v="5"/>
    <x v="4"/>
    <x v="5"/>
    <n v="506"/>
    <n v="8.6999999999999993"/>
    <x v="501"/>
  </r>
  <r>
    <n v="11"/>
    <n v="22"/>
    <n v="0"/>
    <n v="4"/>
    <n v="12"/>
    <n v="0"/>
    <x v="3"/>
    <x v="3"/>
    <x v="19"/>
    <n v="596"/>
    <n v="8.9"/>
    <x v="24"/>
  </r>
  <r>
    <n v="10"/>
    <n v="19"/>
    <n v="1"/>
    <n v="16"/>
    <n v="1"/>
    <n v="0"/>
    <x v="2"/>
    <x v="0"/>
    <x v="6"/>
    <n v="397"/>
    <n v="8.1"/>
    <x v="502"/>
  </r>
  <r>
    <n v="16"/>
    <n v="22"/>
    <n v="2"/>
    <n v="9"/>
    <n v="12"/>
    <n v="0"/>
    <x v="2"/>
    <x v="10"/>
    <x v="25"/>
    <n v="0"/>
    <n v="8.5"/>
    <x v="503"/>
  </r>
  <r>
    <n v="22"/>
    <n v="22"/>
    <n v="1"/>
    <n v="11"/>
    <n v="1"/>
    <n v="0"/>
    <x v="1"/>
    <x v="17"/>
    <x v="12"/>
    <n v="486"/>
    <n v="8.8000000000000007"/>
    <x v="504"/>
  </r>
  <r>
    <n v="7"/>
    <n v="21"/>
    <n v="1"/>
    <n v="12"/>
    <n v="1"/>
    <n v="0"/>
    <x v="12"/>
    <x v="7"/>
    <x v="2"/>
    <n v="311"/>
    <n v="7.8"/>
    <x v="505"/>
  </r>
  <r>
    <n v="10"/>
    <n v="22"/>
    <n v="2"/>
    <n v="21"/>
    <n v="7"/>
    <n v="0"/>
    <x v="4"/>
    <x v="9"/>
    <x v="14"/>
    <n v="734"/>
    <n v="7.9"/>
    <x v="506"/>
  </r>
  <r>
    <n v="23"/>
    <n v="22"/>
    <n v="2"/>
    <n v="15"/>
    <n v="1"/>
    <n v="0"/>
    <x v="0"/>
    <x v="23"/>
    <x v="20"/>
    <n v="669"/>
    <n v="7.8"/>
    <x v="507"/>
  </r>
  <r>
    <n v="5"/>
    <n v="17"/>
    <n v="2"/>
    <n v="4"/>
    <n v="1"/>
    <n v="0"/>
    <x v="5"/>
    <x v="20"/>
    <x v="2"/>
    <n v="376"/>
    <n v="7.6"/>
    <x v="262"/>
  </r>
  <r>
    <n v="20"/>
    <n v="23"/>
    <n v="2"/>
    <n v="12"/>
    <n v="1"/>
    <n v="0"/>
    <x v="1"/>
    <x v="16"/>
    <x v="6"/>
    <n v="483"/>
    <n v="8.1999999999999993"/>
    <x v="397"/>
  </r>
  <r>
    <n v="21"/>
    <n v="22"/>
    <n v="1"/>
    <n v="3"/>
    <n v="1"/>
    <n v="0"/>
    <x v="4"/>
    <x v="13"/>
    <x v="27"/>
    <n v="405"/>
    <n v="9.1999999999999993"/>
    <x v="317"/>
  </r>
  <r>
    <n v="8"/>
    <n v="22"/>
    <n v="1"/>
    <n v="17"/>
    <n v="1"/>
    <n v="0"/>
    <x v="0"/>
    <x v="9"/>
    <x v="7"/>
    <n v="371"/>
    <n v="7.9"/>
    <x v="508"/>
  </r>
  <r>
    <n v="8"/>
    <n v="21"/>
    <n v="1"/>
    <n v="15"/>
    <n v="1"/>
    <n v="0"/>
    <x v="11"/>
    <x v="3"/>
    <x v="18"/>
    <n v="571"/>
    <n v="8.9"/>
    <x v="509"/>
  </r>
  <r>
    <n v="19"/>
    <n v="23"/>
    <n v="0"/>
    <n v="19"/>
    <n v="1"/>
    <n v="0"/>
    <x v="11"/>
    <x v="5"/>
    <x v="0"/>
    <n v="614"/>
    <n v="0"/>
    <x v="510"/>
  </r>
  <r>
    <n v="23"/>
    <n v="22"/>
    <n v="1"/>
    <n v="16"/>
    <n v="1"/>
    <n v="0"/>
    <x v="6"/>
    <x v="8"/>
    <x v="32"/>
    <n v="610"/>
    <n v="8.4"/>
    <x v="511"/>
  </r>
  <r>
    <n v="16"/>
    <n v="22"/>
    <n v="3"/>
    <n v="4"/>
    <n v="1"/>
    <n v="0"/>
    <x v="4"/>
    <x v="27"/>
    <x v="0"/>
    <n v="492"/>
    <n v="8.4"/>
    <x v="512"/>
  </r>
  <r>
    <n v="22"/>
    <n v="22"/>
    <n v="1"/>
    <n v="4"/>
    <n v="1"/>
    <n v="0"/>
    <x v="8"/>
    <x v="5"/>
    <x v="15"/>
    <n v="497"/>
    <n v="7.7"/>
    <x v="513"/>
  </r>
  <r>
    <n v="22"/>
    <n v="23"/>
    <n v="0"/>
    <n v="18"/>
    <n v="1"/>
    <n v="0"/>
    <x v="7"/>
    <x v="6"/>
    <x v="4"/>
    <n v="581"/>
    <n v="0"/>
    <x v="514"/>
  </r>
  <r>
    <n v="21"/>
    <n v="23"/>
    <n v="3"/>
    <n v="0"/>
    <n v="1"/>
    <n v="0"/>
    <x v="8"/>
    <x v="3"/>
    <x v="29"/>
    <n v="594"/>
    <n v="8.9"/>
    <x v="515"/>
  </r>
  <r>
    <n v="12"/>
    <n v="22"/>
    <n v="3"/>
    <n v="15"/>
    <n v="12"/>
    <n v="0"/>
    <x v="12"/>
    <x v="3"/>
    <x v="21"/>
    <n v="747"/>
    <n v="8.9"/>
    <x v="516"/>
  </r>
  <r>
    <n v="9"/>
    <n v="22"/>
    <n v="3"/>
    <n v="5"/>
    <n v="1"/>
    <n v="0"/>
    <x v="3"/>
    <x v="20"/>
    <x v="27"/>
    <n v="401"/>
    <n v="8.1"/>
    <x v="517"/>
  </r>
  <r>
    <n v="19"/>
    <n v="23"/>
    <n v="1"/>
    <n v="8"/>
    <n v="1"/>
    <n v="0"/>
    <x v="12"/>
    <x v="13"/>
    <x v="26"/>
    <n v="555"/>
    <n v="9.1999999999999993"/>
    <x v="518"/>
  </r>
  <r>
    <n v="19"/>
    <n v="22"/>
    <n v="3"/>
    <n v="7"/>
    <n v="0"/>
    <n v="0"/>
    <x v="11"/>
    <x v="3"/>
    <x v="32"/>
    <n v="384"/>
    <n v="8.9"/>
    <x v="519"/>
  </r>
  <r>
    <n v="11"/>
    <n v="23"/>
    <n v="0"/>
    <n v="15"/>
    <n v="1"/>
    <n v="0"/>
    <x v="0"/>
    <x v="19"/>
    <x v="19"/>
    <n v="352"/>
    <n v="7.4"/>
    <x v="520"/>
  </r>
  <r>
    <n v="14"/>
    <n v="23"/>
    <n v="1"/>
    <n v="6"/>
    <n v="0"/>
    <n v="0"/>
    <x v="8"/>
    <x v="1"/>
    <x v="21"/>
    <n v="619"/>
    <n v="8.3000000000000007"/>
    <x v="521"/>
  </r>
  <r>
    <n v="9"/>
    <n v="20"/>
    <n v="1"/>
    <n v="4"/>
    <n v="7"/>
    <n v="0"/>
    <x v="3"/>
    <x v="0"/>
    <x v="21"/>
    <n v="398"/>
    <n v="0"/>
    <x v="522"/>
  </r>
  <r>
    <n v="22"/>
    <n v="23"/>
    <n v="3"/>
    <n v="19"/>
    <n v="1"/>
    <n v="0"/>
    <x v="5"/>
    <x v="9"/>
    <x v="17"/>
    <n v="733"/>
    <n v="7.9"/>
    <x v="523"/>
  </r>
  <r>
    <n v="21"/>
    <n v="22"/>
    <n v="2"/>
    <n v="13"/>
    <n v="1"/>
    <n v="0"/>
    <x v="7"/>
    <x v="17"/>
    <x v="27"/>
    <n v="516"/>
    <n v="8.8000000000000007"/>
    <x v="524"/>
  </r>
  <r>
    <n v="14"/>
    <n v="22"/>
    <n v="2"/>
    <n v="6"/>
    <n v="1"/>
    <n v="0"/>
    <x v="4"/>
    <x v="28"/>
    <x v="2"/>
    <n v="376"/>
    <n v="8.8000000000000007"/>
    <x v="525"/>
  </r>
  <r>
    <n v="0"/>
    <n v="19"/>
    <n v="1"/>
    <n v="14"/>
    <n v="1"/>
    <n v="0"/>
    <x v="5"/>
    <x v="7"/>
    <x v="16"/>
    <n v="313"/>
    <n v="7.8"/>
    <x v="526"/>
  </r>
  <r>
    <n v="8"/>
    <n v="19"/>
    <n v="1"/>
    <n v="9"/>
    <n v="1"/>
    <n v="0"/>
    <x v="2"/>
    <x v="1"/>
    <x v="19"/>
    <n v="358"/>
    <n v="8.3000000000000007"/>
    <x v="527"/>
  </r>
  <r>
    <n v="5"/>
    <n v="19"/>
    <n v="1"/>
    <n v="6"/>
    <n v="0"/>
    <n v="0"/>
    <x v="4"/>
    <x v="19"/>
    <x v="26"/>
    <n v="403"/>
    <n v="7.4"/>
    <x v="528"/>
  </r>
  <r>
    <n v="5"/>
    <n v="17"/>
    <n v="2"/>
    <n v="22"/>
    <n v="1"/>
    <n v="0"/>
    <x v="9"/>
    <x v="17"/>
    <x v="7"/>
    <n v="574"/>
    <n v="8.8000000000000007"/>
    <x v="529"/>
  </r>
  <r>
    <n v="6"/>
    <n v="17"/>
    <n v="3"/>
    <n v="15"/>
    <n v="1"/>
    <n v="0"/>
    <x v="12"/>
    <x v="7"/>
    <x v="30"/>
    <n v="440"/>
    <n v="7.8"/>
    <x v="530"/>
  </r>
  <r>
    <n v="16"/>
    <n v="22"/>
    <n v="0"/>
    <n v="21"/>
    <n v="12"/>
    <n v="0"/>
    <x v="12"/>
    <x v="4"/>
    <x v="24"/>
    <n v="589"/>
    <n v="8.6999999999999993"/>
    <x v="531"/>
  </r>
  <r>
    <n v="15"/>
    <n v="23"/>
    <n v="2"/>
    <n v="10"/>
    <n v="1"/>
    <n v="0"/>
    <x v="1"/>
    <x v="5"/>
    <x v="27"/>
    <n v="414"/>
    <n v="7.7"/>
    <x v="532"/>
  </r>
  <r>
    <n v="5"/>
    <n v="22"/>
    <n v="1"/>
    <n v="22"/>
    <n v="7"/>
    <n v="0"/>
    <x v="0"/>
    <x v="9"/>
    <x v="22"/>
    <n v="0"/>
    <n v="0"/>
    <x v="533"/>
  </r>
  <r>
    <n v="21"/>
    <n v="22"/>
    <n v="0"/>
    <n v="6"/>
    <n v="1"/>
    <n v="0"/>
    <x v="2"/>
    <x v="33"/>
    <x v="16"/>
    <n v="645"/>
    <n v="8.1"/>
    <x v="534"/>
  </r>
  <r>
    <n v="23"/>
    <n v="22"/>
    <n v="3"/>
    <n v="5"/>
    <n v="1"/>
    <n v="0"/>
    <x v="9"/>
    <x v="14"/>
    <x v="12"/>
    <n v="475"/>
    <n v="7.6"/>
    <x v="535"/>
  </r>
  <r>
    <n v="12"/>
    <n v="23"/>
    <n v="2"/>
    <n v="7"/>
    <n v="1"/>
    <n v="0"/>
    <x v="9"/>
    <x v="17"/>
    <x v="10"/>
    <n v="362"/>
    <n v="8.8000000000000007"/>
    <x v="536"/>
  </r>
  <r>
    <n v="11"/>
    <n v="23"/>
    <n v="0"/>
    <n v="18"/>
    <n v="1"/>
    <n v="0"/>
    <x v="11"/>
    <x v="20"/>
    <x v="9"/>
    <n v="529"/>
    <n v="0"/>
    <x v="537"/>
  </r>
  <r>
    <n v="10"/>
    <n v="21"/>
    <n v="1"/>
    <n v="22"/>
    <n v="1"/>
    <n v="0"/>
    <x v="7"/>
    <x v="14"/>
    <x v="4"/>
    <n v="646"/>
    <n v="7.6"/>
    <x v="538"/>
  </r>
  <r>
    <n v="7"/>
    <n v="20"/>
    <n v="1"/>
    <n v="11"/>
    <n v="1"/>
    <n v="0"/>
    <x v="5"/>
    <x v="4"/>
    <x v="25"/>
    <n v="299"/>
    <n v="8.6999999999999993"/>
    <x v="539"/>
  </r>
  <r>
    <n v="23"/>
    <n v="22"/>
    <n v="0"/>
    <n v="17"/>
    <n v="1"/>
    <n v="0"/>
    <x v="1"/>
    <x v="6"/>
    <x v="8"/>
    <n v="675"/>
    <n v="9.1"/>
    <x v="468"/>
  </r>
  <r>
    <n v="7"/>
    <n v="23"/>
    <n v="2"/>
    <n v="13"/>
    <n v="1"/>
    <n v="0"/>
    <x v="11"/>
    <x v="29"/>
    <x v="10"/>
    <n v="503"/>
    <n v="9.3000000000000007"/>
    <x v="540"/>
  </r>
  <r>
    <n v="18"/>
    <n v="23"/>
    <n v="0"/>
    <n v="8"/>
    <n v="0"/>
    <n v="0"/>
    <x v="4"/>
    <x v="8"/>
    <x v="24"/>
    <n v="530"/>
    <n v="8.4"/>
    <x v="541"/>
  </r>
  <r>
    <n v="8"/>
    <n v="23"/>
    <n v="2"/>
    <n v="8"/>
    <n v="1"/>
    <n v="0"/>
    <x v="9"/>
    <x v="2"/>
    <x v="17"/>
    <n v="554"/>
    <n v="8.9"/>
    <x v="542"/>
  </r>
  <r>
    <n v="8"/>
    <n v="23"/>
    <n v="2"/>
    <n v="8"/>
    <n v="1"/>
    <n v="0"/>
    <x v="9"/>
    <x v="1"/>
    <x v="9"/>
    <n v="597"/>
    <n v="8.3000000000000007"/>
    <x v="543"/>
  </r>
  <r>
    <n v="18"/>
    <n v="22"/>
    <n v="0"/>
    <n v="16"/>
    <n v="1"/>
    <n v="0"/>
    <x v="4"/>
    <x v="7"/>
    <x v="7"/>
    <n v="552"/>
    <n v="7.8"/>
    <x v="433"/>
  </r>
  <r>
    <n v="5"/>
    <n v="18"/>
    <n v="1"/>
    <n v="11"/>
    <n v="1"/>
    <n v="0"/>
    <x v="11"/>
    <x v="31"/>
    <x v="29"/>
    <n v="267"/>
    <n v="8.5"/>
    <x v="544"/>
  </r>
  <r>
    <n v="17"/>
    <n v="23"/>
    <n v="1"/>
    <n v="14"/>
    <n v="1"/>
    <n v="0"/>
    <x v="10"/>
    <x v="16"/>
    <x v="7"/>
    <n v="567"/>
    <n v="8.1999999999999993"/>
    <x v="24"/>
  </r>
  <r>
    <n v="7"/>
    <n v="23"/>
    <n v="1"/>
    <n v="12"/>
    <n v="7"/>
    <n v="0"/>
    <x v="5"/>
    <x v="5"/>
    <x v="2"/>
    <n v="611"/>
    <n v="7.7"/>
    <x v="171"/>
  </r>
  <r>
    <n v="5"/>
    <n v="23"/>
    <n v="1"/>
    <n v="5"/>
    <n v="1"/>
    <n v="0"/>
    <x v="2"/>
    <x v="19"/>
    <x v="32"/>
    <n v="360"/>
    <n v="7.4"/>
    <x v="545"/>
  </r>
  <r>
    <n v="21"/>
    <n v="22"/>
    <n v="2"/>
    <n v="19"/>
    <n v="1"/>
    <n v="0"/>
    <x v="7"/>
    <x v="10"/>
    <x v="26"/>
    <n v="702"/>
    <n v="8.5"/>
    <x v="546"/>
  </r>
  <r>
    <n v="20"/>
    <n v="22"/>
    <n v="1"/>
    <n v="17"/>
    <n v="1"/>
    <n v="0"/>
    <x v="9"/>
    <x v="5"/>
    <x v="3"/>
    <n v="575"/>
    <n v="7.7"/>
    <x v="547"/>
  </r>
  <r>
    <n v="8"/>
    <n v="21"/>
    <n v="0"/>
    <n v="0"/>
    <n v="7"/>
    <n v="0"/>
    <x v="6"/>
    <x v="9"/>
    <x v="22"/>
    <n v="413"/>
    <n v="7.9"/>
    <x v="548"/>
  </r>
  <r>
    <n v="22"/>
    <n v="22"/>
    <n v="1"/>
    <n v="15"/>
    <n v="1"/>
    <n v="0"/>
    <x v="5"/>
    <x v="7"/>
    <x v="6"/>
    <n v="633"/>
    <n v="7.8"/>
    <x v="549"/>
  </r>
  <r>
    <n v="11"/>
    <n v="22"/>
    <n v="1"/>
    <n v="0"/>
    <n v="1"/>
    <n v="0"/>
    <x v="8"/>
    <x v="8"/>
    <x v="19"/>
    <n v="585"/>
    <n v="8.4"/>
    <x v="550"/>
  </r>
  <r>
    <n v="19"/>
    <n v="23"/>
    <n v="0"/>
    <n v="15"/>
    <n v="12"/>
    <n v="0"/>
    <x v="0"/>
    <x v="23"/>
    <x v="27"/>
    <n v="642"/>
    <n v="7.8"/>
    <x v="551"/>
  </r>
  <r>
    <n v="18"/>
    <n v="22"/>
    <n v="3"/>
    <n v="9"/>
    <n v="1"/>
    <n v="0"/>
    <x v="6"/>
    <x v="4"/>
    <x v="26"/>
    <n v="653"/>
    <n v="8.6999999999999993"/>
    <x v="552"/>
  </r>
  <r>
    <n v="11"/>
    <n v="22"/>
    <n v="0"/>
    <n v="13"/>
    <n v="1"/>
    <n v="0"/>
    <x v="11"/>
    <x v="9"/>
    <x v="13"/>
    <n v="490"/>
    <n v="7.9"/>
    <x v="553"/>
  </r>
  <r>
    <n v="20"/>
    <n v="0"/>
    <n v="2"/>
    <n v="5"/>
    <n v="1"/>
    <n v="0"/>
    <x v="4"/>
    <x v="7"/>
    <x v="3"/>
    <n v="0"/>
    <n v="7.8"/>
    <x v="554"/>
  </r>
  <r>
    <n v="18"/>
    <n v="23"/>
    <n v="2"/>
    <n v="14"/>
    <n v="1"/>
    <n v="0"/>
    <x v="11"/>
    <x v="6"/>
    <x v="20"/>
    <n v="660"/>
    <n v="9.1"/>
    <x v="555"/>
  </r>
  <r>
    <n v="9"/>
    <n v="18"/>
    <n v="1"/>
    <n v="14"/>
    <n v="1"/>
    <n v="0"/>
    <x v="10"/>
    <x v="0"/>
    <x v="14"/>
    <n v="447"/>
    <n v="8.1"/>
    <x v="556"/>
  </r>
  <r>
    <n v="7"/>
    <n v="0"/>
    <n v="0"/>
    <n v="16"/>
    <n v="1"/>
    <n v="0"/>
    <x v="3"/>
    <x v="34"/>
    <x v="27"/>
    <n v="590"/>
    <n v="9.1"/>
    <x v="557"/>
  </r>
  <r>
    <n v="15"/>
    <n v="23"/>
    <n v="1"/>
    <n v="19"/>
    <n v="1"/>
    <n v="0"/>
    <x v="1"/>
    <x v="6"/>
    <x v="16"/>
    <n v="477"/>
    <n v="9.1"/>
    <x v="24"/>
  </r>
  <r>
    <n v="18"/>
    <n v="23"/>
    <n v="2"/>
    <n v="12"/>
    <n v="12"/>
    <n v="0"/>
    <x v="4"/>
    <x v="14"/>
    <x v="13"/>
    <n v="532"/>
    <n v="7.6"/>
    <x v="558"/>
  </r>
  <r>
    <n v="15"/>
    <n v="22"/>
    <n v="0"/>
    <n v="14"/>
    <n v="1"/>
    <n v="0"/>
    <x v="6"/>
    <x v="13"/>
    <x v="25"/>
    <n v="598"/>
    <n v="9.1999999999999993"/>
    <x v="559"/>
  </r>
  <r>
    <n v="0"/>
    <n v="22"/>
    <n v="1"/>
    <n v="9"/>
    <n v="1"/>
    <n v="0"/>
    <x v="0"/>
    <x v="8"/>
    <x v="9"/>
    <n v="314"/>
    <n v="8.4"/>
    <x v="560"/>
  </r>
  <r>
    <n v="0"/>
    <n v="22"/>
    <n v="2"/>
    <n v="7"/>
    <n v="12"/>
    <n v="0"/>
    <x v="5"/>
    <x v="17"/>
    <x v="6"/>
    <n v="588"/>
    <n v="8.8000000000000007"/>
    <x v="206"/>
  </r>
  <r>
    <n v="15"/>
    <n v="22"/>
    <n v="0"/>
    <n v="18"/>
    <n v="1"/>
    <n v="0"/>
    <x v="8"/>
    <x v="10"/>
    <x v="19"/>
    <n v="439"/>
    <n v="8.5"/>
    <x v="561"/>
  </r>
  <r>
    <n v="6"/>
    <n v="18"/>
    <n v="0"/>
    <n v="5"/>
    <n v="1"/>
    <n v="0"/>
    <x v="8"/>
    <x v="9"/>
    <x v="32"/>
    <n v="292"/>
    <n v="7.9"/>
    <x v="562"/>
  </r>
  <r>
    <n v="10"/>
    <n v="20"/>
    <n v="2"/>
    <n v="8"/>
    <n v="1"/>
    <n v="0"/>
    <x v="10"/>
    <x v="7"/>
    <x v="14"/>
    <n v="427"/>
    <n v="7.8"/>
    <x v="563"/>
  </r>
  <r>
    <n v="13"/>
    <n v="23"/>
    <n v="0"/>
    <n v="17"/>
    <n v="1"/>
    <n v="0"/>
    <x v="5"/>
    <x v="16"/>
    <x v="4"/>
    <n v="528"/>
    <n v="8.1999999999999993"/>
    <x v="564"/>
  </r>
  <r>
    <n v="18"/>
    <n v="22"/>
    <n v="3"/>
    <n v="15"/>
    <n v="1"/>
    <n v="0"/>
    <x v="2"/>
    <x v="10"/>
    <x v="18"/>
    <n v="600"/>
    <n v="8.5"/>
    <x v="565"/>
  </r>
  <r>
    <n v="6"/>
    <n v="21"/>
    <n v="1"/>
    <n v="15"/>
    <n v="7"/>
    <n v="0"/>
    <x v="3"/>
    <x v="14"/>
    <x v="21"/>
    <n v="388"/>
    <n v="7.6"/>
    <x v="566"/>
  </r>
  <r>
    <n v="0"/>
    <n v="23"/>
    <n v="1"/>
    <n v="10"/>
    <n v="1"/>
    <n v="0"/>
    <x v="8"/>
    <x v="10"/>
    <x v="17"/>
    <n v="659"/>
    <n v="8.5"/>
    <x v="567"/>
  </r>
  <r>
    <n v="16"/>
    <n v="22"/>
    <n v="3"/>
    <n v="15"/>
    <n v="12"/>
    <n v="0"/>
    <x v="3"/>
    <x v="15"/>
    <x v="28"/>
    <n v="827"/>
    <n v="9.3000000000000007"/>
    <x v="568"/>
  </r>
  <r>
    <n v="17"/>
    <n v="23"/>
    <n v="3"/>
    <n v="12"/>
    <n v="1"/>
    <n v="0"/>
    <x v="0"/>
    <x v="16"/>
    <x v="23"/>
    <n v="622"/>
    <n v="8.1999999999999993"/>
    <x v="569"/>
  </r>
  <r>
    <n v="22"/>
    <n v="23"/>
    <n v="3"/>
    <n v="19"/>
    <n v="12"/>
    <n v="0"/>
    <x v="3"/>
    <x v="14"/>
    <x v="7"/>
    <n v="717"/>
    <n v="7.6"/>
    <x v="570"/>
  </r>
  <r>
    <n v="15"/>
    <n v="22"/>
    <n v="2"/>
    <n v="19"/>
    <n v="1"/>
    <n v="0"/>
    <x v="6"/>
    <x v="22"/>
    <x v="18"/>
    <n v="500"/>
    <n v="7.4"/>
    <x v="571"/>
  </r>
  <r>
    <n v="0"/>
    <n v="23"/>
    <n v="0"/>
    <n v="9"/>
    <n v="1"/>
    <n v="0"/>
    <x v="3"/>
    <x v="16"/>
    <x v="13"/>
    <n v="350"/>
    <n v="8.1999999999999993"/>
    <x v="572"/>
  </r>
  <r>
    <n v="5"/>
    <n v="21"/>
    <n v="3"/>
    <n v="16"/>
    <n v="7"/>
    <n v="0"/>
    <x v="4"/>
    <x v="5"/>
    <x v="17"/>
    <n v="682"/>
    <n v="7.7"/>
    <x v="573"/>
  </r>
  <r>
    <n v="17"/>
    <n v="0"/>
    <n v="3"/>
    <n v="19"/>
    <n v="1"/>
    <n v="0"/>
    <x v="2"/>
    <x v="15"/>
    <x v="20"/>
    <n v="0"/>
    <n v="0"/>
    <x v="574"/>
  </r>
  <r>
    <n v="11"/>
    <n v="23"/>
    <n v="1"/>
    <n v="20"/>
    <n v="1"/>
    <n v="0"/>
    <x v="0"/>
    <x v="10"/>
    <x v="30"/>
    <n v="555"/>
    <n v="8.5"/>
    <x v="575"/>
  </r>
  <r>
    <n v="20"/>
    <n v="22"/>
    <n v="1"/>
    <n v="8"/>
    <n v="12"/>
    <n v="0"/>
    <x v="4"/>
    <x v="3"/>
    <x v="32"/>
    <n v="717"/>
    <n v="8.9"/>
    <x v="576"/>
  </r>
  <r>
    <n v="19"/>
    <n v="23"/>
    <n v="0"/>
    <n v="6"/>
    <n v="1"/>
    <n v="0"/>
    <x v="6"/>
    <x v="6"/>
    <x v="0"/>
    <n v="0"/>
    <n v="9.1"/>
    <x v="577"/>
  </r>
  <r>
    <n v="12"/>
    <n v="22"/>
    <n v="3"/>
    <n v="0"/>
    <n v="12"/>
    <n v="0"/>
    <x v="10"/>
    <x v="4"/>
    <x v="26"/>
    <n v="587"/>
    <n v="8.6999999999999993"/>
    <x v="578"/>
  </r>
  <r>
    <n v="8"/>
    <n v="21"/>
    <n v="2"/>
    <n v="5"/>
    <n v="1"/>
    <n v="0"/>
    <x v="8"/>
    <x v="13"/>
    <x v="5"/>
    <n v="358"/>
    <n v="9.1999999999999993"/>
    <x v="579"/>
  </r>
  <r>
    <n v="0"/>
    <n v="23"/>
    <n v="0"/>
    <n v="3"/>
    <n v="1"/>
    <n v="0"/>
    <x v="2"/>
    <x v="6"/>
    <x v="15"/>
    <n v="251"/>
    <n v="9.1"/>
    <x v="580"/>
  </r>
  <r>
    <n v="19"/>
    <n v="23"/>
    <n v="1"/>
    <n v="10"/>
    <n v="1"/>
    <n v="0"/>
    <x v="5"/>
    <x v="18"/>
    <x v="8"/>
    <n v="589"/>
    <n v="8.3000000000000007"/>
    <x v="108"/>
  </r>
  <r>
    <n v="14"/>
    <n v="23"/>
    <n v="1"/>
    <n v="16"/>
    <n v="1"/>
    <n v="0"/>
    <x v="4"/>
    <x v="28"/>
    <x v="9"/>
    <n v="599"/>
    <n v="8.8000000000000007"/>
    <x v="581"/>
  </r>
  <r>
    <n v="22"/>
    <n v="23"/>
    <n v="0"/>
    <n v="14"/>
    <n v="12"/>
    <n v="0"/>
    <x v="4"/>
    <x v="7"/>
    <x v="7"/>
    <n v="579"/>
    <n v="7.8"/>
    <x v="582"/>
  </r>
  <r>
    <n v="11"/>
    <n v="22"/>
    <n v="3"/>
    <n v="18"/>
    <n v="1"/>
    <n v="0"/>
    <x v="2"/>
    <x v="13"/>
    <x v="2"/>
    <n v="443"/>
    <n v="0"/>
    <x v="583"/>
  </r>
  <r>
    <n v="20"/>
    <n v="22"/>
    <n v="0"/>
    <n v="22"/>
    <n v="1"/>
    <n v="0"/>
    <x v="8"/>
    <x v="16"/>
    <x v="11"/>
    <n v="473"/>
    <n v="8.1999999999999993"/>
    <x v="584"/>
  </r>
  <r>
    <n v="0"/>
    <n v="23"/>
    <n v="0"/>
    <n v="4"/>
    <n v="1"/>
    <n v="0"/>
    <x v="3"/>
    <x v="10"/>
    <x v="5"/>
    <n v="453"/>
    <n v="8.5"/>
    <x v="585"/>
  </r>
  <r>
    <n v="21"/>
    <n v="23"/>
    <n v="1"/>
    <n v="0"/>
    <n v="1"/>
    <n v="0"/>
    <x v="8"/>
    <x v="9"/>
    <x v="31"/>
    <n v="661"/>
    <n v="7.9"/>
    <x v="586"/>
  </r>
  <r>
    <n v="18"/>
    <n v="22"/>
    <n v="0"/>
    <n v="18"/>
    <n v="1"/>
    <n v="0"/>
    <x v="4"/>
    <x v="8"/>
    <x v="3"/>
    <n v="501"/>
    <n v="8.4"/>
    <x v="587"/>
  </r>
  <r>
    <n v="10"/>
    <n v="20"/>
    <n v="0"/>
    <n v="12"/>
    <n v="1"/>
    <n v="0"/>
    <x v="1"/>
    <x v="29"/>
    <x v="31"/>
    <n v="366"/>
    <n v="9.3000000000000007"/>
    <x v="588"/>
  </r>
  <r>
    <n v="22"/>
    <n v="23"/>
    <n v="0"/>
    <n v="20"/>
    <n v="12"/>
    <n v="0"/>
    <x v="12"/>
    <x v="15"/>
    <x v="18"/>
    <n v="684"/>
    <n v="9.3000000000000007"/>
    <x v="589"/>
  </r>
  <r>
    <n v="10"/>
    <n v="20"/>
    <n v="1"/>
    <n v="0"/>
    <n v="7"/>
    <n v="0"/>
    <x v="1"/>
    <x v="1"/>
    <x v="17"/>
    <n v="423"/>
    <n v="8.3000000000000007"/>
    <x v="590"/>
  </r>
  <r>
    <n v="17"/>
    <n v="23"/>
    <n v="1"/>
    <n v="9"/>
    <n v="0"/>
    <n v="0"/>
    <x v="9"/>
    <x v="17"/>
    <x v="21"/>
    <n v="568"/>
    <n v="8.8000000000000007"/>
    <x v="591"/>
  </r>
  <r>
    <n v="14"/>
    <n v="23"/>
    <n v="0"/>
    <n v="20"/>
    <n v="1"/>
    <n v="0"/>
    <x v="9"/>
    <x v="1"/>
    <x v="25"/>
    <n v="620"/>
    <n v="8.3000000000000007"/>
    <x v="592"/>
  </r>
  <r>
    <n v="0"/>
    <n v="23"/>
    <n v="1"/>
    <n v="6"/>
    <n v="1"/>
    <n v="0"/>
    <x v="4"/>
    <x v="1"/>
    <x v="8"/>
    <n v="607"/>
    <n v="8.3000000000000007"/>
    <x v="593"/>
  </r>
  <r>
    <n v="16"/>
    <n v="22"/>
    <n v="0"/>
    <n v="3"/>
    <n v="1"/>
    <n v="0"/>
    <x v="8"/>
    <x v="5"/>
    <x v="31"/>
    <n v="363"/>
    <n v="7.7"/>
    <x v="594"/>
  </r>
  <r>
    <n v="22"/>
    <n v="23"/>
    <n v="2"/>
    <n v="14"/>
    <n v="1"/>
    <n v="0"/>
    <x v="7"/>
    <x v="5"/>
    <x v="26"/>
    <n v="709"/>
    <n v="7.7"/>
    <x v="595"/>
  </r>
  <r>
    <n v="12"/>
    <n v="23"/>
    <n v="1"/>
    <n v="12"/>
    <n v="12"/>
    <n v="0"/>
    <x v="11"/>
    <x v="3"/>
    <x v="12"/>
    <n v="589"/>
    <n v="8.9"/>
    <x v="596"/>
  </r>
  <r>
    <n v="16"/>
    <n v="22"/>
    <n v="3"/>
    <n v="7"/>
    <n v="1"/>
    <n v="0"/>
    <x v="12"/>
    <x v="6"/>
    <x v="20"/>
    <n v="612"/>
    <n v="9.1"/>
    <x v="597"/>
  </r>
  <r>
    <n v="9"/>
    <n v="22"/>
    <n v="3"/>
    <n v="0"/>
    <n v="0"/>
    <n v="0"/>
    <x v="0"/>
    <x v="14"/>
    <x v="7"/>
    <n v="504"/>
    <n v="7.6"/>
    <x v="158"/>
  </r>
  <r>
    <n v="9"/>
    <n v="21"/>
    <n v="0"/>
    <n v="21"/>
    <n v="1"/>
    <n v="0"/>
    <x v="4"/>
    <x v="1"/>
    <x v="32"/>
    <n v="419"/>
    <n v="8.3000000000000007"/>
    <x v="598"/>
  </r>
  <r>
    <n v="23"/>
    <n v="22"/>
    <n v="1"/>
    <n v="12"/>
    <n v="1"/>
    <n v="0"/>
    <x v="6"/>
    <x v="3"/>
    <x v="14"/>
    <n v="544"/>
    <n v="8.9"/>
    <x v="24"/>
  </r>
  <r>
    <n v="21"/>
    <n v="23"/>
    <n v="2"/>
    <n v="16"/>
    <n v="0"/>
    <n v="0"/>
    <x v="4"/>
    <x v="7"/>
    <x v="1"/>
    <n v="483"/>
    <n v="7.8"/>
    <x v="599"/>
  </r>
  <r>
    <n v="12"/>
    <n v="23"/>
    <n v="1"/>
    <n v="11"/>
    <n v="1"/>
    <n v="0"/>
    <x v="3"/>
    <x v="28"/>
    <x v="9"/>
    <n v="477"/>
    <n v="8.8000000000000007"/>
    <x v="600"/>
  </r>
  <r>
    <n v="20"/>
    <n v="22"/>
    <n v="3"/>
    <n v="18"/>
    <n v="1"/>
    <n v="0"/>
    <x v="2"/>
    <x v="1"/>
    <x v="19"/>
    <n v="512"/>
    <n v="8.3000000000000007"/>
    <x v="601"/>
  </r>
  <r>
    <n v="6"/>
    <n v="17"/>
    <n v="2"/>
    <n v="18"/>
    <n v="0"/>
    <n v="0"/>
    <x v="11"/>
    <x v="15"/>
    <x v="15"/>
    <n v="547"/>
    <n v="9.3000000000000007"/>
    <x v="602"/>
  </r>
  <r>
    <n v="15"/>
    <n v="23"/>
    <n v="1"/>
    <n v="22"/>
    <n v="1"/>
    <n v="0"/>
    <x v="5"/>
    <x v="17"/>
    <x v="1"/>
    <n v="489"/>
    <n v="8.8000000000000007"/>
    <x v="603"/>
  </r>
  <r>
    <n v="21"/>
    <n v="23"/>
    <n v="3"/>
    <n v="7"/>
    <n v="1"/>
    <n v="0"/>
    <x v="1"/>
    <x v="16"/>
    <x v="11"/>
    <n v="483"/>
    <n v="8.1999999999999993"/>
    <x v="397"/>
  </r>
  <r>
    <n v="14"/>
    <n v="0"/>
    <n v="3"/>
    <n v="5"/>
    <n v="1"/>
    <n v="0"/>
    <x v="6"/>
    <x v="7"/>
    <x v="9"/>
    <n v="563"/>
    <n v="7.8"/>
    <x v="604"/>
  </r>
  <r>
    <n v="19"/>
    <n v="22"/>
    <n v="3"/>
    <n v="19"/>
    <n v="1"/>
    <n v="0"/>
    <x v="8"/>
    <x v="6"/>
    <x v="14"/>
    <n v="733"/>
    <n v="9.1"/>
    <x v="605"/>
  </r>
  <r>
    <n v="15"/>
    <n v="23"/>
    <n v="2"/>
    <n v="18"/>
    <n v="1"/>
    <n v="0"/>
    <x v="11"/>
    <x v="1"/>
    <x v="7"/>
    <n v="536"/>
    <n v="8.3000000000000007"/>
    <x v="606"/>
  </r>
  <r>
    <n v="15"/>
    <n v="22"/>
    <n v="3"/>
    <n v="8"/>
    <n v="1"/>
    <n v="0"/>
    <x v="6"/>
    <x v="8"/>
    <x v="6"/>
    <n v="427"/>
    <n v="8.4"/>
    <x v="607"/>
  </r>
  <r>
    <n v="11"/>
    <n v="23"/>
    <n v="1"/>
    <n v="0"/>
    <n v="12"/>
    <n v="0"/>
    <x v="4"/>
    <x v="15"/>
    <x v="25"/>
    <n v="799"/>
    <n v="9.3000000000000007"/>
    <x v="608"/>
  </r>
  <r>
    <n v="9"/>
    <n v="17"/>
    <n v="1"/>
    <n v="15"/>
    <n v="1"/>
    <n v="0"/>
    <x v="7"/>
    <x v="10"/>
    <x v="3"/>
    <n v="319"/>
    <n v="8.5"/>
    <x v="609"/>
  </r>
  <r>
    <n v="16"/>
    <n v="22"/>
    <n v="1"/>
    <n v="21"/>
    <n v="12"/>
    <n v="0"/>
    <x v="6"/>
    <x v="20"/>
    <x v="1"/>
    <n v="730"/>
    <n v="8.5"/>
    <x v="24"/>
  </r>
  <r>
    <n v="12"/>
    <n v="23"/>
    <n v="2"/>
    <n v="20"/>
    <n v="12"/>
    <n v="0"/>
    <x v="3"/>
    <x v="15"/>
    <x v="11"/>
    <n v="713"/>
    <n v="9.3000000000000007"/>
    <x v="610"/>
  </r>
  <r>
    <n v="20"/>
    <n v="22"/>
    <n v="2"/>
    <n v="17"/>
    <n v="1"/>
    <n v="0"/>
    <x v="1"/>
    <x v="5"/>
    <x v="26"/>
    <n v="565"/>
    <n v="7.7"/>
    <x v="611"/>
  </r>
  <r>
    <n v="19"/>
    <n v="22"/>
    <n v="3"/>
    <n v="18"/>
    <n v="1"/>
    <n v="0"/>
    <x v="2"/>
    <x v="10"/>
    <x v="22"/>
    <n v="582"/>
    <n v="8.5"/>
    <x v="612"/>
  </r>
  <r>
    <n v="20"/>
    <n v="22"/>
    <n v="3"/>
    <n v="6"/>
    <n v="1"/>
    <n v="0"/>
    <x v="3"/>
    <x v="1"/>
    <x v="22"/>
    <n v="587"/>
    <n v="8.3000000000000007"/>
    <x v="613"/>
  </r>
  <r>
    <n v="6"/>
    <n v="18"/>
    <n v="0"/>
    <n v="17"/>
    <n v="1"/>
    <n v="0"/>
    <x v="12"/>
    <x v="22"/>
    <x v="32"/>
    <n v="442"/>
    <n v="8.1999999999999993"/>
    <x v="614"/>
  </r>
  <r>
    <n v="0"/>
    <n v="22"/>
    <n v="3"/>
    <n v="18"/>
    <n v="12"/>
    <n v="0"/>
    <x v="9"/>
    <x v="20"/>
    <x v="9"/>
    <n v="789"/>
    <n v="7.8"/>
    <x v="615"/>
  </r>
  <r>
    <n v="17"/>
    <n v="23"/>
    <n v="3"/>
    <n v="7"/>
    <n v="1"/>
    <n v="0"/>
    <x v="7"/>
    <x v="16"/>
    <x v="24"/>
    <n v="513"/>
    <n v="8.1999999999999993"/>
    <x v="302"/>
  </r>
  <r>
    <n v="8"/>
    <n v="17"/>
    <n v="1"/>
    <n v="6"/>
    <n v="1"/>
    <n v="0"/>
    <x v="8"/>
    <x v="0"/>
    <x v="15"/>
    <n v="292"/>
    <n v="8.1"/>
    <x v="616"/>
  </r>
  <r>
    <n v="9"/>
    <n v="19"/>
    <n v="0"/>
    <n v="13"/>
    <n v="7"/>
    <n v="0"/>
    <x v="8"/>
    <x v="9"/>
    <x v="23"/>
    <n v="543"/>
    <n v="7.9"/>
    <x v="617"/>
  </r>
  <r>
    <n v="18"/>
    <n v="23"/>
    <n v="3"/>
    <n v="20"/>
    <n v="1"/>
    <n v="0"/>
    <x v="2"/>
    <x v="17"/>
    <x v="10"/>
    <n v="598"/>
    <n v="8.8000000000000007"/>
    <x v="618"/>
  </r>
  <r>
    <n v="10"/>
    <n v="23"/>
    <n v="1"/>
    <n v="22"/>
    <n v="0"/>
    <n v="0"/>
    <x v="7"/>
    <x v="4"/>
    <x v="16"/>
    <n v="565"/>
    <n v="8.6999999999999993"/>
    <x v="619"/>
  </r>
  <r>
    <n v="22"/>
    <n v="23"/>
    <n v="2"/>
    <n v="21"/>
    <n v="1"/>
    <n v="0"/>
    <x v="7"/>
    <x v="16"/>
    <x v="12"/>
    <n v="737"/>
    <n v="8.1999999999999993"/>
    <x v="620"/>
  </r>
  <r>
    <n v="5"/>
    <n v="17"/>
    <n v="0"/>
    <n v="21"/>
    <n v="7"/>
    <n v="0"/>
    <x v="8"/>
    <x v="27"/>
    <x v="17"/>
    <n v="503"/>
    <n v="8.1"/>
    <x v="621"/>
  </r>
  <r>
    <n v="7"/>
    <n v="21"/>
    <n v="2"/>
    <n v="5"/>
    <n v="1"/>
    <n v="0"/>
    <x v="2"/>
    <x v="13"/>
    <x v="10"/>
    <n v="348"/>
    <n v="9.1999999999999993"/>
    <x v="622"/>
  </r>
  <r>
    <n v="20"/>
    <n v="23"/>
    <n v="1"/>
    <n v="19"/>
    <n v="1"/>
    <n v="0"/>
    <x v="0"/>
    <x v="16"/>
    <x v="16"/>
    <n v="464"/>
    <n v="8.1999999999999993"/>
    <x v="623"/>
  </r>
  <r>
    <n v="11"/>
    <n v="22"/>
    <n v="2"/>
    <n v="19"/>
    <n v="1"/>
    <n v="0"/>
    <x v="1"/>
    <x v="10"/>
    <x v="4"/>
    <n v="461"/>
    <n v="8.5"/>
    <x v="624"/>
  </r>
  <r>
    <n v="21"/>
    <n v="22"/>
    <n v="1"/>
    <n v="8"/>
    <n v="1"/>
    <n v="0"/>
    <x v="3"/>
    <x v="24"/>
    <x v="2"/>
    <n v="608"/>
    <n v="7.6"/>
    <x v="625"/>
  </r>
  <r>
    <n v="0"/>
    <n v="23"/>
    <n v="0"/>
    <n v="6"/>
    <n v="1"/>
    <n v="0"/>
    <x v="6"/>
    <x v="2"/>
    <x v="31"/>
    <n v="564"/>
    <n v="8.9"/>
    <x v="4"/>
  </r>
  <r>
    <n v="19"/>
    <n v="22"/>
    <n v="2"/>
    <n v="16"/>
    <n v="1"/>
    <n v="0"/>
    <x v="11"/>
    <x v="10"/>
    <x v="21"/>
    <n v="700"/>
    <n v="8.5"/>
    <x v="626"/>
  </r>
  <r>
    <n v="0"/>
    <n v="22"/>
    <n v="1"/>
    <n v="6"/>
    <n v="1"/>
    <n v="0"/>
    <x v="10"/>
    <x v="17"/>
    <x v="32"/>
    <n v="524"/>
    <n v="8.8000000000000007"/>
    <x v="446"/>
  </r>
  <r>
    <n v="14"/>
    <n v="22"/>
    <n v="1"/>
    <n v="21"/>
    <n v="1"/>
    <n v="0"/>
    <x v="0"/>
    <x v="15"/>
    <x v="22"/>
    <n v="511"/>
    <n v="9.3000000000000007"/>
    <x v="627"/>
  </r>
  <r>
    <n v="15"/>
    <n v="22"/>
    <n v="3"/>
    <n v="13"/>
    <n v="12"/>
    <n v="0"/>
    <x v="7"/>
    <x v="13"/>
    <x v="13"/>
    <n v="682"/>
    <n v="9.1999999999999993"/>
    <x v="628"/>
  </r>
  <r>
    <n v="17"/>
    <n v="23"/>
    <n v="2"/>
    <n v="8"/>
    <n v="12"/>
    <n v="0"/>
    <x v="6"/>
    <x v="15"/>
    <x v="26"/>
    <n v="598"/>
    <n v="9.3000000000000007"/>
    <x v="629"/>
  </r>
  <r>
    <n v="23"/>
    <n v="23"/>
    <n v="0"/>
    <n v="11"/>
    <n v="1"/>
    <n v="0"/>
    <x v="12"/>
    <x v="16"/>
    <x v="3"/>
    <n v="568"/>
    <n v="8.1999999999999993"/>
    <x v="630"/>
  </r>
  <r>
    <n v="16"/>
    <n v="22"/>
    <n v="1"/>
    <n v="15"/>
    <n v="12"/>
    <n v="0"/>
    <x v="4"/>
    <x v="20"/>
    <x v="16"/>
    <n v="640"/>
    <n v="9.1999999999999993"/>
    <x v="235"/>
  </r>
  <r>
    <n v="10"/>
    <n v="17"/>
    <n v="1"/>
    <n v="10"/>
    <n v="1"/>
    <n v="0"/>
    <x v="0"/>
    <x v="15"/>
    <x v="10"/>
    <n v="243"/>
    <n v="9.3000000000000007"/>
    <x v="631"/>
  </r>
  <r>
    <n v="16"/>
    <n v="23"/>
    <n v="0"/>
    <n v="21"/>
    <n v="1"/>
    <n v="0"/>
    <x v="1"/>
    <x v="7"/>
    <x v="2"/>
    <n v="440"/>
    <n v="0"/>
    <x v="530"/>
  </r>
  <r>
    <n v="18"/>
    <n v="23"/>
    <n v="0"/>
    <n v="12"/>
    <n v="1"/>
    <n v="0"/>
    <x v="6"/>
    <x v="15"/>
    <x v="11"/>
    <n v="480"/>
    <n v="9.3000000000000007"/>
    <x v="632"/>
  </r>
  <r>
    <n v="19"/>
    <n v="22"/>
    <n v="0"/>
    <n v="16"/>
    <n v="1"/>
    <n v="0"/>
    <x v="10"/>
    <x v="7"/>
    <x v="9"/>
    <n v="541"/>
    <n v="7.8"/>
    <x v="633"/>
  </r>
  <r>
    <n v="22"/>
    <n v="22"/>
    <n v="3"/>
    <n v="22"/>
    <n v="0"/>
    <n v="0"/>
    <x v="9"/>
    <x v="3"/>
    <x v="24"/>
    <n v="762"/>
    <n v="8.9"/>
    <x v="634"/>
  </r>
  <r>
    <n v="13"/>
    <n v="23"/>
    <n v="1"/>
    <n v="3"/>
    <n v="1"/>
    <n v="0"/>
    <x v="12"/>
    <x v="15"/>
    <x v="8"/>
    <n v="311"/>
    <n v="9.3000000000000007"/>
    <x v="635"/>
  </r>
  <r>
    <n v="18"/>
    <n v="22"/>
    <n v="2"/>
    <n v="22"/>
    <n v="1"/>
    <n v="0"/>
    <x v="10"/>
    <x v="3"/>
    <x v="27"/>
    <n v="715"/>
    <n v="8.9"/>
    <x v="636"/>
  </r>
  <r>
    <n v="7"/>
    <n v="20"/>
    <n v="2"/>
    <n v="12"/>
    <n v="0"/>
    <n v="0"/>
    <x v="7"/>
    <x v="8"/>
    <x v="15"/>
    <n v="595"/>
    <n v="8.4"/>
    <x v="637"/>
  </r>
  <r>
    <n v="17"/>
    <n v="23"/>
    <n v="1"/>
    <n v="8"/>
    <n v="1"/>
    <n v="0"/>
    <x v="8"/>
    <x v="9"/>
    <x v="17"/>
    <n v="559"/>
    <n v="7.9"/>
    <x v="638"/>
  </r>
  <r>
    <n v="20"/>
    <n v="22"/>
    <n v="3"/>
    <n v="3"/>
    <n v="1"/>
    <n v="0"/>
    <x v="7"/>
    <x v="8"/>
    <x v="20"/>
    <n v="566"/>
    <n v="8.4"/>
    <x v="193"/>
  </r>
  <r>
    <n v="16"/>
    <n v="22"/>
    <n v="2"/>
    <n v="3"/>
    <n v="12"/>
    <n v="0"/>
    <x v="11"/>
    <x v="16"/>
    <x v="0"/>
    <n v="614"/>
    <n v="8.1999999999999993"/>
    <x v="639"/>
  </r>
  <r>
    <n v="12"/>
    <n v="22"/>
    <n v="2"/>
    <n v="6"/>
    <n v="1"/>
    <n v="0"/>
    <x v="9"/>
    <x v="10"/>
    <x v="31"/>
    <n v="0"/>
    <n v="8.5"/>
    <x v="640"/>
  </r>
  <r>
    <n v="8"/>
    <n v="23"/>
    <n v="0"/>
    <n v="15"/>
    <n v="1"/>
    <n v="0"/>
    <x v="1"/>
    <x v="17"/>
    <x v="16"/>
    <n v="537"/>
    <n v="8.8000000000000007"/>
    <x v="641"/>
  </r>
  <r>
    <n v="8"/>
    <n v="23"/>
    <n v="0"/>
    <n v="8"/>
    <n v="1"/>
    <n v="0"/>
    <x v="4"/>
    <x v="14"/>
    <x v="2"/>
    <n v="292"/>
    <n v="7.6"/>
    <x v="24"/>
  </r>
  <r>
    <n v="22"/>
    <n v="22"/>
    <n v="3"/>
    <n v="9"/>
    <n v="0"/>
    <n v="0"/>
    <x v="0"/>
    <x v="13"/>
    <x v="22"/>
    <n v="405"/>
    <n v="9.1999999999999993"/>
    <x v="317"/>
  </r>
  <r>
    <n v="0"/>
    <n v="22"/>
    <n v="2"/>
    <n v="5"/>
    <n v="1"/>
    <n v="0"/>
    <x v="5"/>
    <x v="1"/>
    <x v="4"/>
    <n v="380"/>
    <n v="8.3000000000000007"/>
    <x v="642"/>
  </r>
  <r>
    <n v="11"/>
    <n v="23"/>
    <n v="2"/>
    <n v="15"/>
    <n v="1"/>
    <n v="0"/>
    <x v="12"/>
    <x v="4"/>
    <x v="28"/>
    <n v="668"/>
    <n v="8.6999999999999993"/>
    <x v="25"/>
  </r>
  <r>
    <n v="16"/>
    <n v="23"/>
    <n v="2"/>
    <n v="5"/>
    <n v="1"/>
    <n v="0"/>
    <x v="9"/>
    <x v="3"/>
    <x v="25"/>
    <n v="462"/>
    <n v="8.9"/>
    <x v="24"/>
  </r>
  <r>
    <n v="23"/>
    <n v="22"/>
    <n v="3"/>
    <n v="20"/>
    <n v="12"/>
    <n v="0"/>
    <x v="10"/>
    <x v="10"/>
    <x v="26"/>
    <n v="0"/>
    <n v="8.5"/>
    <x v="643"/>
  </r>
  <r>
    <n v="5"/>
    <n v="23"/>
    <n v="0"/>
    <n v="11"/>
    <n v="1"/>
    <n v="0"/>
    <x v="12"/>
    <x v="4"/>
    <x v="13"/>
    <n v="547"/>
    <n v="8.6999999999999993"/>
    <x v="644"/>
  </r>
  <r>
    <n v="19"/>
    <n v="23"/>
    <n v="1"/>
    <n v="21"/>
    <n v="0"/>
    <n v="0"/>
    <x v="2"/>
    <x v="17"/>
    <x v="23"/>
    <n v="725"/>
    <n v="8.8000000000000007"/>
    <x v="645"/>
  </r>
  <r>
    <n v="17"/>
    <n v="22"/>
    <n v="1"/>
    <n v="18"/>
    <n v="1"/>
    <n v="0"/>
    <x v="0"/>
    <x v="6"/>
    <x v="10"/>
    <n v="463"/>
    <n v="9.1"/>
    <x v="646"/>
  </r>
  <r>
    <n v="15"/>
    <n v="23"/>
    <n v="0"/>
    <n v="22"/>
    <n v="1"/>
    <n v="0"/>
    <x v="11"/>
    <x v="0"/>
    <x v="28"/>
    <n v="505"/>
    <n v="8.1"/>
    <x v="24"/>
  </r>
  <r>
    <n v="12"/>
    <n v="23"/>
    <n v="1"/>
    <n v="7"/>
    <n v="1"/>
    <n v="0"/>
    <x v="6"/>
    <x v="8"/>
    <x v="20"/>
    <n v="459"/>
    <n v="0"/>
    <x v="647"/>
  </r>
  <r>
    <n v="17"/>
    <n v="23"/>
    <n v="0"/>
    <n v="17"/>
    <n v="1"/>
    <n v="0"/>
    <x v="5"/>
    <x v="7"/>
    <x v="0"/>
    <n v="493"/>
    <n v="7.8"/>
    <x v="207"/>
  </r>
  <r>
    <n v="6"/>
    <n v="20"/>
    <n v="3"/>
    <n v="20"/>
    <n v="1"/>
    <n v="0"/>
    <x v="1"/>
    <x v="0"/>
    <x v="21"/>
    <n v="0"/>
    <n v="8.1"/>
    <x v="648"/>
  </r>
  <r>
    <n v="8"/>
    <n v="22"/>
    <n v="0"/>
    <n v="3"/>
    <n v="1"/>
    <n v="0"/>
    <x v="5"/>
    <x v="34"/>
    <x v="15"/>
    <n v="331"/>
    <n v="9.1"/>
    <x v="649"/>
  </r>
  <r>
    <n v="14"/>
    <n v="22"/>
    <n v="2"/>
    <n v="14"/>
    <n v="1"/>
    <n v="0"/>
    <x v="6"/>
    <x v="15"/>
    <x v="10"/>
    <n v="647"/>
    <n v="9.3000000000000007"/>
    <x v="650"/>
  </r>
  <r>
    <n v="0"/>
    <n v="23"/>
    <n v="0"/>
    <n v="3"/>
    <n v="12"/>
    <n v="0"/>
    <x v="7"/>
    <x v="3"/>
    <x v="2"/>
    <n v="491"/>
    <n v="8.9"/>
    <x v="651"/>
  </r>
  <r>
    <n v="20"/>
    <n v="23"/>
    <n v="3"/>
    <n v="5"/>
    <n v="1"/>
    <n v="0"/>
    <x v="4"/>
    <x v="10"/>
    <x v="15"/>
    <n v="656"/>
    <s v="nan "/>
    <x v="652"/>
  </r>
  <r>
    <n v="22"/>
    <n v="23"/>
    <n v="3"/>
    <n v="20"/>
    <n v="1"/>
    <n v="0"/>
    <x v="8"/>
    <x v="19"/>
    <x v="15"/>
    <n v="655"/>
    <n v="7.4"/>
    <x v="324"/>
  </r>
  <r>
    <n v="14"/>
    <n v="23"/>
    <n v="2"/>
    <n v="18"/>
    <n v="1"/>
    <n v="0"/>
    <x v="12"/>
    <x v="30"/>
    <x v="1"/>
    <n v="0"/>
    <n v="7.7"/>
    <x v="653"/>
  </r>
  <r>
    <n v="18"/>
    <n v="22"/>
    <n v="0"/>
    <n v="13"/>
    <n v="1"/>
    <n v="0"/>
    <x v="1"/>
    <x v="8"/>
    <x v="26"/>
    <n v="0"/>
    <n v="0"/>
    <x v="138"/>
  </r>
  <r>
    <n v="5"/>
    <n v="18"/>
    <n v="0"/>
    <n v="9"/>
    <n v="1"/>
    <n v="0"/>
    <x v="8"/>
    <x v="30"/>
    <x v="9"/>
    <n v="386"/>
    <n v="7.7"/>
    <x v="654"/>
  </r>
  <r>
    <n v="12"/>
    <n v="22"/>
    <n v="0"/>
    <n v="6"/>
    <n v="1"/>
    <n v="0"/>
    <x v="0"/>
    <x v="4"/>
    <x v="25"/>
    <n v="0"/>
    <n v="8.6999999999999993"/>
    <x v="655"/>
  </r>
  <r>
    <n v="22"/>
    <n v="22"/>
    <n v="0"/>
    <n v="11"/>
    <n v="0"/>
    <n v="0"/>
    <x v="2"/>
    <x v="4"/>
    <x v="3"/>
    <n v="600"/>
    <n v="8.6999999999999993"/>
    <x v="656"/>
  </r>
  <r>
    <n v="9"/>
    <n v="17"/>
    <n v="3"/>
    <n v="5"/>
    <n v="7"/>
    <n v="0"/>
    <x v="10"/>
    <x v="8"/>
    <x v="32"/>
    <n v="502"/>
    <n v="0"/>
    <x v="24"/>
  </r>
  <r>
    <n v="0"/>
    <n v="23"/>
    <n v="0"/>
    <n v="3"/>
    <n v="1"/>
    <n v="0"/>
    <x v="6"/>
    <x v="30"/>
    <x v="29"/>
    <n v="554"/>
    <n v="7.7"/>
    <x v="258"/>
  </r>
  <r>
    <n v="15"/>
    <n v="23"/>
    <n v="2"/>
    <n v="19"/>
    <n v="1"/>
    <n v="0"/>
    <x v="9"/>
    <x v="34"/>
    <x v="20"/>
    <n v="731"/>
    <n v="9.1"/>
    <x v="657"/>
  </r>
  <r>
    <n v="13"/>
    <n v="0"/>
    <n v="0"/>
    <n v="10"/>
    <n v="12"/>
    <n v="0"/>
    <x v="9"/>
    <x v="10"/>
    <x v="16"/>
    <n v="615"/>
    <n v="8.5"/>
    <x v="350"/>
  </r>
  <r>
    <n v="8"/>
    <n v="20"/>
    <n v="1"/>
    <n v="7"/>
    <n v="1"/>
    <n v="0"/>
    <x v="2"/>
    <x v="10"/>
    <x v="7"/>
    <n v="474"/>
    <n v="8.5"/>
    <x v="658"/>
  </r>
  <r>
    <n v="18"/>
    <n v="22"/>
    <n v="0"/>
    <n v="6"/>
    <n v="1"/>
    <n v="0"/>
    <x v="9"/>
    <x v="20"/>
    <x v="26"/>
    <n v="328"/>
    <n v="7.4"/>
    <x v="659"/>
  </r>
  <r>
    <n v="5"/>
    <n v="17"/>
    <n v="0"/>
    <n v="7"/>
    <n v="1"/>
    <n v="0"/>
    <x v="1"/>
    <x v="20"/>
    <x v="18"/>
    <n v="411"/>
    <n v="8.9"/>
    <x v="660"/>
  </r>
  <r>
    <n v="19"/>
    <n v="23"/>
    <n v="1"/>
    <n v="4"/>
    <n v="1"/>
    <n v="0"/>
    <x v="4"/>
    <x v="4"/>
    <x v="6"/>
    <n v="596"/>
    <n v="8.6999999999999993"/>
    <x v="661"/>
  </r>
  <r>
    <n v="18"/>
    <n v="22"/>
    <n v="2"/>
    <n v="6"/>
    <n v="1"/>
    <n v="0"/>
    <x v="8"/>
    <x v="9"/>
    <x v="21"/>
    <n v="423"/>
    <n v="7.9"/>
    <x v="662"/>
  </r>
  <r>
    <n v="15"/>
    <n v="22"/>
    <n v="0"/>
    <n v="21"/>
    <n v="1"/>
    <n v="0"/>
    <x v="5"/>
    <x v="32"/>
    <x v="7"/>
    <n v="477"/>
    <n v="9.1999999999999993"/>
    <x v="663"/>
  </r>
  <r>
    <n v="7"/>
    <n v="23"/>
    <n v="0"/>
    <n v="7"/>
    <n v="1"/>
    <n v="0"/>
    <x v="9"/>
    <x v="13"/>
    <x v="0"/>
    <n v="414"/>
    <n v="9.1999999999999993"/>
    <x v="664"/>
  </r>
  <r>
    <n v="12"/>
    <n v="22"/>
    <n v="2"/>
    <n v="11"/>
    <n v="1"/>
    <n v="0"/>
    <x v="4"/>
    <x v="10"/>
    <x v="8"/>
    <n v="438"/>
    <n v="8.5"/>
    <x v="665"/>
  </r>
  <r>
    <n v="10"/>
    <n v="17"/>
    <n v="0"/>
    <n v="0"/>
    <n v="1"/>
    <n v="0"/>
    <x v="12"/>
    <x v="20"/>
    <x v="4"/>
    <n v="175"/>
    <n v="7.7"/>
    <x v="666"/>
  </r>
  <r>
    <n v="15"/>
    <n v="0"/>
    <n v="3"/>
    <n v="10"/>
    <n v="1"/>
    <n v="0"/>
    <x v="8"/>
    <x v="18"/>
    <x v="9"/>
    <n v="576"/>
    <n v="8.3000000000000007"/>
    <x v="667"/>
  </r>
  <r>
    <n v="6"/>
    <n v="22"/>
    <n v="3"/>
    <n v="10"/>
    <n v="1"/>
    <n v="0"/>
    <x v="3"/>
    <x v="13"/>
    <x v="0"/>
    <n v="437"/>
    <n v="9.1999999999999993"/>
    <x v="668"/>
  </r>
  <r>
    <n v="15"/>
    <n v="23"/>
    <n v="1"/>
    <n v="3"/>
    <n v="1"/>
    <n v="0"/>
    <x v="12"/>
    <x v="17"/>
    <x v="16"/>
    <n v="510"/>
    <n v="8.8000000000000007"/>
    <x v="669"/>
  </r>
  <r>
    <n v="5"/>
    <n v="17"/>
    <n v="2"/>
    <n v="8"/>
    <n v="1"/>
    <n v="0"/>
    <x v="12"/>
    <x v="16"/>
    <x v="17"/>
    <n v="258"/>
    <n v="8.1999999999999993"/>
    <x v="670"/>
  </r>
  <r>
    <n v="11"/>
    <n v="23"/>
    <n v="2"/>
    <n v="3"/>
    <n v="0"/>
    <n v="0"/>
    <x v="12"/>
    <x v="20"/>
    <x v="7"/>
    <n v="513"/>
    <n v="7.8"/>
    <x v="671"/>
  </r>
  <r>
    <n v="7"/>
    <n v="21"/>
    <n v="0"/>
    <n v="5"/>
    <n v="1"/>
    <n v="0"/>
    <x v="3"/>
    <x v="31"/>
    <x v="16"/>
    <n v="417"/>
    <n v="8.5"/>
    <x v="672"/>
  </r>
  <r>
    <n v="7"/>
    <n v="21"/>
    <n v="0"/>
    <n v="3"/>
    <n v="1"/>
    <n v="0"/>
    <x v="8"/>
    <x v="8"/>
    <x v="5"/>
    <n v="421"/>
    <n v="8.4"/>
    <x v="673"/>
  </r>
  <r>
    <n v="13"/>
    <n v="22"/>
    <n v="2"/>
    <n v="3"/>
    <n v="1"/>
    <n v="0"/>
    <x v="2"/>
    <x v="14"/>
    <x v="8"/>
    <n v="318"/>
    <n v="7.6"/>
    <x v="674"/>
  </r>
  <r>
    <n v="16"/>
    <n v="22"/>
    <n v="3"/>
    <n v="12"/>
    <n v="1"/>
    <n v="0"/>
    <x v="11"/>
    <x v="16"/>
    <x v="25"/>
    <n v="610"/>
    <n v="0"/>
    <x v="675"/>
  </r>
  <r>
    <n v="8"/>
    <n v="20"/>
    <n v="2"/>
    <n v="13"/>
    <n v="1"/>
    <n v="0"/>
    <x v="2"/>
    <x v="9"/>
    <x v="22"/>
    <n v="364"/>
    <n v="7.9"/>
    <x v="676"/>
  </r>
  <r>
    <n v="8"/>
    <n v="17"/>
    <n v="1"/>
    <n v="4"/>
    <n v="7"/>
    <n v="0"/>
    <x v="10"/>
    <x v="9"/>
    <x v="21"/>
    <n v="460"/>
    <n v="7.9"/>
    <x v="477"/>
  </r>
  <r>
    <n v="12"/>
    <n v="22"/>
    <n v="3"/>
    <n v="14"/>
    <n v="1"/>
    <n v="0"/>
    <x v="10"/>
    <x v="15"/>
    <x v="10"/>
    <n v="643"/>
    <n v="9.3000000000000007"/>
    <x v="677"/>
  </r>
  <r>
    <n v="5"/>
    <n v="21"/>
    <n v="3"/>
    <n v="13"/>
    <n v="7"/>
    <n v="0"/>
    <x v="6"/>
    <x v="9"/>
    <x v="20"/>
    <n v="589"/>
    <n v="7.9"/>
    <x v="488"/>
  </r>
  <r>
    <n v="16"/>
    <n v="23"/>
    <n v="0"/>
    <n v="6"/>
    <n v="1"/>
    <n v="0"/>
    <x v="8"/>
    <x v="20"/>
    <x v="23"/>
    <n v="490"/>
    <n v="7.7"/>
    <x v="678"/>
  </r>
  <r>
    <n v="14"/>
    <n v="22"/>
    <n v="0"/>
    <n v="13"/>
    <n v="1"/>
    <n v="0"/>
    <x v="8"/>
    <x v="1"/>
    <x v="13"/>
    <n v="485"/>
    <n v="8.3000000000000007"/>
    <x v="679"/>
  </r>
  <r>
    <n v="9"/>
    <n v="19"/>
    <n v="1"/>
    <n v="12"/>
    <n v="1"/>
    <n v="0"/>
    <x v="3"/>
    <x v="19"/>
    <x v="24"/>
    <n v="472"/>
    <n v="7.4"/>
    <x v="680"/>
  </r>
  <r>
    <n v="22"/>
    <n v="0"/>
    <n v="3"/>
    <n v="3"/>
    <n v="1"/>
    <n v="0"/>
    <x v="4"/>
    <x v="3"/>
    <x v="1"/>
    <n v="392"/>
    <n v="8.9"/>
    <x v="681"/>
  </r>
  <r>
    <n v="13"/>
    <n v="22"/>
    <n v="2"/>
    <n v="21"/>
    <n v="1"/>
    <n v="0"/>
    <x v="11"/>
    <x v="8"/>
    <x v="13"/>
    <n v="546"/>
    <n v="8.4"/>
    <x v="682"/>
  </r>
  <r>
    <n v="23"/>
    <n v="22"/>
    <n v="3"/>
    <n v="20"/>
    <n v="1"/>
    <n v="0"/>
    <x v="9"/>
    <x v="3"/>
    <x v="22"/>
    <n v="629"/>
    <n v="0"/>
    <x v="683"/>
  </r>
  <r>
    <n v="20"/>
    <n v="22"/>
    <n v="3"/>
    <n v="11"/>
    <n v="1"/>
    <n v="0"/>
    <x v="1"/>
    <x v="10"/>
    <x v="14"/>
    <n v="629"/>
    <n v="8.5"/>
    <x v="684"/>
  </r>
  <r>
    <n v="12"/>
    <n v="23"/>
    <n v="0"/>
    <n v="18"/>
    <n v="1"/>
    <n v="0"/>
    <x v="4"/>
    <x v="10"/>
    <x v="4"/>
    <n v="467"/>
    <n v="8.5"/>
    <x v="685"/>
  </r>
  <r>
    <n v="7"/>
    <n v="21"/>
    <n v="3"/>
    <n v="15"/>
    <n v="1"/>
    <n v="0"/>
    <x v="8"/>
    <x v="3"/>
    <x v="25"/>
    <n v="558"/>
    <n v="8.9"/>
    <x v="686"/>
  </r>
  <r>
    <n v="20"/>
    <n v="22"/>
    <n v="0"/>
    <n v="5"/>
    <n v="1"/>
    <n v="0"/>
    <x v="8"/>
    <x v="15"/>
    <x v="21"/>
    <n v="370"/>
    <n v="9.3000000000000007"/>
    <x v="687"/>
  </r>
  <r>
    <n v="11"/>
    <n v="22"/>
    <n v="3"/>
    <n v="14"/>
    <n v="1"/>
    <n v="0"/>
    <x v="5"/>
    <x v="19"/>
    <x v="21"/>
    <n v="427"/>
    <n v="7.4"/>
    <x v="688"/>
  </r>
  <r>
    <n v="5"/>
    <n v="23"/>
    <n v="1"/>
    <n v="11"/>
    <n v="1"/>
    <n v="0"/>
    <x v="12"/>
    <x v="1"/>
    <x v="5"/>
    <n v="571"/>
    <n v="8.3000000000000007"/>
    <x v="689"/>
  </r>
  <r>
    <n v="13"/>
    <n v="22"/>
    <n v="0"/>
    <n v="9"/>
    <n v="1"/>
    <n v="0"/>
    <x v="5"/>
    <x v="13"/>
    <x v="21"/>
    <n v="469"/>
    <n v="9.1999999999999993"/>
    <x v="690"/>
  </r>
  <r>
    <n v="22"/>
    <n v="22"/>
    <n v="2"/>
    <n v="11"/>
    <n v="1"/>
    <n v="0"/>
    <x v="3"/>
    <x v="14"/>
    <x v="27"/>
    <n v="473"/>
    <n v="7.6"/>
    <x v="691"/>
  </r>
  <r>
    <n v="6"/>
    <n v="19"/>
    <n v="2"/>
    <n v="22"/>
    <n v="1"/>
    <n v="0"/>
    <x v="9"/>
    <x v="9"/>
    <x v="0"/>
    <n v="428"/>
    <n v="0"/>
    <x v="692"/>
  </r>
  <r>
    <n v="20"/>
    <n v="23"/>
    <n v="2"/>
    <n v="20"/>
    <n v="12"/>
    <n v="0"/>
    <x v="4"/>
    <x v="17"/>
    <x v="13"/>
    <n v="884"/>
    <n v="8.8000000000000007"/>
    <x v="693"/>
  </r>
  <r>
    <n v="23"/>
    <n v="23"/>
    <n v="0"/>
    <n v="9"/>
    <n v="1"/>
    <n v="0"/>
    <x v="11"/>
    <x v="13"/>
    <x v="0"/>
    <n v="412"/>
    <n v="9.1999999999999993"/>
    <x v="694"/>
  </r>
  <r>
    <n v="5"/>
    <n v="21"/>
    <n v="1"/>
    <n v="17"/>
    <n v="1"/>
    <n v="0"/>
    <x v="1"/>
    <x v="21"/>
    <x v="14"/>
    <n v="507"/>
    <n v="7.4"/>
    <x v="439"/>
  </r>
  <r>
    <n v="9"/>
    <n v="20"/>
    <n v="2"/>
    <n v="9"/>
    <n v="1"/>
    <n v="0"/>
    <x v="11"/>
    <x v="17"/>
    <x v="18"/>
    <n v="281"/>
    <n v="8.8000000000000007"/>
    <x v="695"/>
  </r>
  <r>
    <n v="14"/>
    <n v="22"/>
    <n v="2"/>
    <n v="7"/>
    <n v="1"/>
    <n v="0"/>
    <x v="0"/>
    <x v="4"/>
    <x v="28"/>
    <n v="465"/>
    <n v="8.6999999999999993"/>
    <x v="696"/>
  </r>
  <r>
    <n v="20"/>
    <n v="22"/>
    <n v="2"/>
    <n v="6"/>
    <n v="1"/>
    <n v="0"/>
    <x v="12"/>
    <x v="7"/>
    <x v="2"/>
    <n v="623"/>
    <n v="7.8"/>
    <x v="355"/>
  </r>
  <r>
    <n v="10"/>
    <n v="19"/>
    <n v="0"/>
    <n v="22"/>
    <n v="1"/>
    <n v="0"/>
    <x v="3"/>
    <x v="16"/>
    <x v="10"/>
    <n v="383"/>
    <n v="8.1999999999999993"/>
    <x v="697"/>
  </r>
  <r>
    <n v="0"/>
    <n v="23"/>
    <n v="0"/>
    <n v="7"/>
    <n v="1"/>
    <n v="0"/>
    <x v="11"/>
    <x v="13"/>
    <x v="23"/>
    <n v="284"/>
    <n v="9.1999999999999993"/>
    <x v="698"/>
  </r>
  <r>
    <n v="22"/>
    <n v="0"/>
    <n v="3"/>
    <n v="21"/>
    <n v="1"/>
    <n v="0"/>
    <x v="5"/>
    <x v="16"/>
    <x v="16"/>
    <n v="676"/>
    <n v="8.1999999999999993"/>
    <x v="24"/>
  </r>
  <r>
    <n v="17"/>
    <n v="23"/>
    <n v="0"/>
    <n v="11"/>
    <n v="1"/>
    <n v="0"/>
    <x v="1"/>
    <x v="1"/>
    <x v="25"/>
    <n v="521"/>
    <n v="8.3000000000000007"/>
    <x v="699"/>
  </r>
  <r>
    <n v="7"/>
    <n v="23"/>
    <n v="2"/>
    <n v="15"/>
    <n v="1"/>
    <n v="0"/>
    <x v="11"/>
    <x v="10"/>
    <x v="0"/>
    <n v="593"/>
    <n v="8.5"/>
    <x v="700"/>
  </r>
  <r>
    <n v="6"/>
    <n v="20"/>
    <n v="1"/>
    <n v="20"/>
    <n v="7"/>
    <n v="0"/>
    <x v="11"/>
    <x v="8"/>
    <x v="25"/>
    <n v="584"/>
    <n v="8.4"/>
    <x v="701"/>
  </r>
  <r>
    <n v="18"/>
    <n v="23"/>
    <n v="3"/>
    <n v="16"/>
    <n v="1"/>
    <n v="0"/>
    <x v="9"/>
    <x v="10"/>
    <x v="31"/>
    <n v="714"/>
    <n v="8.5"/>
    <x v="702"/>
  </r>
  <r>
    <n v="0"/>
    <n v="23"/>
    <n v="1"/>
    <n v="17"/>
    <n v="1"/>
    <n v="0"/>
    <x v="6"/>
    <x v="4"/>
    <x v="14"/>
    <n v="462"/>
    <n v="8.6999999999999993"/>
    <x v="703"/>
  </r>
  <r>
    <n v="6"/>
    <n v="20"/>
    <n v="1"/>
    <n v="16"/>
    <n v="1"/>
    <n v="0"/>
    <x v="6"/>
    <x v="3"/>
    <x v="18"/>
    <n v="323"/>
    <n v="0"/>
    <x v="704"/>
  </r>
  <r>
    <n v="8"/>
    <n v="17"/>
    <n v="3"/>
    <n v="3"/>
    <n v="1"/>
    <n v="0"/>
    <x v="5"/>
    <x v="17"/>
    <x v="22"/>
    <n v="376"/>
    <n v="8.8000000000000007"/>
    <x v="24"/>
  </r>
  <r>
    <n v="9"/>
    <n v="19"/>
    <n v="1"/>
    <n v="4"/>
    <n v="7"/>
    <n v="0"/>
    <x v="11"/>
    <x v="5"/>
    <x v="4"/>
    <n v="369"/>
    <n v="7.7"/>
    <x v="705"/>
  </r>
  <r>
    <n v="18"/>
    <n v="22"/>
    <n v="0"/>
    <n v="7"/>
    <n v="1"/>
    <n v="0"/>
    <x v="8"/>
    <x v="3"/>
    <x v="22"/>
    <n v="325"/>
    <n v="8.9"/>
    <x v="706"/>
  </r>
  <r>
    <n v="12"/>
    <n v="22"/>
    <n v="1"/>
    <n v="7"/>
    <n v="1"/>
    <n v="0"/>
    <x v="2"/>
    <x v="8"/>
    <x v="15"/>
    <n v="490"/>
    <n v="8.4"/>
    <x v="707"/>
  </r>
  <r>
    <n v="23"/>
    <n v="23"/>
    <n v="0"/>
    <n v="10"/>
    <n v="1"/>
    <n v="0"/>
    <x v="10"/>
    <x v="6"/>
    <x v="30"/>
    <n v="395"/>
    <n v="9.1"/>
    <x v="708"/>
  </r>
  <r>
    <n v="21"/>
    <n v="22"/>
    <n v="0"/>
    <n v="9"/>
    <n v="1"/>
    <n v="0"/>
    <x v="4"/>
    <x v="21"/>
    <x v="12"/>
    <n v="512"/>
    <n v="7.4"/>
    <x v="709"/>
  </r>
  <r>
    <n v="13"/>
    <n v="0"/>
    <n v="2"/>
    <n v="8"/>
    <n v="1"/>
    <n v="0"/>
    <x v="6"/>
    <x v="7"/>
    <x v="16"/>
    <n v="539"/>
    <n v="7.8"/>
    <x v="295"/>
  </r>
  <r>
    <n v="5"/>
    <n v="0"/>
    <n v="2"/>
    <n v="12"/>
    <n v="1"/>
    <n v="0"/>
    <x v="11"/>
    <x v="14"/>
    <x v="25"/>
    <n v="384"/>
    <n v="0"/>
    <x v="24"/>
  </r>
  <r>
    <n v="0"/>
    <n v="22"/>
    <n v="2"/>
    <n v="10"/>
    <n v="1"/>
    <n v="0"/>
    <x v="8"/>
    <x v="13"/>
    <x v="25"/>
    <n v="473"/>
    <n v="9.1999999999999993"/>
    <x v="710"/>
  </r>
  <r>
    <n v="10"/>
    <n v="0"/>
    <n v="3"/>
    <n v="14"/>
    <n v="1"/>
    <n v="0"/>
    <x v="10"/>
    <x v="13"/>
    <x v="11"/>
    <n v="652"/>
    <n v="9.1999999999999993"/>
    <x v="711"/>
  </r>
  <r>
    <n v="10"/>
    <n v="22"/>
    <n v="1"/>
    <n v="12"/>
    <n v="1"/>
    <n v="0"/>
    <x v="12"/>
    <x v="0"/>
    <x v="27"/>
    <n v="533"/>
    <n v="8.1"/>
    <x v="712"/>
  </r>
  <r>
    <n v="16"/>
    <n v="22"/>
    <n v="3"/>
    <n v="0"/>
    <n v="1"/>
    <n v="0"/>
    <x v="1"/>
    <x v="15"/>
    <x v="10"/>
    <n v="542"/>
    <n v="9.3000000000000007"/>
    <x v="713"/>
  </r>
  <r>
    <n v="22"/>
    <n v="22"/>
    <n v="0"/>
    <n v="9"/>
    <n v="1"/>
    <n v="0"/>
    <x v="11"/>
    <x v="17"/>
    <x v="19"/>
    <n v="500"/>
    <n v="8.8000000000000007"/>
    <x v="714"/>
  </r>
  <r>
    <n v="7"/>
    <n v="19"/>
    <n v="0"/>
    <n v="0"/>
    <n v="7"/>
    <n v="0"/>
    <x v="6"/>
    <x v="8"/>
    <x v="28"/>
    <n v="556"/>
    <n v="8.4"/>
    <x v="715"/>
  </r>
  <r>
    <n v="16"/>
    <n v="22"/>
    <n v="1"/>
    <n v="14"/>
    <n v="1"/>
    <n v="0"/>
    <x v="2"/>
    <x v="7"/>
    <x v="26"/>
    <n v="413"/>
    <n v="0"/>
    <x v="716"/>
  </r>
  <r>
    <n v="17"/>
    <n v="22"/>
    <n v="2"/>
    <n v="7"/>
    <n v="1"/>
    <n v="0"/>
    <x v="0"/>
    <x v="0"/>
    <x v="22"/>
    <n v="439"/>
    <n v="8.1"/>
    <x v="717"/>
  </r>
  <r>
    <n v="9"/>
    <n v="18"/>
    <n v="0"/>
    <n v="4"/>
    <n v="7"/>
    <n v="0"/>
    <x v="7"/>
    <x v="22"/>
    <x v="23"/>
    <n v="268"/>
    <n v="8.1999999999999993"/>
    <x v="718"/>
  </r>
  <r>
    <n v="15"/>
    <n v="22"/>
    <n v="2"/>
    <n v="16"/>
    <n v="0"/>
    <n v="0"/>
    <x v="7"/>
    <x v="1"/>
    <x v="2"/>
    <n v="462"/>
    <n v="8.3000000000000007"/>
    <x v="719"/>
  </r>
  <r>
    <n v="15"/>
    <n v="22"/>
    <n v="1"/>
    <n v="8"/>
    <n v="1"/>
    <n v="0"/>
    <x v="3"/>
    <x v="19"/>
    <x v="28"/>
    <n v="571"/>
    <n v="7.4"/>
    <x v="720"/>
  </r>
  <r>
    <n v="5"/>
    <n v="19"/>
    <n v="0"/>
    <n v="4"/>
    <n v="1"/>
    <n v="0"/>
    <x v="4"/>
    <x v="34"/>
    <x v="6"/>
    <n v="414"/>
    <n v="9.1"/>
    <x v="721"/>
  </r>
  <r>
    <n v="22"/>
    <n v="22"/>
    <n v="1"/>
    <n v="12"/>
    <n v="1"/>
    <n v="0"/>
    <x v="0"/>
    <x v="4"/>
    <x v="19"/>
    <n v="564"/>
    <n v="8.6999999999999993"/>
    <x v="722"/>
  </r>
  <r>
    <n v="0"/>
    <n v="22"/>
    <n v="0"/>
    <n v="0"/>
    <n v="1"/>
    <n v="0"/>
    <x v="2"/>
    <x v="3"/>
    <x v="3"/>
    <n v="495"/>
    <n v="8.9"/>
    <x v="723"/>
  </r>
  <r>
    <n v="17"/>
    <n v="23"/>
    <n v="0"/>
    <n v="14"/>
    <n v="1"/>
    <n v="0"/>
    <x v="11"/>
    <x v="10"/>
    <x v="32"/>
    <n v="458"/>
    <n v="8.5"/>
    <x v="24"/>
  </r>
  <r>
    <n v="20"/>
    <n v="23"/>
    <n v="1"/>
    <n v="16"/>
    <n v="1"/>
    <n v="0"/>
    <x v="11"/>
    <x v="1"/>
    <x v="26"/>
    <n v="699"/>
    <n v="8.3000000000000007"/>
    <x v="724"/>
  </r>
  <r>
    <n v="0"/>
    <n v="22"/>
    <n v="2"/>
    <n v="12"/>
    <n v="1"/>
    <n v="0"/>
    <x v="3"/>
    <x v="3"/>
    <x v="29"/>
    <n v="700"/>
    <n v="8.9"/>
    <x v="725"/>
  </r>
  <r>
    <n v="5"/>
    <n v="21"/>
    <n v="0"/>
    <n v="3"/>
    <n v="0"/>
    <n v="0"/>
    <x v="5"/>
    <x v="10"/>
    <x v="8"/>
    <n v="411"/>
    <n v="8.5"/>
    <x v="726"/>
  </r>
  <r>
    <n v="7"/>
    <n v="17"/>
    <n v="0"/>
    <n v="8"/>
    <n v="1"/>
    <n v="0"/>
    <x v="1"/>
    <x v="24"/>
    <x v="7"/>
    <n v="233"/>
    <n v="7.6"/>
    <x v="727"/>
  </r>
  <r>
    <n v="9"/>
    <n v="17"/>
    <n v="3"/>
    <n v="18"/>
    <n v="1"/>
    <n v="0"/>
    <x v="12"/>
    <x v="9"/>
    <x v="24"/>
    <n v="517"/>
    <n v="0"/>
    <x v="728"/>
  </r>
  <r>
    <n v="13"/>
    <n v="22"/>
    <n v="3"/>
    <n v="12"/>
    <n v="1"/>
    <n v="0"/>
    <x v="1"/>
    <x v="3"/>
    <x v="28"/>
    <n v="607"/>
    <n v="8.9"/>
    <x v="729"/>
  </r>
  <r>
    <n v="10"/>
    <n v="18"/>
    <n v="3"/>
    <n v="15"/>
    <n v="1"/>
    <n v="0"/>
    <x v="9"/>
    <x v="15"/>
    <x v="3"/>
    <n v="513"/>
    <n v="9.3000000000000007"/>
    <x v="264"/>
  </r>
  <r>
    <n v="17"/>
    <n v="22"/>
    <n v="3"/>
    <n v="18"/>
    <n v="1"/>
    <n v="0"/>
    <x v="3"/>
    <x v="5"/>
    <x v="29"/>
    <n v="715"/>
    <n v="7.7"/>
    <x v="730"/>
  </r>
  <r>
    <n v="22"/>
    <n v="23"/>
    <n v="1"/>
    <n v="13"/>
    <n v="1"/>
    <n v="0"/>
    <x v="3"/>
    <x v="15"/>
    <x v="19"/>
    <n v="487"/>
    <n v="9.3000000000000007"/>
    <x v="731"/>
  </r>
  <r>
    <n v="10"/>
    <n v="20"/>
    <n v="3"/>
    <n v="22"/>
    <n v="1"/>
    <n v="0"/>
    <x v="6"/>
    <x v="1"/>
    <x v="32"/>
    <n v="449"/>
    <n v="0"/>
    <x v="732"/>
  </r>
  <r>
    <n v="11"/>
    <n v="22"/>
    <n v="3"/>
    <n v="4"/>
    <n v="1"/>
    <n v="0"/>
    <x v="6"/>
    <x v="4"/>
    <x v="9"/>
    <n v="503"/>
    <n v="8.6999999999999993"/>
    <x v="24"/>
  </r>
  <r>
    <n v="8"/>
    <n v="19"/>
    <n v="2"/>
    <n v="20"/>
    <n v="1"/>
    <n v="0"/>
    <x v="7"/>
    <x v="5"/>
    <x v="32"/>
    <n v="423"/>
    <n v="7.7"/>
    <x v="733"/>
  </r>
  <r>
    <n v="7"/>
    <n v="21"/>
    <n v="2"/>
    <n v="9"/>
    <n v="1"/>
    <n v="0"/>
    <x v="5"/>
    <x v="19"/>
    <x v="5"/>
    <n v="530"/>
    <n v="7.4"/>
    <x v="734"/>
  </r>
  <r>
    <n v="8"/>
    <n v="0"/>
    <n v="3"/>
    <n v="16"/>
    <n v="7"/>
    <n v="0"/>
    <x v="12"/>
    <x v="0"/>
    <x v="27"/>
    <n v="444"/>
    <n v="8.1"/>
    <x v="735"/>
  </r>
  <r>
    <n v="16"/>
    <n v="22"/>
    <n v="0"/>
    <n v="20"/>
    <n v="12"/>
    <n v="0"/>
    <x v="11"/>
    <x v="3"/>
    <x v="25"/>
    <n v="793"/>
    <n v="8.9"/>
    <x v="736"/>
  </r>
  <r>
    <n v="11"/>
    <n v="23"/>
    <n v="0"/>
    <n v="20"/>
    <n v="1"/>
    <n v="0"/>
    <x v="3"/>
    <x v="1"/>
    <x v="32"/>
    <n v="0"/>
    <n v="8.3000000000000007"/>
    <x v="737"/>
  </r>
  <r>
    <n v="7"/>
    <n v="20"/>
    <n v="1"/>
    <n v="10"/>
    <n v="1"/>
    <n v="0"/>
    <x v="6"/>
    <x v="0"/>
    <x v="21"/>
    <n v="490"/>
    <n v="8.1"/>
    <x v="738"/>
  </r>
  <r>
    <n v="19"/>
    <n v="22"/>
    <n v="0"/>
    <n v="4"/>
    <n v="1"/>
    <n v="0"/>
    <x v="2"/>
    <x v="19"/>
    <x v="8"/>
    <n v="521"/>
    <n v="7.4"/>
    <x v="739"/>
  </r>
  <r>
    <n v="7"/>
    <n v="18"/>
    <n v="0"/>
    <n v="21"/>
    <n v="7"/>
    <n v="0"/>
    <x v="8"/>
    <x v="10"/>
    <x v="16"/>
    <n v="476"/>
    <n v="8.5"/>
    <x v="740"/>
  </r>
  <r>
    <n v="0"/>
    <n v="23"/>
    <n v="1"/>
    <n v="6"/>
    <n v="1"/>
    <n v="0"/>
    <x v="5"/>
    <x v="11"/>
    <x v="2"/>
    <n v="505"/>
    <n v="8.4"/>
    <x v="741"/>
  </r>
  <r>
    <n v="21"/>
    <n v="23"/>
    <n v="3"/>
    <n v="22"/>
    <n v="1"/>
    <n v="0"/>
    <x v="10"/>
    <x v="5"/>
    <x v="19"/>
    <n v="590"/>
    <n v="7.7"/>
    <x v="742"/>
  </r>
  <r>
    <n v="8"/>
    <n v="22"/>
    <n v="0"/>
    <n v="8"/>
    <n v="1"/>
    <n v="0"/>
    <x v="8"/>
    <x v="14"/>
    <x v="33"/>
    <n v="0"/>
    <n v="7.6"/>
    <x v="743"/>
  </r>
  <r>
    <n v="8"/>
    <n v="20"/>
    <n v="1"/>
    <n v="0"/>
    <n v="1"/>
    <n v="0"/>
    <x v="0"/>
    <x v="34"/>
    <x v="24"/>
    <n v="472"/>
    <n v="9.1"/>
    <x v="744"/>
  </r>
  <r>
    <n v="17"/>
    <n v="0"/>
    <n v="3"/>
    <n v="8"/>
    <n v="0"/>
    <n v="0"/>
    <x v="0"/>
    <x v="6"/>
    <x v="6"/>
    <n v="641"/>
    <n v="9.1"/>
    <x v="213"/>
  </r>
  <r>
    <n v="12"/>
    <n v="22"/>
    <n v="2"/>
    <n v="4"/>
    <n v="1"/>
    <n v="0"/>
    <x v="0"/>
    <x v="10"/>
    <x v="24"/>
    <n v="377"/>
    <n v="0"/>
    <x v="745"/>
  </r>
  <r>
    <n v="21"/>
    <n v="22"/>
    <n v="1"/>
    <n v="20"/>
    <n v="1"/>
    <n v="0"/>
    <x v="11"/>
    <x v="7"/>
    <x v="2"/>
    <n v="642"/>
    <n v="7.8"/>
    <x v="551"/>
  </r>
  <r>
    <n v="15"/>
    <n v="23"/>
    <n v="1"/>
    <n v="15"/>
    <n v="12"/>
    <n v="0"/>
    <x v="8"/>
    <x v="4"/>
    <x v="12"/>
    <n v="535"/>
    <n v="8.6999999999999993"/>
    <x v="11"/>
  </r>
  <r>
    <n v="19"/>
    <n v="22"/>
    <n v="0"/>
    <n v="10"/>
    <n v="1"/>
    <n v="0"/>
    <x v="6"/>
    <x v="19"/>
    <x v="19"/>
    <n v="408"/>
    <n v="7.4"/>
    <x v="746"/>
  </r>
  <r>
    <n v="12"/>
    <n v="22"/>
    <n v="2"/>
    <n v="16"/>
    <n v="1"/>
    <n v="0"/>
    <x v="7"/>
    <x v="1"/>
    <x v="30"/>
    <n v="415"/>
    <n v="8.3000000000000007"/>
    <x v="747"/>
  </r>
  <r>
    <n v="17"/>
    <n v="0"/>
    <n v="3"/>
    <n v="3"/>
    <n v="1"/>
    <n v="0"/>
    <x v="3"/>
    <x v="4"/>
    <x v="2"/>
    <n v="455"/>
    <n v="8.6999999999999993"/>
    <x v="748"/>
  </r>
  <r>
    <n v="17"/>
    <n v="22"/>
    <n v="3"/>
    <n v="9"/>
    <n v="1"/>
    <n v="0"/>
    <x v="5"/>
    <x v="7"/>
    <x v="9"/>
    <n v="660"/>
    <n v="7.8"/>
    <x v="749"/>
  </r>
  <r>
    <n v="18"/>
    <n v="22"/>
    <n v="0"/>
    <n v="10"/>
    <n v="1"/>
    <n v="0"/>
    <x v="10"/>
    <x v="15"/>
    <x v="15"/>
    <n v="462"/>
    <n v="9.3000000000000007"/>
    <x v="750"/>
  </r>
  <r>
    <n v="14"/>
    <n v="22"/>
    <n v="3"/>
    <n v="9"/>
    <n v="1"/>
    <n v="0"/>
    <x v="6"/>
    <x v="14"/>
    <x v="0"/>
    <n v="541"/>
    <n v="7.6"/>
    <x v="751"/>
  </r>
  <r>
    <n v="9"/>
    <n v="19"/>
    <n v="3"/>
    <n v="15"/>
    <n v="1"/>
    <n v="0"/>
    <x v="0"/>
    <x v="4"/>
    <x v="14"/>
    <n v="493"/>
    <n v="8.6999999999999993"/>
    <x v="752"/>
  </r>
  <r>
    <n v="10"/>
    <n v="18"/>
    <n v="3"/>
    <n v="22"/>
    <n v="1"/>
    <n v="0"/>
    <x v="0"/>
    <x v="7"/>
    <x v="6"/>
    <n v="437"/>
    <n v="7.8"/>
    <x v="753"/>
  </r>
  <r>
    <n v="13"/>
    <n v="22"/>
    <n v="1"/>
    <n v="10"/>
    <n v="1"/>
    <n v="0"/>
    <x v="12"/>
    <x v="8"/>
    <x v="28"/>
    <n v="527"/>
    <n v="8.4"/>
    <x v="754"/>
  </r>
  <r>
    <n v="8"/>
    <n v="23"/>
    <n v="1"/>
    <n v="10"/>
    <n v="1"/>
    <n v="0"/>
    <x v="5"/>
    <x v="16"/>
    <x v="20"/>
    <n v="379"/>
    <n v="8.1999999999999993"/>
    <x v="24"/>
  </r>
  <r>
    <n v="19"/>
    <n v="23"/>
    <n v="0"/>
    <n v="5"/>
    <n v="1"/>
    <n v="0"/>
    <x v="8"/>
    <x v="1"/>
    <x v="3"/>
    <n v="427"/>
    <n v="8.3000000000000007"/>
    <x v="755"/>
  </r>
  <r>
    <n v="15"/>
    <n v="22"/>
    <n v="0"/>
    <n v="8"/>
    <n v="1"/>
    <n v="0"/>
    <x v="11"/>
    <x v="7"/>
    <x v="22"/>
    <n v="403"/>
    <n v="7.8"/>
    <x v="756"/>
  </r>
  <r>
    <n v="11"/>
    <n v="22"/>
    <n v="0"/>
    <n v="5"/>
    <n v="1"/>
    <n v="0"/>
    <x v="9"/>
    <x v="8"/>
    <x v="26"/>
    <n v="344"/>
    <n v="8.4"/>
    <x v="757"/>
  </r>
  <r>
    <n v="22"/>
    <n v="22"/>
    <n v="1"/>
    <n v="16"/>
    <n v="1"/>
    <n v="0"/>
    <x v="7"/>
    <x v="17"/>
    <x v="8"/>
    <n v="532"/>
    <n v="8.8000000000000007"/>
    <x v="758"/>
  </r>
  <r>
    <n v="23"/>
    <n v="22"/>
    <n v="1"/>
    <n v="15"/>
    <n v="1"/>
    <n v="0"/>
    <x v="0"/>
    <x v="13"/>
    <x v="28"/>
    <n v="536"/>
    <n v="9.1999999999999993"/>
    <x v="550"/>
  </r>
  <r>
    <n v="22"/>
    <n v="23"/>
    <n v="2"/>
    <n v="3"/>
    <n v="1"/>
    <n v="0"/>
    <x v="3"/>
    <x v="5"/>
    <x v="30"/>
    <n v="524"/>
    <n v="7.7"/>
    <x v="759"/>
  </r>
  <r>
    <n v="10"/>
    <n v="22"/>
    <n v="0"/>
    <n v="10"/>
    <n v="1"/>
    <n v="0"/>
    <x v="7"/>
    <x v="4"/>
    <x v="5"/>
    <n v="0"/>
    <n v="8.6999999999999993"/>
    <x v="760"/>
  </r>
  <r>
    <n v="8"/>
    <n v="18"/>
    <n v="1"/>
    <n v="4"/>
    <n v="1"/>
    <n v="0"/>
    <x v="3"/>
    <x v="10"/>
    <x v="9"/>
    <n v="413"/>
    <n v="8.5"/>
    <x v="761"/>
  </r>
  <r>
    <n v="11"/>
    <n v="23"/>
    <n v="0"/>
    <n v="22"/>
    <n v="1"/>
    <n v="0"/>
    <x v="0"/>
    <x v="20"/>
    <x v="27"/>
    <n v="508"/>
    <n v="0"/>
    <x v="762"/>
  </r>
  <r>
    <n v="21"/>
    <n v="22"/>
    <n v="2"/>
    <n v="21"/>
    <n v="1"/>
    <n v="0"/>
    <x v="12"/>
    <x v="17"/>
    <x v="5"/>
    <n v="771"/>
    <n v="8.8000000000000007"/>
    <x v="266"/>
  </r>
  <r>
    <n v="7"/>
    <n v="0"/>
    <n v="3"/>
    <n v="3"/>
    <n v="1"/>
    <n v="0"/>
    <x v="8"/>
    <x v="6"/>
    <x v="24"/>
    <n v="545"/>
    <n v="9.1"/>
    <x v="763"/>
  </r>
  <r>
    <n v="6"/>
    <n v="20"/>
    <n v="0"/>
    <n v="18"/>
    <n v="1"/>
    <n v="0"/>
    <x v="0"/>
    <x v="3"/>
    <x v="25"/>
    <n v="335"/>
    <n v="8.9"/>
    <x v="764"/>
  </r>
  <r>
    <n v="8"/>
    <n v="23"/>
    <n v="0"/>
    <n v="22"/>
    <n v="1"/>
    <n v="0"/>
    <x v="12"/>
    <x v="8"/>
    <x v="3"/>
    <n v="457"/>
    <n v="8.4"/>
    <x v="765"/>
  </r>
  <r>
    <n v="20"/>
    <n v="22"/>
    <n v="3"/>
    <n v="6"/>
    <n v="12"/>
    <n v="0"/>
    <x v="2"/>
    <x v="6"/>
    <x v="3"/>
    <n v="0"/>
    <n v="9.1"/>
    <x v="766"/>
  </r>
  <r>
    <n v="11"/>
    <n v="22"/>
    <n v="1"/>
    <n v="14"/>
    <n v="12"/>
    <n v="0"/>
    <x v="0"/>
    <x v="14"/>
    <x v="0"/>
    <n v="450"/>
    <n v="7.6"/>
    <x v="767"/>
  </r>
  <r>
    <n v="15"/>
    <n v="23"/>
    <n v="2"/>
    <n v="20"/>
    <n v="1"/>
    <n v="0"/>
    <x v="12"/>
    <x v="24"/>
    <x v="24"/>
    <n v="743"/>
    <n v="7.6"/>
    <x v="768"/>
  </r>
  <r>
    <n v="9"/>
    <n v="17"/>
    <n v="0"/>
    <n v="16"/>
    <n v="1"/>
    <n v="0"/>
    <x v="12"/>
    <x v="15"/>
    <x v="26"/>
    <n v="313"/>
    <n v="9.3000000000000007"/>
    <x v="769"/>
  </r>
  <r>
    <n v="16"/>
    <n v="23"/>
    <n v="2"/>
    <n v="5"/>
    <n v="1"/>
    <n v="0"/>
    <x v="12"/>
    <x v="3"/>
    <x v="22"/>
    <n v="386"/>
    <n v="8.9"/>
    <x v="770"/>
  </r>
  <r>
    <n v="9"/>
    <n v="17"/>
    <n v="1"/>
    <n v="3"/>
    <n v="1"/>
    <n v="0"/>
    <x v="1"/>
    <x v="14"/>
    <x v="18"/>
    <n v="263"/>
    <n v="7.6"/>
    <x v="771"/>
  </r>
  <r>
    <n v="16"/>
    <n v="23"/>
    <n v="2"/>
    <n v="16"/>
    <n v="12"/>
    <n v="0"/>
    <x v="4"/>
    <x v="3"/>
    <x v="20"/>
    <n v="597"/>
    <n v="8.9"/>
    <x v="772"/>
  </r>
  <r>
    <n v="10"/>
    <n v="18"/>
    <n v="0"/>
    <n v="4"/>
    <n v="1"/>
    <n v="0"/>
    <x v="1"/>
    <x v="17"/>
    <x v="30"/>
    <n v="231"/>
    <n v="8.8000000000000007"/>
    <x v="24"/>
  </r>
  <r>
    <n v="12"/>
    <n v="23"/>
    <n v="1"/>
    <n v="7"/>
    <n v="1"/>
    <n v="0"/>
    <x v="2"/>
    <x v="0"/>
    <x v="15"/>
    <n v="0"/>
    <n v="8.1"/>
    <x v="773"/>
  </r>
  <r>
    <n v="17"/>
    <n v="23"/>
    <n v="1"/>
    <n v="12"/>
    <n v="12"/>
    <n v="0"/>
    <x v="6"/>
    <x v="15"/>
    <x v="19"/>
    <n v="501"/>
    <n v="9.3000000000000007"/>
    <x v="774"/>
  </r>
  <r>
    <n v="7"/>
    <n v="20"/>
    <n v="2"/>
    <n v="11"/>
    <n v="1"/>
    <n v="0"/>
    <x v="11"/>
    <x v="14"/>
    <x v="10"/>
    <n v="351"/>
    <n v="7.6"/>
    <x v="775"/>
  </r>
  <r>
    <n v="23"/>
    <n v="22"/>
    <n v="1"/>
    <n v="3"/>
    <n v="12"/>
    <n v="0"/>
    <x v="5"/>
    <x v="8"/>
    <x v="5"/>
    <n v="461"/>
    <n v="8.4"/>
    <x v="776"/>
  </r>
  <r>
    <n v="12"/>
    <n v="23"/>
    <n v="2"/>
    <n v="13"/>
    <n v="12"/>
    <n v="0"/>
    <x v="10"/>
    <x v="17"/>
    <x v="10"/>
    <n v="544"/>
    <n v="8.8000000000000007"/>
    <x v="777"/>
  </r>
  <r>
    <n v="11"/>
    <n v="22"/>
    <n v="2"/>
    <n v="4"/>
    <n v="1"/>
    <n v="0"/>
    <x v="2"/>
    <x v="10"/>
    <x v="31"/>
    <n v="296"/>
    <n v="8.5"/>
    <x v="97"/>
  </r>
  <r>
    <n v="22"/>
    <n v="22"/>
    <n v="1"/>
    <n v="4"/>
    <n v="1"/>
    <n v="0"/>
    <x v="4"/>
    <x v="0"/>
    <x v="3"/>
    <n v="388"/>
    <n v="8.1"/>
    <x v="778"/>
  </r>
  <r>
    <n v="9"/>
    <n v="0"/>
    <n v="2"/>
    <n v="0"/>
    <n v="7"/>
    <n v="0"/>
    <x v="1"/>
    <x v="6"/>
    <x v="16"/>
    <n v="449"/>
    <n v="9.1"/>
    <x v="779"/>
  </r>
  <r>
    <n v="15"/>
    <n v="23"/>
    <n v="0"/>
    <n v="19"/>
    <n v="1"/>
    <n v="0"/>
    <x v="1"/>
    <x v="6"/>
    <x v="7"/>
    <n v="551"/>
    <n v="9.1"/>
    <x v="780"/>
  </r>
  <r>
    <n v="11"/>
    <n v="23"/>
    <n v="2"/>
    <n v="15"/>
    <n v="1"/>
    <n v="0"/>
    <x v="1"/>
    <x v="1"/>
    <x v="10"/>
    <n v="615"/>
    <n v="8.3000000000000007"/>
    <x v="406"/>
  </r>
  <r>
    <n v="19"/>
    <n v="22"/>
    <n v="2"/>
    <n v="0"/>
    <n v="12"/>
    <n v="0"/>
    <x v="8"/>
    <x v="5"/>
    <x v="24"/>
    <n v="732"/>
    <n v="7.7"/>
    <x v="781"/>
  </r>
  <r>
    <n v="6"/>
    <n v="18"/>
    <n v="0"/>
    <n v="18"/>
    <n v="1"/>
    <n v="0"/>
    <x v="10"/>
    <x v="5"/>
    <x v="14"/>
    <n v="489"/>
    <n v="7.7"/>
    <x v="212"/>
  </r>
  <r>
    <n v="14"/>
    <n v="22"/>
    <n v="3"/>
    <n v="15"/>
    <n v="12"/>
    <n v="0"/>
    <x v="2"/>
    <x v="1"/>
    <x v="20"/>
    <n v="541"/>
    <n v="8.3000000000000007"/>
    <x v="782"/>
  </r>
  <r>
    <n v="11"/>
    <n v="23"/>
    <n v="3"/>
    <n v="19"/>
    <n v="1"/>
    <n v="0"/>
    <x v="5"/>
    <x v="7"/>
    <x v="19"/>
    <n v="712"/>
    <n v="7.8"/>
    <x v="783"/>
  </r>
  <r>
    <n v="21"/>
    <n v="23"/>
    <n v="0"/>
    <n v="13"/>
    <n v="12"/>
    <n v="0"/>
    <x v="3"/>
    <x v="1"/>
    <x v="32"/>
    <n v="644"/>
    <n v="8.3000000000000007"/>
    <x v="784"/>
  </r>
  <r>
    <n v="15"/>
    <n v="22"/>
    <n v="3"/>
    <n v="15"/>
    <n v="12"/>
    <n v="0"/>
    <x v="5"/>
    <x v="17"/>
    <x v="4"/>
    <n v="625"/>
    <n v="8.8000000000000007"/>
    <x v="785"/>
  </r>
  <r>
    <n v="16"/>
    <n v="22"/>
    <n v="3"/>
    <n v="14"/>
    <n v="1"/>
    <n v="0"/>
    <x v="7"/>
    <x v="9"/>
    <x v="4"/>
    <n v="450"/>
    <n v="7.9"/>
    <x v="24"/>
  </r>
  <r>
    <n v="15"/>
    <n v="22"/>
    <n v="0"/>
    <n v="12"/>
    <n v="1"/>
    <n v="0"/>
    <x v="8"/>
    <x v="16"/>
    <x v="17"/>
    <n v="463"/>
    <n v="8.1999999999999993"/>
    <x v="24"/>
  </r>
  <r>
    <n v="6"/>
    <n v="20"/>
    <n v="1"/>
    <n v="15"/>
    <n v="7"/>
    <n v="0"/>
    <x v="3"/>
    <x v="9"/>
    <x v="10"/>
    <n v="454"/>
    <n v="7.9"/>
    <x v="786"/>
  </r>
  <r>
    <n v="19"/>
    <n v="22"/>
    <n v="3"/>
    <n v="14"/>
    <n v="1"/>
    <n v="0"/>
    <x v="3"/>
    <x v="16"/>
    <x v="21"/>
    <n v="527"/>
    <n v="8.1999999999999993"/>
    <x v="787"/>
  </r>
  <r>
    <n v="6"/>
    <n v="22"/>
    <n v="1"/>
    <n v="16"/>
    <n v="1"/>
    <n v="0"/>
    <x v="10"/>
    <x v="31"/>
    <x v="7"/>
    <n v="456"/>
    <n v="8.5"/>
    <x v="788"/>
  </r>
  <r>
    <n v="21"/>
    <n v="23"/>
    <n v="3"/>
    <n v="22"/>
    <n v="1"/>
    <n v="0"/>
    <x v="8"/>
    <x v="13"/>
    <x v="29"/>
    <n v="727"/>
    <n v="9.1999999999999993"/>
    <x v="789"/>
  </r>
  <r>
    <n v="7"/>
    <n v="20"/>
    <n v="0"/>
    <n v="5"/>
    <n v="1"/>
    <n v="0"/>
    <x v="5"/>
    <x v="16"/>
    <x v="11"/>
    <n v="192"/>
    <s v="nan "/>
    <x v="790"/>
  </r>
  <r>
    <n v="11"/>
    <n v="22"/>
    <n v="2"/>
    <n v="7"/>
    <n v="1"/>
    <n v="0"/>
    <x v="5"/>
    <x v="0"/>
    <x v="26"/>
    <n v="492"/>
    <n v="8.1"/>
    <x v="791"/>
  </r>
  <r>
    <n v="19"/>
    <n v="23"/>
    <n v="2"/>
    <n v="7"/>
    <n v="12"/>
    <n v="0"/>
    <x v="10"/>
    <x v="3"/>
    <x v="15"/>
    <n v="674"/>
    <n v="8.9"/>
    <x v="792"/>
  </r>
  <r>
    <n v="19"/>
    <n v="22"/>
    <n v="0"/>
    <n v="16"/>
    <n v="12"/>
    <n v="0"/>
    <x v="7"/>
    <x v="6"/>
    <x v="21"/>
    <n v="687"/>
    <n v="9.1"/>
    <x v="793"/>
  </r>
  <r>
    <n v="11"/>
    <n v="22"/>
    <n v="0"/>
    <n v="10"/>
    <n v="1"/>
    <n v="0"/>
    <x v="12"/>
    <x v="1"/>
    <x v="11"/>
    <n v="533"/>
    <n v="8.3000000000000007"/>
    <x v="794"/>
  </r>
  <r>
    <n v="17"/>
    <n v="22"/>
    <n v="1"/>
    <n v="13"/>
    <n v="1"/>
    <n v="0"/>
    <x v="3"/>
    <x v="16"/>
    <x v="3"/>
    <n v="519"/>
    <n v="8.1999999999999993"/>
    <x v="795"/>
  </r>
  <r>
    <n v="0"/>
    <n v="22"/>
    <n v="1"/>
    <n v="4"/>
    <n v="1"/>
    <n v="0"/>
    <x v="12"/>
    <x v="20"/>
    <x v="6"/>
    <n v="516"/>
    <n v="7.8"/>
    <x v="796"/>
  </r>
  <r>
    <n v="23"/>
    <n v="22"/>
    <n v="0"/>
    <n v="14"/>
    <n v="1"/>
    <n v="0"/>
    <x v="8"/>
    <x v="6"/>
    <x v="23"/>
    <n v="571"/>
    <n v="9.1"/>
    <x v="797"/>
  </r>
  <r>
    <n v="6"/>
    <n v="23"/>
    <n v="1"/>
    <n v="22"/>
    <n v="1"/>
    <n v="0"/>
    <x v="10"/>
    <x v="16"/>
    <x v="21"/>
    <n v="362"/>
    <n v="8.1999999999999993"/>
    <x v="798"/>
  </r>
  <r>
    <n v="0"/>
    <n v="18"/>
    <n v="3"/>
    <n v="14"/>
    <n v="1"/>
    <n v="0"/>
    <x v="5"/>
    <x v="8"/>
    <x v="14"/>
    <n v="383"/>
    <n v="8.4"/>
    <x v="799"/>
  </r>
  <r>
    <n v="0"/>
    <n v="22"/>
    <n v="3"/>
    <n v="5"/>
    <n v="1"/>
    <n v="0"/>
    <x v="5"/>
    <x v="3"/>
    <x v="12"/>
    <n v="574"/>
    <n v="8.9"/>
    <x v="800"/>
  </r>
  <r>
    <n v="7"/>
    <n v="19"/>
    <n v="2"/>
    <n v="19"/>
    <n v="1"/>
    <n v="0"/>
    <x v="6"/>
    <x v="20"/>
    <x v="25"/>
    <n v="494"/>
    <n v="7.7"/>
    <x v="801"/>
  </r>
  <r>
    <n v="5"/>
    <n v="21"/>
    <n v="0"/>
    <n v="5"/>
    <n v="1"/>
    <n v="0"/>
    <x v="12"/>
    <x v="5"/>
    <x v="18"/>
    <n v="316"/>
    <n v="7.7"/>
    <x v="802"/>
  </r>
  <r>
    <n v="11"/>
    <n v="23"/>
    <n v="1"/>
    <n v="8"/>
    <n v="1"/>
    <n v="0"/>
    <x v="2"/>
    <x v="16"/>
    <x v="15"/>
    <n v="510"/>
    <n v="8.1999999999999993"/>
    <x v="803"/>
  </r>
  <r>
    <n v="5"/>
    <n v="0"/>
    <n v="2"/>
    <n v="5"/>
    <n v="7"/>
    <n v="0"/>
    <x v="11"/>
    <x v="19"/>
    <x v="5"/>
    <n v="280"/>
    <n v="7.4"/>
    <x v="804"/>
  </r>
  <r>
    <n v="21"/>
    <n v="23"/>
    <n v="0"/>
    <n v="22"/>
    <n v="1"/>
    <n v="0"/>
    <x v="8"/>
    <x v="5"/>
    <x v="18"/>
    <n v="534"/>
    <n v="7.7"/>
    <x v="805"/>
  </r>
  <r>
    <n v="12"/>
    <n v="22"/>
    <n v="3"/>
    <n v="0"/>
    <n v="1"/>
    <n v="0"/>
    <x v="4"/>
    <x v="1"/>
    <x v="13"/>
    <n v="465"/>
    <n v="8.3000000000000007"/>
    <x v="806"/>
  </r>
  <r>
    <n v="0"/>
    <n v="23"/>
    <n v="3"/>
    <n v="11"/>
    <n v="7"/>
    <n v="0"/>
    <x v="5"/>
    <x v="13"/>
    <x v="19"/>
    <n v="469"/>
    <n v="9.1999999999999993"/>
    <x v="690"/>
  </r>
  <r>
    <n v="0"/>
    <n v="18"/>
    <n v="3"/>
    <n v="15"/>
    <n v="1"/>
    <n v="0"/>
    <x v="0"/>
    <x v="9"/>
    <x v="32"/>
    <n v="520"/>
    <n v="7.9"/>
    <x v="807"/>
  </r>
  <r>
    <n v="23"/>
    <n v="22"/>
    <n v="2"/>
    <n v="17"/>
    <n v="1"/>
    <n v="0"/>
    <x v="2"/>
    <x v="8"/>
    <x v="30"/>
    <n v="497"/>
    <n v="8.4"/>
    <x v="808"/>
  </r>
  <r>
    <n v="22"/>
    <n v="23"/>
    <n v="0"/>
    <n v="0"/>
    <n v="0"/>
    <n v="0"/>
    <x v="6"/>
    <x v="16"/>
    <x v="2"/>
    <n v="540"/>
    <n v="8.1999999999999993"/>
    <x v="809"/>
  </r>
  <r>
    <n v="8"/>
    <n v="19"/>
    <n v="3"/>
    <n v="5"/>
    <n v="7"/>
    <n v="0"/>
    <x v="8"/>
    <x v="8"/>
    <x v="11"/>
    <n v="589"/>
    <n v="8.4"/>
    <x v="810"/>
  </r>
  <r>
    <n v="7"/>
    <n v="18"/>
    <n v="1"/>
    <n v="22"/>
    <n v="1"/>
    <n v="0"/>
    <x v="6"/>
    <x v="9"/>
    <x v="26"/>
    <n v="489"/>
    <n v="7.9"/>
    <x v="811"/>
  </r>
  <r>
    <n v="23"/>
    <n v="22"/>
    <n v="2"/>
    <n v="22"/>
    <n v="0"/>
    <n v="0"/>
    <x v="5"/>
    <x v="1"/>
    <x v="14"/>
    <n v="913"/>
    <n v="8.3000000000000007"/>
    <x v="812"/>
  </r>
  <r>
    <n v="15"/>
    <n v="23"/>
    <n v="2"/>
    <n v="3"/>
    <n v="1"/>
    <n v="0"/>
    <x v="1"/>
    <x v="16"/>
    <x v="32"/>
    <n v="480"/>
    <n v="8.1999999999999993"/>
    <x v="813"/>
  </r>
  <r>
    <n v="11"/>
    <n v="22"/>
    <n v="1"/>
    <n v="12"/>
    <n v="1"/>
    <n v="0"/>
    <x v="6"/>
    <x v="7"/>
    <x v="28"/>
    <n v="338"/>
    <n v="7.8"/>
    <x v="814"/>
  </r>
  <r>
    <n v="10"/>
    <n v="23"/>
    <n v="0"/>
    <n v="5"/>
    <n v="1"/>
    <n v="0"/>
    <x v="0"/>
    <x v="20"/>
    <x v="14"/>
    <n v="213"/>
    <n v="9.3000000000000007"/>
    <x v="815"/>
  </r>
  <r>
    <n v="17"/>
    <n v="23"/>
    <n v="3"/>
    <n v="17"/>
    <n v="1"/>
    <n v="0"/>
    <x v="12"/>
    <x v="3"/>
    <x v="0"/>
    <n v="648"/>
    <n v="8.9"/>
    <x v="816"/>
  </r>
  <r>
    <n v="18"/>
    <n v="22"/>
    <n v="1"/>
    <n v="12"/>
    <n v="12"/>
    <n v="0"/>
    <x v="8"/>
    <x v="3"/>
    <x v="28"/>
    <n v="680"/>
    <n v="8.9"/>
    <x v="817"/>
  </r>
  <r>
    <n v="6"/>
    <n v="18"/>
    <n v="3"/>
    <n v="21"/>
    <n v="1"/>
    <n v="0"/>
    <x v="2"/>
    <x v="13"/>
    <x v="17"/>
    <n v="406"/>
    <n v="9.1999999999999993"/>
    <x v="818"/>
  </r>
  <r>
    <n v="7"/>
    <n v="20"/>
    <n v="2"/>
    <n v="20"/>
    <n v="1"/>
    <n v="0"/>
    <x v="5"/>
    <x v="7"/>
    <x v="30"/>
    <n v="456"/>
    <n v="7.8"/>
    <x v="67"/>
  </r>
  <r>
    <n v="22"/>
    <n v="23"/>
    <n v="2"/>
    <n v="4"/>
    <n v="1"/>
    <n v="0"/>
    <x v="11"/>
    <x v="1"/>
    <x v="11"/>
    <n v="415"/>
    <n v="8.3000000000000007"/>
    <x v="747"/>
  </r>
  <r>
    <n v="13"/>
    <n v="22"/>
    <n v="2"/>
    <n v="10"/>
    <n v="1"/>
    <n v="0"/>
    <x v="8"/>
    <x v="0"/>
    <x v="24"/>
    <n v="595"/>
    <n v="8.1"/>
    <x v="819"/>
  </r>
  <r>
    <n v="19"/>
    <n v="23"/>
    <n v="1"/>
    <n v="10"/>
    <n v="1"/>
    <n v="0"/>
    <x v="5"/>
    <x v="1"/>
    <x v="8"/>
    <n v="589"/>
    <n v="8.3000000000000007"/>
    <x v="108"/>
  </r>
  <r>
    <n v="23"/>
    <n v="23"/>
    <n v="3"/>
    <n v="22"/>
    <n v="1"/>
    <n v="0"/>
    <x v="2"/>
    <x v="20"/>
    <x v="5"/>
    <n v="655"/>
    <n v="7.4"/>
    <x v="324"/>
  </r>
  <r>
    <n v="22"/>
    <n v="22"/>
    <n v="3"/>
    <n v="5"/>
    <n v="1"/>
    <n v="0"/>
    <x v="6"/>
    <x v="6"/>
    <x v="1"/>
    <n v="560"/>
    <n v="9.1"/>
    <x v="820"/>
  </r>
  <r>
    <n v="23"/>
    <n v="22"/>
    <n v="3"/>
    <n v="11"/>
    <n v="1"/>
    <n v="0"/>
    <x v="3"/>
    <x v="8"/>
    <x v="24"/>
    <n v="503"/>
    <n v="8.4"/>
    <x v="821"/>
  </r>
  <r>
    <n v="23"/>
    <n v="23"/>
    <n v="2"/>
    <n v="0"/>
    <n v="12"/>
    <n v="0"/>
    <x v="6"/>
    <x v="16"/>
    <x v="25"/>
    <n v="639"/>
    <n v="8.1999999999999993"/>
    <x v="822"/>
  </r>
  <r>
    <n v="19"/>
    <n v="23"/>
    <n v="2"/>
    <n v="5"/>
    <n v="1"/>
    <n v="0"/>
    <x v="12"/>
    <x v="9"/>
    <x v="13"/>
    <n v="449"/>
    <n v="7.9"/>
    <x v="823"/>
  </r>
  <r>
    <n v="17"/>
    <n v="22"/>
    <n v="3"/>
    <n v="6"/>
    <n v="1"/>
    <n v="0"/>
    <x v="1"/>
    <x v="0"/>
    <x v="8"/>
    <n v="0"/>
    <n v="8.1"/>
    <x v="824"/>
  </r>
  <r>
    <n v="16"/>
    <n v="23"/>
    <n v="2"/>
    <n v="20"/>
    <n v="1"/>
    <n v="0"/>
    <x v="5"/>
    <x v="0"/>
    <x v="26"/>
    <n v="698"/>
    <n v="8.1"/>
    <x v="825"/>
  </r>
  <r>
    <n v="14"/>
    <n v="23"/>
    <n v="3"/>
    <n v="17"/>
    <n v="1"/>
    <n v="0"/>
    <x v="1"/>
    <x v="1"/>
    <x v="5"/>
    <n v="728"/>
    <n v="8.3000000000000007"/>
    <x v="826"/>
  </r>
  <r>
    <n v="5"/>
    <n v="20"/>
    <n v="3"/>
    <n v="11"/>
    <n v="1"/>
    <n v="0"/>
    <x v="12"/>
    <x v="0"/>
    <x v="29"/>
    <n v="547"/>
    <n v="8.1"/>
    <x v="827"/>
  </r>
  <r>
    <n v="16"/>
    <n v="22"/>
    <n v="3"/>
    <n v="3"/>
    <n v="1"/>
    <n v="0"/>
    <x v="8"/>
    <x v="13"/>
    <x v="24"/>
    <n v="601"/>
    <n v="9.1999999999999993"/>
    <x v="303"/>
  </r>
  <r>
    <n v="20"/>
    <n v="22"/>
    <n v="1"/>
    <n v="19"/>
    <n v="1"/>
    <n v="0"/>
    <x v="1"/>
    <x v="0"/>
    <x v="6"/>
    <n v="0"/>
    <n v="8.1"/>
    <x v="828"/>
  </r>
  <r>
    <n v="7"/>
    <n v="20"/>
    <n v="1"/>
    <n v="13"/>
    <n v="1"/>
    <n v="0"/>
    <x v="7"/>
    <x v="4"/>
    <x v="6"/>
    <n v="412"/>
    <n v="8.6999999999999993"/>
    <x v="829"/>
  </r>
  <r>
    <n v="23"/>
    <n v="22"/>
    <n v="3"/>
    <n v="11"/>
    <n v="1"/>
    <n v="0"/>
    <x v="5"/>
    <x v="16"/>
    <x v="28"/>
    <n v="524"/>
    <n v="8.1999999999999993"/>
    <x v="24"/>
  </r>
  <r>
    <n v="0"/>
    <n v="23"/>
    <n v="0"/>
    <n v="14"/>
    <n v="1"/>
    <n v="0"/>
    <x v="3"/>
    <x v="14"/>
    <x v="4"/>
    <n v="0"/>
    <n v="7.6"/>
    <x v="830"/>
  </r>
  <r>
    <n v="15"/>
    <n v="22"/>
    <n v="0"/>
    <n v="18"/>
    <n v="1"/>
    <n v="0"/>
    <x v="12"/>
    <x v="8"/>
    <x v="11"/>
    <n v="400"/>
    <n v="8.4"/>
    <x v="831"/>
  </r>
  <r>
    <n v="13"/>
    <n v="23"/>
    <n v="2"/>
    <n v="10"/>
    <n v="1"/>
    <n v="0"/>
    <x v="1"/>
    <x v="9"/>
    <x v="10"/>
    <n v="508"/>
    <n v="7.9"/>
    <x v="832"/>
  </r>
  <r>
    <n v="14"/>
    <n v="22"/>
    <n v="0"/>
    <n v="10"/>
    <n v="12"/>
    <n v="0"/>
    <x v="9"/>
    <x v="0"/>
    <x v="22"/>
    <n v="701"/>
    <n v="8.1"/>
    <x v="833"/>
  </r>
  <r>
    <n v="11"/>
    <n v="22"/>
    <n v="0"/>
    <n v="22"/>
    <n v="1"/>
    <n v="0"/>
    <x v="1"/>
    <x v="7"/>
    <x v="6"/>
    <n v="641"/>
    <n v="7.8"/>
    <x v="834"/>
  </r>
  <r>
    <n v="14"/>
    <n v="23"/>
    <n v="2"/>
    <n v="5"/>
    <n v="1"/>
    <n v="0"/>
    <x v="8"/>
    <x v="4"/>
    <x v="12"/>
    <n v="367"/>
    <n v="8.6999999999999993"/>
    <x v="835"/>
  </r>
  <r>
    <n v="18"/>
    <n v="22"/>
    <n v="0"/>
    <n v="13"/>
    <n v="12"/>
    <n v="0"/>
    <x v="2"/>
    <x v="30"/>
    <x v="5"/>
    <n v="544"/>
    <n v="7.7"/>
    <x v="836"/>
  </r>
  <r>
    <n v="8"/>
    <n v="21"/>
    <n v="0"/>
    <n v="17"/>
    <n v="1"/>
    <n v="0"/>
    <x v="4"/>
    <x v="4"/>
    <x v="29"/>
    <n v="513"/>
    <n v="8.6999999999999993"/>
    <x v="837"/>
  </r>
  <r>
    <n v="20"/>
    <n v="22"/>
    <n v="3"/>
    <n v="20"/>
    <n v="1"/>
    <n v="0"/>
    <x v="4"/>
    <x v="31"/>
    <x v="31"/>
    <n v="709"/>
    <n v="8.5"/>
    <x v="838"/>
  </r>
  <r>
    <n v="10"/>
    <n v="22"/>
    <n v="3"/>
    <n v="21"/>
    <n v="1"/>
    <n v="0"/>
    <x v="12"/>
    <x v="7"/>
    <x v="14"/>
    <n v="479"/>
    <n v="7.8"/>
    <x v="21"/>
  </r>
  <r>
    <n v="14"/>
    <n v="22"/>
    <n v="3"/>
    <n v="16"/>
    <n v="1"/>
    <n v="0"/>
    <x v="9"/>
    <x v="8"/>
    <x v="7"/>
    <n v="504"/>
    <n v="8.4"/>
    <x v="839"/>
  </r>
  <r>
    <n v="17"/>
    <n v="23"/>
    <n v="1"/>
    <n v="0"/>
    <n v="1"/>
    <n v="0"/>
    <x v="0"/>
    <x v="28"/>
    <x v="5"/>
    <n v="651"/>
    <n v="8.8000000000000007"/>
    <x v="840"/>
  </r>
  <r>
    <n v="11"/>
    <n v="22"/>
    <n v="1"/>
    <n v="0"/>
    <n v="1"/>
    <n v="0"/>
    <x v="3"/>
    <x v="7"/>
    <x v="12"/>
    <n v="596"/>
    <n v="7.8"/>
    <x v="841"/>
  </r>
  <r>
    <n v="5"/>
    <n v="17"/>
    <n v="3"/>
    <n v="22"/>
    <n v="1"/>
    <n v="0"/>
    <x v="10"/>
    <x v="27"/>
    <x v="8"/>
    <n v="364"/>
    <n v="8.5"/>
    <x v="842"/>
  </r>
  <r>
    <n v="21"/>
    <n v="22"/>
    <n v="0"/>
    <n v="14"/>
    <n v="1"/>
    <n v="0"/>
    <x v="11"/>
    <x v="5"/>
    <x v="13"/>
    <n v="611"/>
    <n v="7.7"/>
    <x v="171"/>
  </r>
  <r>
    <n v="13"/>
    <n v="22"/>
    <n v="3"/>
    <n v="7"/>
    <n v="1"/>
    <n v="0"/>
    <x v="5"/>
    <x v="10"/>
    <x v="16"/>
    <n v="443"/>
    <n v="8.5"/>
    <x v="843"/>
  </r>
  <r>
    <n v="7"/>
    <n v="23"/>
    <n v="2"/>
    <n v="18"/>
    <n v="1"/>
    <n v="0"/>
    <x v="10"/>
    <x v="10"/>
    <x v="21"/>
    <n v="662"/>
    <n v="0"/>
    <x v="844"/>
  </r>
  <r>
    <n v="8"/>
    <n v="21"/>
    <n v="3"/>
    <n v="19"/>
    <n v="1"/>
    <n v="0"/>
    <x v="3"/>
    <x v="20"/>
    <x v="21"/>
    <n v="611"/>
    <n v="8.6999999999999993"/>
    <x v="24"/>
  </r>
  <r>
    <n v="16"/>
    <n v="23"/>
    <n v="0"/>
    <n v="14"/>
    <n v="1"/>
    <n v="0"/>
    <x v="9"/>
    <x v="4"/>
    <x v="30"/>
    <n v="535"/>
    <n v="8.6999999999999993"/>
    <x v="11"/>
  </r>
  <r>
    <n v="19"/>
    <n v="23"/>
    <n v="0"/>
    <n v="20"/>
    <n v="12"/>
    <n v="0"/>
    <x v="6"/>
    <x v="14"/>
    <x v="4"/>
    <s v="nan "/>
    <n v="7.6"/>
    <x v="845"/>
  </r>
  <r>
    <n v="15"/>
    <n v="23"/>
    <n v="3"/>
    <n v="4"/>
    <n v="1"/>
    <n v="0"/>
    <x v="11"/>
    <x v="24"/>
    <x v="26"/>
    <n v="569"/>
    <n v="7.6"/>
    <x v="846"/>
  </r>
  <r>
    <n v="14"/>
    <n v="23"/>
    <n v="1"/>
    <n v="13"/>
    <n v="0"/>
    <n v="0"/>
    <x v="5"/>
    <x v="15"/>
    <x v="23"/>
    <n v="529"/>
    <n v="9.3000000000000007"/>
    <x v="847"/>
  </r>
  <r>
    <n v="9"/>
    <n v="18"/>
    <n v="2"/>
    <n v="17"/>
    <n v="7"/>
    <n v="0"/>
    <x v="3"/>
    <x v="16"/>
    <x v="18"/>
    <n v="438"/>
    <n v="8.1999999999999993"/>
    <x v="848"/>
  </r>
  <r>
    <n v="20"/>
    <n v="22"/>
    <n v="2"/>
    <n v="3"/>
    <n v="12"/>
    <n v="0"/>
    <x v="9"/>
    <x v="5"/>
    <x v="24"/>
    <n v="480"/>
    <n v="7.7"/>
    <x v="436"/>
  </r>
  <r>
    <n v="8"/>
    <n v="17"/>
    <n v="2"/>
    <n v="16"/>
    <n v="1"/>
    <n v="0"/>
    <x v="3"/>
    <x v="7"/>
    <x v="11"/>
    <n v="520"/>
    <n v="7.8"/>
    <x v="849"/>
  </r>
  <r>
    <n v="0"/>
    <n v="23"/>
    <n v="1"/>
    <n v="11"/>
    <n v="1"/>
    <n v="0"/>
    <x v="4"/>
    <x v="16"/>
    <x v="6"/>
    <n v="0"/>
    <n v="8.1999999999999993"/>
    <x v="104"/>
  </r>
  <r>
    <n v="15"/>
    <n v="22"/>
    <n v="1"/>
    <n v="22"/>
    <n v="1"/>
    <n v="0"/>
    <x v="0"/>
    <x v="21"/>
    <x v="10"/>
    <n v="584"/>
    <n v="0"/>
    <x v="44"/>
  </r>
  <r>
    <n v="21"/>
    <n v="23"/>
    <n v="3"/>
    <n v="4"/>
    <n v="1"/>
    <n v="0"/>
    <x v="1"/>
    <x v="5"/>
    <x v="21"/>
    <n v="436"/>
    <n v="7.7"/>
    <x v="850"/>
  </r>
  <r>
    <n v="9"/>
    <n v="22"/>
    <n v="2"/>
    <n v="19"/>
    <n v="1"/>
    <n v="0"/>
    <x v="9"/>
    <x v="10"/>
    <x v="29"/>
    <n v="498"/>
    <n v="8.5"/>
    <x v="851"/>
  </r>
  <r>
    <n v="6"/>
    <n v="20"/>
    <n v="0"/>
    <n v="15"/>
    <n v="1"/>
    <n v="0"/>
    <x v="8"/>
    <x v="8"/>
    <x v="6"/>
    <n v="306"/>
    <n v="8.4"/>
    <x v="852"/>
  </r>
  <r>
    <n v="6"/>
    <n v="23"/>
    <n v="0"/>
    <n v="10"/>
    <n v="7"/>
    <n v="0"/>
    <x v="8"/>
    <x v="3"/>
    <x v="6"/>
    <n v="576"/>
    <n v="8.9"/>
    <x v="853"/>
  </r>
  <r>
    <n v="12"/>
    <n v="0"/>
    <n v="1"/>
    <n v="8"/>
    <n v="1"/>
    <n v="0"/>
    <x v="3"/>
    <x v="27"/>
    <x v="3"/>
    <n v="572"/>
    <n v="8.1"/>
    <x v="854"/>
  </r>
  <r>
    <n v="16"/>
    <n v="23"/>
    <n v="2"/>
    <n v="21"/>
    <n v="1"/>
    <n v="0"/>
    <x v="7"/>
    <x v="19"/>
    <x v="0"/>
    <n v="528"/>
    <n v="7.4"/>
    <x v="855"/>
  </r>
  <r>
    <n v="23"/>
    <n v="22"/>
    <n v="3"/>
    <n v="21"/>
    <n v="0"/>
    <n v="0"/>
    <x v="12"/>
    <x v="4"/>
    <x v="13"/>
    <n v="672"/>
    <n v="0"/>
    <x v="856"/>
  </r>
  <r>
    <n v="7"/>
    <n v="21"/>
    <n v="0"/>
    <n v="4"/>
    <n v="1"/>
    <n v="0"/>
    <x v="8"/>
    <x v="8"/>
    <x v="5"/>
    <n v="300"/>
    <n v="8.4"/>
    <x v="857"/>
  </r>
  <r>
    <n v="8"/>
    <n v="17"/>
    <n v="3"/>
    <n v="5"/>
    <n v="1"/>
    <n v="0"/>
    <x v="9"/>
    <x v="1"/>
    <x v="3"/>
    <n v="385"/>
    <n v="8.3000000000000007"/>
    <x v="858"/>
  </r>
  <r>
    <n v="17"/>
    <n v="23"/>
    <n v="3"/>
    <n v="16"/>
    <n v="1"/>
    <n v="0"/>
    <x v="11"/>
    <x v="10"/>
    <x v="1"/>
    <n v="469"/>
    <n v="8.5"/>
    <x v="859"/>
  </r>
  <r>
    <n v="12"/>
    <n v="23"/>
    <n v="0"/>
    <n v="4"/>
    <n v="1"/>
    <n v="0"/>
    <x v="10"/>
    <x v="1"/>
    <x v="23"/>
    <n v="302"/>
    <n v="8.3000000000000007"/>
    <x v="860"/>
  </r>
  <r>
    <n v="17"/>
    <n v="22"/>
    <n v="0"/>
    <n v="21"/>
    <n v="1"/>
    <n v="0"/>
    <x v="3"/>
    <x v="29"/>
    <x v="29"/>
    <n v="634"/>
    <n v="9.3000000000000007"/>
    <x v="861"/>
  </r>
  <r>
    <n v="14"/>
    <n v="22"/>
    <n v="3"/>
    <n v="6"/>
    <n v="1"/>
    <n v="0"/>
    <x v="1"/>
    <x v="3"/>
    <x v="10"/>
    <n v="0"/>
    <n v="8.9"/>
    <x v="862"/>
  </r>
  <r>
    <n v="11"/>
    <n v="23"/>
    <n v="0"/>
    <n v="17"/>
    <n v="1"/>
    <n v="0"/>
    <x v="11"/>
    <x v="20"/>
    <x v="14"/>
    <n v="521"/>
    <n v="7.9"/>
    <x v="863"/>
  </r>
  <r>
    <n v="10"/>
    <n v="17"/>
    <n v="2"/>
    <n v="20"/>
    <n v="7"/>
    <n v="0"/>
    <x v="6"/>
    <x v="19"/>
    <x v="17"/>
    <n v="552"/>
    <n v="7.4"/>
    <x v="864"/>
  </r>
  <r>
    <n v="11"/>
    <n v="23"/>
    <n v="1"/>
    <n v="18"/>
    <n v="12"/>
    <n v="0"/>
    <x v="0"/>
    <x v="16"/>
    <x v="28"/>
    <n v="597"/>
    <n v="8.1999999999999993"/>
    <x v="865"/>
  </r>
  <r>
    <n v="17"/>
    <n v="23"/>
    <n v="2"/>
    <n v="20"/>
    <n v="1"/>
    <n v="0"/>
    <x v="1"/>
    <x v="18"/>
    <x v="2"/>
    <n v="689"/>
    <n v="8.3000000000000007"/>
    <x v="866"/>
  </r>
  <r>
    <n v="5"/>
    <n v="18"/>
    <n v="3"/>
    <n v="9"/>
    <n v="1"/>
    <n v="0"/>
    <x v="0"/>
    <x v="9"/>
    <x v="7"/>
    <n v="458"/>
    <n v="7.9"/>
    <x v="867"/>
  </r>
  <r>
    <n v="17"/>
    <n v="23"/>
    <n v="0"/>
    <n v="22"/>
    <n v="1"/>
    <n v="0"/>
    <x v="12"/>
    <x v="13"/>
    <x v="23"/>
    <n v="472"/>
    <n v="0"/>
    <x v="868"/>
  </r>
  <r>
    <n v="23"/>
    <n v="22"/>
    <n v="2"/>
    <n v="4"/>
    <n v="1"/>
    <n v="0"/>
    <x v="7"/>
    <x v="15"/>
    <x v="32"/>
    <n v="426"/>
    <n v="0"/>
    <x v="869"/>
  </r>
  <r>
    <n v="12"/>
    <n v="23"/>
    <n v="0"/>
    <n v="12"/>
    <n v="1"/>
    <n v="0"/>
    <x v="0"/>
    <x v="19"/>
    <x v="32"/>
    <n v="396"/>
    <n v="0"/>
    <x v="870"/>
  </r>
  <r>
    <n v="12"/>
    <n v="22"/>
    <n v="1"/>
    <n v="11"/>
    <n v="1"/>
    <n v="0"/>
    <x v="12"/>
    <x v="17"/>
    <x v="15"/>
    <n v="349"/>
    <n v="8.8000000000000007"/>
    <x v="871"/>
  </r>
  <r>
    <n v="22"/>
    <n v="0"/>
    <n v="3"/>
    <n v="0"/>
    <n v="0"/>
    <n v="0"/>
    <x v="7"/>
    <x v="0"/>
    <x v="30"/>
    <n v="674"/>
    <n v="8.1"/>
    <x v="872"/>
  </r>
  <r>
    <n v="5"/>
    <n v="20"/>
    <n v="2"/>
    <n v="13"/>
    <n v="7"/>
    <n v="0"/>
    <x v="9"/>
    <x v="0"/>
    <x v="19"/>
    <n v="515"/>
    <n v="8.1"/>
    <x v="873"/>
  </r>
  <r>
    <n v="0"/>
    <n v="18"/>
    <n v="1"/>
    <n v="11"/>
    <n v="1"/>
    <n v="0"/>
    <x v="6"/>
    <x v="8"/>
    <x v="10"/>
    <n v="399"/>
    <n v="8.4"/>
    <x v="874"/>
  </r>
  <r>
    <n v="0"/>
    <n v="22"/>
    <n v="3"/>
    <n v="8"/>
    <n v="1"/>
    <n v="0"/>
    <x v="7"/>
    <x v="6"/>
    <x v="21"/>
    <n v="428"/>
    <n v="9.1"/>
    <x v="875"/>
  </r>
  <r>
    <n v="18"/>
    <n v="22"/>
    <n v="2"/>
    <n v="18"/>
    <n v="1"/>
    <n v="0"/>
    <x v="4"/>
    <x v="6"/>
    <x v="2"/>
    <n v="543"/>
    <n v="9.1"/>
    <x v="876"/>
  </r>
  <r>
    <n v="8"/>
    <n v="21"/>
    <n v="1"/>
    <n v="9"/>
    <n v="1"/>
    <n v="0"/>
    <x v="8"/>
    <x v="7"/>
    <x v="2"/>
    <n v="446"/>
    <n v="7.8"/>
    <x v="877"/>
  </r>
  <r>
    <n v="21"/>
    <n v="22"/>
    <n v="3"/>
    <n v="18"/>
    <n v="1"/>
    <n v="0"/>
    <x v="10"/>
    <x v="29"/>
    <x v="10"/>
    <n v="512"/>
    <n v="9.3000000000000007"/>
    <x v="878"/>
  </r>
  <r>
    <n v="22"/>
    <n v="22"/>
    <n v="0"/>
    <n v="13"/>
    <n v="1"/>
    <n v="0"/>
    <x v="1"/>
    <x v="20"/>
    <x v="2"/>
    <n v="571"/>
    <n v="8.3000000000000007"/>
    <x v="689"/>
  </r>
  <r>
    <n v="7"/>
    <n v="19"/>
    <n v="0"/>
    <n v="10"/>
    <n v="1"/>
    <n v="0"/>
    <x v="7"/>
    <x v="29"/>
    <x v="17"/>
    <n v="258"/>
    <n v="9.3000000000000007"/>
    <x v="879"/>
  </r>
  <r>
    <n v="12"/>
    <n v="22"/>
    <n v="2"/>
    <n v="21"/>
    <n v="1"/>
    <n v="0"/>
    <x v="9"/>
    <x v="17"/>
    <x v="6"/>
    <s v="nan "/>
    <n v="8.8000000000000007"/>
    <x v="880"/>
  </r>
  <r>
    <n v="19"/>
    <n v="22"/>
    <n v="3"/>
    <n v="3"/>
    <n v="12"/>
    <n v="0"/>
    <x v="6"/>
    <x v="15"/>
    <x v="21"/>
    <n v="562"/>
    <n v="9.3000000000000007"/>
    <x v="24"/>
  </r>
  <r>
    <n v="9"/>
    <n v="19"/>
    <n v="0"/>
    <n v="12"/>
    <n v="1"/>
    <n v="0"/>
    <x v="9"/>
    <x v="16"/>
    <x v="9"/>
    <n v="501"/>
    <n v="8.1999999999999993"/>
    <x v="881"/>
  </r>
  <r>
    <n v="13"/>
    <n v="22"/>
    <n v="3"/>
    <n v="4"/>
    <n v="1"/>
    <n v="0"/>
    <x v="0"/>
    <x v="30"/>
    <x v="3"/>
    <n v="507"/>
    <n v="7.7"/>
    <x v="882"/>
  </r>
  <r>
    <n v="7"/>
    <n v="17"/>
    <n v="3"/>
    <n v="0"/>
    <n v="1"/>
    <n v="0"/>
    <x v="7"/>
    <x v="14"/>
    <x v="10"/>
    <n v="254"/>
    <n v="7.6"/>
    <x v="883"/>
  </r>
  <r>
    <n v="5"/>
    <n v="18"/>
    <n v="0"/>
    <n v="5"/>
    <n v="1"/>
    <n v="0"/>
    <x v="11"/>
    <x v="20"/>
    <x v="28"/>
    <n v="375"/>
    <n v="7.8"/>
    <x v="884"/>
  </r>
  <r>
    <n v="6"/>
    <n v="23"/>
    <n v="2"/>
    <n v="11"/>
    <n v="1"/>
    <n v="0"/>
    <x v="1"/>
    <x v="19"/>
    <x v="7"/>
    <n v="0"/>
    <n v="7.4"/>
    <x v="885"/>
  </r>
  <r>
    <n v="12"/>
    <n v="23"/>
    <n v="2"/>
    <n v="7"/>
    <n v="12"/>
    <n v="0"/>
    <x v="1"/>
    <x v="8"/>
    <x v="22"/>
    <n v="564"/>
    <n v="8.4"/>
    <x v="342"/>
  </r>
  <r>
    <n v="20"/>
    <n v="23"/>
    <n v="3"/>
    <n v="17"/>
    <n v="1"/>
    <n v="0"/>
    <x v="9"/>
    <x v="6"/>
    <x v="9"/>
    <n v="568"/>
    <n v="9.1"/>
    <x v="886"/>
  </r>
  <r>
    <n v="12"/>
    <n v="23"/>
    <n v="0"/>
    <n v="10"/>
    <n v="1"/>
    <n v="0"/>
    <x v="9"/>
    <x v="20"/>
    <x v="5"/>
    <n v="543"/>
    <n v="8.8000000000000007"/>
    <x v="887"/>
  </r>
  <r>
    <n v="8"/>
    <n v="18"/>
    <n v="0"/>
    <n v="21"/>
    <n v="1"/>
    <n v="0"/>
    <x v="8"/>
    <x v="9"/>
    <x v="0"/>
    <n v="553"/>
    <n v="0"/>
    <x v="888"/>
  </r>
  <r>
    <n v="16"/>
    <n v="23"/>
    <n v="1"/>
    <n v="20"/>
    <n v="0"/>
    <n v="0"/>
    <x v="3"/>
    <x v="17"/>
    <x v="19"/>
    <n v="766"/>
    <n v="8.8000000000000007"/>
    <x v="889"/>
  </r>
  <r>
    <n v="0"/>
    <n v="23"/>
    <n v="1"/>
    <n v="22"/>
    <n v="1"/>
    <n v="0"/>
    <x v="6"/>
    <x v="8"/>
    <x v="1"/>
    <n v="492"/>
    <n v="8.4"/>
    <x v="512"/>
  </r>
  <r>
    <n v="8"/>
    <n v="19"/>
    <n v="3"/>
    <n v="22"/>
    <n v="1"/>
    <n v="0"/>
    <x v="2"/>
    <x v="22"/>
    <x v="18"/>
    <n v="607"/>
    <n v="8.6999999999999993"/>
    <x v="387"/>
  </r>
  <r>
    <n v="16"/>
    <n v="23"/>
    <n v="1"/>
    <n v="22"/>
    <n v="12"/>
    <n v="0"/>
    <x v="4"/>
    <x v="15"/>
    <x v="12"/>
    <n v="768"/>
    <n v="9.3000000000000007"/>
    <x v="890"/>
  </r>
  <r>
    <n v="23"/>
    <n v="22"/>
    <n v="1"/>
    <n v="16"/>
    <n v="0"/>
    <n v="0"/>
    <x v="10"/>
    <x v="13"/>
    <x v="17"/>
    <n v="719"/>
    <n v="9.1999999999999993"/>
    <x v="891"/>
  </r>
  <r>
    <n v="7"/>
    <n v="19"/>
    <n v="3"/>
    <n v="13"/>
    <n v="1"/>
    <n v="0"/>
    <x v="7"/>
    <x v="19"/>
    <x v="29"/>
    <n v="482"/>
    <n v="7.4"/>
    <x v="892"/>
  </r>
  <r>
    <n v="13"/>
    <n v="22"/>
    <n v="3"/>
    <n v="19"/>
    <n v="12"/>
    <n v="0"/>
    <x v="7"/>
    <x v="5"/>
    <x v="21"/>
    <n v="750"/>
    <n v="7.7"/>
    <x v="893"/>
  </r>
  <r>
    <n v="9"/>
    <n v="23"/>
    <n v="3"/>
    <n v="15"/>
    <n v="7"/>
    <n v="0"/>
    <x v="9"/>
    <x v="1"/>
    <x v="20"/>
    <n v="529"/>
    <n v="8.3000000000000007"/>
    <x v="894"/>
  </r>
  <r>
    <n v="8"/>
    <n v="20"/>
    <n v="3"/>
    <n v="13"/>
    <n v="7"/>
    <n v="0"/>
    <x v="1"/>
    <x v="8"/>
    <x v="2"/>
    <n v="594"/>
    <n v="8.4"/>
    <x v="895"/>
  </r>
  <r>
    <n v="10"/>
    <n v="0"/>
    <n v="2"/>
    <n v="9"/>
    <n v="1"/>
    <n v="0"/>
    <x v="7"/>
    <x v="3"/>
    <x v="19"/>
    <n v="0"/>
    <n v="8.9"/>
    <x v="896"/>
  </r>
  <r>
    <n v="18"/>
    <n v="22"/>
    <n v="1"/>
    <n v="16"/>
    <n v="1"/>
    <n v="0"/>
    <x v="12"/>
    <x v="16"/>
    <x v="29"/>
    <n v="599"/>
    <n v="8.1999999999999993"/>
    <x v="897"/>
  </r>
  <r>
    <n v="7"/>
    <n v="20"/>
    <n v="3"/>
    <n v="13"/>
    <n v="1"/>
    <n v="0"/>
    <x v="11"/>
    <x v="3"/>
    <x v="25"/>
    <n v="508"/>
    <n v="8.9"/>
    <x v="898"/>
  </r>
  <r>
    <n v="10"/>
    <n v="19"/>
    <n v="0"/>
    <n v="9"/>
    <n v="7"/>
    <n v="0"/>
    <x v="7"/>
    <x v="6"/>
    <x v="16"/>
    <n v="369"/>
    <n v="9.1"/>
    <x v="899"/>
  </r>
  <r>
    <n v="14"/>
    <n v="22"/>
    <n v="2"/>
    <n v="0"/>
    <n v="1"/>
    <n v="0"/>
    <x v="10"/>
    <x v="3"/>
    <x v="0"/>
    <n v="606"/>
    <n v="8.9"/>
    <x v="900"/>
  </r>
  <r>
    <n v="8"/>
    <n v="19"/>
    <n v="3"/>
    <n v="19"/>
    <n v="1"/>
    <n v="0"/>
    <x v="3"/>
    <x v="1"/>
    <x v="10"/>
    <n v="431"/>
    <n v="8.3000000000000007"/>
    <x v="901"/>
  </r>
  <r>
    <n v="8"/>
    <n v="20"/>
    <n v="0"/>
    <n v="7"/>
    <n v="0"/>
    <n v="0"/>
    <x v="4"/>
    <x v="15"/>
    <x v="15"/>
    <n v="422"/>
    <n v="9.3000000000000007"/>
    <x v="902"/>
  </r>
  <r>
    <n v="9"/>
    <n v="20"/>
    <n v="0"/>
    <n v="5"/>
    <n v="1"/>
    <n v="0"/>
    <x v="11"/>
    <x v="13"/>
    <x v="14"/>
    <n v="309"/>
    <n v="9.1999999999999993"/>
    <x v="903"/>
  </r>
  <r>
    <n v="9"/>
    <n v="23"/>
    <n v="0"/>
    <n v="9"/>
    <n v="1"/>
    <n v="0"/>
    <x v="6"/>
    <x v="8"/>
    <x v="9"/>
    <n v="525"/>
    <n v="8.4"/>
    <x v="904"/>
  </r>
  <r>
    <n v="11"/>
    <n v="23"/>
    <n v="3"/>
    <n v="0"/>
    <n v="1"/>
    <n v="0"/>
    <x v="12"/>
    <x v="8"/>
    <x v="30"/>
    <n v="678"/>
    <n v="8.4"/>
    <x v="905"/>
  </r>
  <r>
    <n v="8"/>
    <n v="21"/>
    <n v="0"/>
    <n v="9"/>
    <n v="1"/>
    <n v="0"/>
    <x v="8"/>
    <x v="5"/>
    <x v="2"/>
    <n v="317"/>
    <n v="7.7"/>
    <x v="906"/>
  </r>
  <r>
    <n v="13"/>
    <n v="22"/>
    <n v="2"/>
    <n v="20"/>
    <n v="12"/>
    <n v="0"/>
    <x v="5"/>
    <x v="15"/>
    <x v="16"/>
    <n v="585"/>
    <n v="9.3000000000000007"/>
    <x v="907"/>
  </r>
  <r>
    <n v="22"/>
    <n v="22"/>
    <n v="2"/>
    <n v="15"/>
    <n v="1"/>
    <n v="0"/>
    <x v="6"/>
    <x v="13"/>
    <x v="12"/>
    <n v="690"/>
    <n v="0"/>
    <x v="908"/>
  </r>
  <r>
    <n v="22"/>
    <n v="23"/>
    <n v="0"/>
    <n v="21"/>
    <n v="1"/>
    <n v="0"/>
    <x v="6"/>
    <x v="5"/>
    <x v="23"/>
    <n v="576"/>
    <n v="7.7"/>
    <x v="238"/>
  </r>
  <r>
    <n v="22"/>
    <n v="22"/>
    <n v="0"/>
    <n v="14"/>
    <n v="1"/>
    <n v="0"/>
    <x v="4"/>
    <x v="3"/>
    <x v="14"/>
    <n v="411"/>
    <n v="8.9"/>
    <x v="660"/>
  </r>
  <r>
    <n v="18"/>
    <n v="22"/>
    <n v="1"/>
    <n v="0"/>
    <n v="1"/>
    <n v="0"/>
    <x v="5"/>
    <x v="7"/>
    <x v="4"/>
    <n v="609"/>
    <n v="7.8"/>
    <x v="164"/>
  </r>
  <r>
    <n v="21"/>
    <n v="22"/>
    <n v="2"/>
    <n v="15"/>
    <n v="1"/>
    <n v="0"/>
    <x v="12"/>
    <x v="15"/>
    <x v="32"/>
    <n v="460"/>
    <n v="9.3000000000000007"/>
    <x v="909"/>
  </r>
  <r>
    <n v="7"/>
    <n v="23"/>
    <n v="1"/>
    <n v="14"/>
    <n v="1"/>
    <n v="0"/>
    <x v="11"/>
    <x v="20"/>
    <x v="18"/>
    <n v="0"/>
    <n v="8.8000000000000007"/>
    <x v="910"/>
  </r>
  <r>
    <n v="7"/>
    <n v="18"/>
    <n v="3"/>
    <n v="18"/>
    <n v="7"/>
    <n v="0"/>
    <x v="3"/>
    <x v="10"/>
    <x v="10"/>
    <n v="663"/>
    <n v="8.5"/>
    <x v="911"/>
  </r>
  <r>
    <n v="10"/>
    <n v="23"/>
    <n v="2"/>
    <n v="22"/>
    <n v="1"/>
    <n v="0"/>
    <x v="0"/>
    <x v="9"/>
    <x v="7"/>
    <n v="0"/>
    <n v="7.9"/>
    <x v="912"/>
  </r>
  <r>
    <n v="17"/>
    <n v="22"/>
    <n v="2"/>
    <n v="7"/>
    <n v="1"/>
    <n v="0"/>
    <x v="9"/>
    <x v="4"/>
    <x v="29"/>
    <n v="525"/>
    <n v="8.6999999999999993"/>
    <x v="482"/>
  </r>
  <r>
    <n v="9"/>
    <n v="23"/>
    <n v="3"/>
    <n v="5"/>
    <n v="1"/>
    <n v="0"/>
    <x v="7"/>
    <x v="20"/>
    <x v="31"/>
    <n v="0"/>
    <n v="9.3000000000000007"/>
    <x v="913"/>
  </r>
  <r>
    <n v="14"/>
    <n v="22"/>
    <n v="0"/>
    <n v="10"/>
    <n v="12"/>
    <n v="0"/>
    <x v="11"/>
    <x v="1"/>
    <x v="8"/>
    <n v="423"/>
    <n v="8.3000000000000007"/>
    <x v="590"/>
  </r>
  <r>
    <n v="22"/>
    <n v="22"/>
    <n v="2"/>
    <n v="10"/>
    <n v="1"/>
    <n v="0"/>
    <x v="10"/>
    <x v="3"/>
    <x v="2"/>
    <n v="578"/>
    <n v="8.9"/>
    <x v="330"/>
  </r>
  <r>
    <n v="7"/>
    <n v="22"/>
    <n v="3"/>
    <n v="21"/>
    <n v="1"/>
    <n v="0"/>
    <x v="7"/>
    <x v="13"/>
    <x v="11"/>
    <n v="475"/>
    <n v="9.1999999999999993"/>
    <x v="914"/>
  </r>
  <r>
    <n v="11"/>
    <n v="23"/>
    <n v="3"/>
    <n v="20"/>
    <n v="1"/>
    <n v="0"/>
    <x v="1"/>
    <x v="19"/>
    <x v="29"/>
    <n v="632"/>
    <n v="7.4"/>
    <x v="915"/>
  </r>
  <r>
    <n v="22"/>
    <n v="22"/>
    <n v="1"/>
    <n v="10"/>
    <n v="12"/>
    <n v="0"/>
    <x v="5"/>
    <x v="16"/>
    <x v="12"/>
    <n v="697"/>
    <n v="8.1999999999999993"/>
    <x v="916"/>
  </r>
  <r>
    <n v="13"/>
    <n v="22"/>
    <n v="0"/>
    <n v="18"/>
    <n v="1"/>
    <n v="0"/>
    <x v="7"/>
    <x v="19"/>
    <x v="28"/>
    <n v="471"/>
    <n v="7.4"/>
    <x v="917"/>
  </r>
  <r>
    <n v="0"/>
    <n v="22"/>
    <n v="2"/>
    <n v="6"/>
    <n v="1"/>
    <n v="0"/>
    <x v="1"/>
    <x v="2"/>
    <x v="32"/>
    <n v="589"/>
    <n v="8.9"/>
    <x v="596"/>
  </r>
  <r>
    <n v="18"/>
    <n v="0"/>
    <n v="3"/>
    <n v="12"/>
    <n v="1"/>
    <n v="0"/>
    <x v="0"/>
    <x v="10"/>
    <x v="10"/>
    <n v="431"/>
    <n v="8.5"/>
    <x v="918"/>
  </r>
  <r>
    <n v="5"/>
    <n v="22"/>
    <n v="3"/>
    <n v="9"/>
    <n v="1"/>
    <n v="0"/>
    <x v="5"/>
    <x v="15"/>
    <x v="7"/>
    <n v="0"/>
    <n v="9.3000000000000007"/>
    <x v="919"/>
  </r>
  <r>
    <n v="6"/>
    <n v="21"/>
    <n v="2"/>
    <n v="7"/>
    <n v="1"/>
    <n v="0"/>
    <x v="8"/>
    <x v="17"/>
    <x v="3"/>
    <n v="281"/>
    <n v="8.8000000000000007"/>
    <x v="695"/>
  </r>
  <r>
    <n v="18"/>
    <n v="23"/>
    <n v="3"/>
    <n v="17"/>
    <n v="12"/>
    <n v="0"/>
    <x v="7"/>
    <x v="1"/>
    <x v="20"/>
    <n v="812"/>
    <n v="8.3000000000000007"/>
    <x v="920"/>
  </r>
  <r>
    <n v="10"/>
    <n v="23"/>
    <n v="2"/>
    <n v="19"/>
    <n v="1"/>
    <n v="0"/>
    <x v="8"/>
    <x v="1"/>
    <x v="15"/>
    <n v="504"/>
    <n v="8.3000000000000007"/>
    <x v="921"/>
  </r>
  <r>
    <n v="23"/>
    <n v="22"/>
    <n v="3"/>
    <n v="22"/>
    <n v="0"/>
    <n v="0"/>
    <x v="6"/>
    <x v="6"/>
    <x v="15"/>
    <n v="811"/>
    <n v="9.1"/>
    <x v="922"/>
  </r>
  <r>
    <n v="19"/>
    <n v="23"/>
    <n v="1"/>
    <n v="4"/>
    <n v="1"/>
    <n v="0"/>
    <x v="2"/>
    <x v="13"/>
    <x v="14"/>
    <n v="396"/>
    <n v="9.1999999999999993"/>
    <x v="923"/>
  </r>
  <r>
    <n v="8"/>
    <n v="20"/>
    <n v="0"/>
    <n v="21"/>
    <n v="7"/>
    <n v="0"/>
    <x v="7"/>
    <x v="8"/>
    <x v="16"/>
    <n v="644"/>
    <n v="8.4"/>
    <x v="924"/>
  </r>
  <r>
    <n v="19"/>
    <n v="23"/>
    <n v="2"/>
    <n v="20"/>
    <n v="1"/>
    <n v="0"/>
    <x v="10"/>
    <x v="13"/>
    <x v="5"/>
    <n v="608"/>
    <n v="9.1999999999999993"/>
    <x v="925"/>
  </r>
  <r>
    <n v="11"/>
    <n v="23"/>
    <n v="0"/>
    <n v="20"/>
    <n v="1"/>
    <n v="0"/>
    <x v="8"/>
    <x v="10"/>
    <x v="4"/>
    <n v="497"/>
    <n v="8.5"/>
    <x v="926"/>
  </r>
  <r>
    <n v="6"/>
    <n v="21"/>
    <n v="0"/>
    <n v="13"/>
    <n v="1"/>
    <n v="0"/>
    <x v="6"/>
    <x v="9"/>
    <x v="14"/>
    <n v="367"/>
    <n v="7.9"/>
    <x v="927"/>
  </r>
  <r>
    <n v="23"/>
    <n v="23"/>
    <n v="2"/>
    <n v="11"/>
    <n v="1"/>
    <n v="0"/>
    <x v="9"/>
    <x v="16"/>
    <x v="26"/>
    <n v="542"/>
    <n v="8.1999999999999993"/>
    <x v="928"/>
  </r>
  <r>
    <n v="11"/>
    <n v="23"/>
    <n v="0"/>
    <n v="9"/>
    <n v="12"/>
    <n v="0"/>
    <x v="2"/>
    <x v="20"/>
    <x v="22"/>
    <n v="602"/>
    <n v="8.6999999999999993"/>
    <x v="929"/>
  </r>
  <r>
    <n v="20"/>
    <n v="22"/>
    <n v="1"/>
    <n v="14"/>
    <n v="1"/>
    <n v="0"/>
    <x v="11"/>
    <x v="19"/>
    <x v="0"/>
    <n v="645"/>
    <n v="7.4"/>
    <x v="930"/>
  </r>
  <r>
    <n v="9"/>
    <n v="20"/>
    <n v="0"/>
    <n v="6"/>
    <n v="7"/>
    <n v="0"/>
    <x v="6"/>
    <x v="10"/>
    <x v="22"/>
    <n v="258"/>
    <n v="8.5"/>
    <x v="931"/>
  </r>
  <r>
    <n v="17"/>
    <n v="22"/>
    <n v="3"/>
    <n v="21"/>
    <n v="0"/>
    <n v="0"/>
    <x v="5"/>
    <x v="4"/>
    <x v="15"/>
    <n v="888"/>
    <n v="8.6999999999999993"/>
    <x v="932"/>
  </r>
  <r>
    <n v="20"/>
    <n v="22"/>
    <n v="2"/>
    <n v="18"/>
    <n v="1"/>
    <n v="0"/>
    <x v="1"/>
    <x v="13"/>
    <x v="24"/>
    <n v="0"/>
    <n v="9.1999999999999993"/>
    <x v="933"/>
  </r>
  <r>
    <n v="21"/>
    <n v="22"/>
    <n v="2"/>
    <n v="19"/>
    <n v="12"/>
    <n v="0"/>
    <x v="5"/>
    <x v="16"/>
    <x v="19"/>
    <n v="717"/>
    <n v="8.1999999999999993"/>
    <x v="934"/>
  </r>
  <r>
    <n v="6"/>
    <n v="21"/>
    <n v="1"/>
    <n v="22"/>
    <n v="7"/>
    <n v="0"/>
    <x v="10"/>
    <x v="16"/>
    <x v="17"/>
    <n v="598"/>
    <n v="8.1999999999999993"/>
    <x v="935"/>
  </r>
  <r>
    <n v="9"/>
    <n v="22"/>
    <n v="2"/>
    <n v="0"/>
    <n v="1"/>
    <n v="0"/>
    <x v="11"/>
    <x v="4"/>
    <x v="21"/>
    <n v="334"/>
    <n v="8.6999999999999993"/>
    <x v="936"/>
  </r>
  <r>
    <n v="20"/>
    <n v="22"/>
    <n v="1"/>
    <n v="5"/>
    <n v="12"/>
    <n v="0"/>
    <x v="0"/>
    <x v="8"/>
    <x v="0"/>
    <n v="528"/>
    <n v="8.4"/>
    <x v="406"/>
  </r>
  <r>
    <n v="13"/>
    <n v="22"/>
    <n v="1"/>
    <n v="13"/>
    <n v="1"/>
    <n v="0"/>
    <x v="2"/>
    <x v="0"/>
    <x v="2"/>
    <n v="477"/>
    <n v="0"/>
    <x v="325"/>
  </r>
  <r>
    <n v="10"/>
    <n v="21"/>
    <n v="3"/>
    <n v="3"/>
    <n v="1"/>
    <n v="0"/>
    <x v="2"/>
    <x v="19"/>
    <x v="4"/>
    <n v="288"/>
    <n v="0"/>
    <x v="937"/>
  </r>
  <r>
    <n v="7"/>
    <n v="22"/>
    <n v="0"/>
    <n v="4"/>
    <n v="1"/>
    <n v="0"/>
    <x v="11"/>
    <x v="13"/>
    <x v="7"/>
    <n v="459"/>
    <n v="9.1999999999999993"/>
    <x v="406"/>
  </r>
  <r>
    <n v="21"/>
    <n v="22"/>
    <n v="2"/>
    <n v="15"/>
    <n v="1"/>
    <n v="0"/>
    <x v="9"/>
    <x v="17"/>
    <x v="5"/>
    <n v="617"/>
    <n v="8.8000000000000007"/>
    <x v="938"/>
  </r>
  <r>
    <n v="14"/>
    <n v="22"/>
    <n v="1"/>
    <n v="4"/>
    <n v="12"/>
    <n v="0"/>
    <x v="3"/>
    <x v="5"/>
    <x v="20"/>
    <n v="453"/>
    <n v="7.7"/>
    <x v="939"/>
  </r>
  <r>
    <n v="15"/>
    <n v="22"/>
    <n v="1"/>
    <n v="6"/>
    <n v="12"/>
    <n v="0"/>
    <x v="6"/>
    <x v="14"/>
    <x v="8"/>
    <n v="556"/>
    <n v="7.6"/>
    <x v="940"/>
  </r>
  <r>
    <n v="8"/>
    <n v="22"/>
    <n v="0"/>
    <n v="19"/>
    <n v="7"/>
    <n v="0"/>
    <x v="12"/>
    <x v="23"/>
    <x v="30"/>
    <n v="508"/>
    <n v="7.8"/>
    <x v="941"/>
  </r>
  <r>
    <n v="8"/>
    <n v="19"/>
    <n v="2"/>
    <n v="20"/>
    <n v="1"/>
    <n v="0"/>
    <x v="8"/>
    <x v="5"/>
    <x v="25"/>
    <n v="476"/>
    <n v="7.7"/>
    <x v="24"/>
  </r>
  <r>
    <n v="19"/>
    <n v="22"/>
    <n v="2"/>
    <n v="11"/>
    <n v="1"/>
    <n v="0"/>
    <x v="4"/>
    <x v="16"/>
    <x v="23"/>
    <n v="480"/>
    <n v="8.1999999999999993"/>
    <x v="813"/>
  </r>
  <r>
    <n v="17"/>
    <n v="22"/>
    <n v="0"/>
    <n v="13"/>
    <n v="1"/>
    <n v="0"/>
    <x v="12"/>
    <x v="0"/>
    <x v="3"/>
    <n v="467"/>
    <n v="8.1"/>
    <x v="208"/>
  </r>
  <r>
    <n v="22"/>
    <n v="23"/>
    <n v="2"/>
    <n v="6"/>
    <n v="1"/>
    <n v="0"/>
    <x v="7"/>
    <x v="16"/>
    <x v="28"/>
    <n v="448"/>
    <n v="8.1999999999999993"/>
    <x v="942"/>
  </r>
  <r>
    <n v="14"/>
    <n v="22"/>
    <n v="2"/>
    <n v="20"/>
    <n v="1"/>
    <n v="0"/>
    <x v="2"/>
    <x v="8"/>
    <x v="31"/>
    <n v="657"/>
    <n v="8.4"/>
    <x v="24"/>
  </r>
  <r>
    <n v="7"/>
    <n v="17"/>
    <n v="2"/>
    <n v="16"/>
    <n v="7"/>
    <n v="0"/>
    <x v="5"/>
    <x v="3"/>
    <x v="1"/>
    <n v="489"/>
    <n v="8.9"/>
    <x v="943"/>
  </r>
  <r>
    <n v="8"/>
    <n v="18"/>
    <n v="3"/>
    <n v="19"/>
    <n v="1"/>
    <n v="0"/>
    <x v="2"/>
    <x v="8"/>
    <x v="33"/>
    <n v="388"/>
    <n v="8.4"/>
    <x v="944"/>
  </r>
  <r>
    <n v="0"/>
    <n v="23"/>
    <n v="3"/>
    <n v="12"/>
    <n v="1"/>
    <n v="0"/>
    <x v="1"/>
    <x v="19"/>
    <x v="30"/>
    <n v="566"/>
    <n v="7.4"/>
    <x v="945"/>
  </r>
  <r>
    <n v="20"/>
    <n v="22"/>
    <n v="0"/>
    <n v="13"/>
    <n v="1"/>
    <n v="0"/>
    <x v="9"/>
    <x v="17"/>
    <x v="1"/>
    <n v="460"/>
    <n v="8.8000000000000007"/>
    <x v="946"/>
  </r>
  <r>
    <n v="16"/>
    <n v="23"/>
    <n v="0"/>
    <n v="19"/>
    <n v="1"/>
    <n v="0"/>
    <x v="1"/>
    <x v="0"/>
    <x v="3"/>
    <n v="585"/>
    <n v="8.1"/>
    <x v="406"/>
  </r>
  <r>
    <n v="15"/>
    <n v="23"/>
    <n v="0"/>
    <n v="14"/>
    <n v="12"/>
    <n v="0"/>
    <x v="5"/>
    <x v="7"/>
    <x v="25"/>
    <n v="550"/>
    <n v="7.8"/>
    <x v="217"/>
  </r>
  <r>
    <n v="20"/>
    <n v="22"/>
    <n v="3"/>
    <n v="9"/>
    <n v="1"/>
    <n v="0"/>
    <x v="5"/>
    <x v="20"/>
    <x v="20"/>
    <n v="533"/>
    <n v="7.9"/>
    <x v="947"/>
  </r>
  <r>
    <n v="14"/>
    <n v="22"/>
    <n v="1"/>
    <n v="17"/>
    <n v="1"/>
    <n v="0"/>
    <x v="8"/>
    <x v="8"/>
    <x v="9"/>
    <n v="600"/>
    <n v="8.4"/>
    <x v="948"/>
  </r>
  <r>
    <n v="19"/>
    <n v="22"/>
    <n v="0"/>
    <n v="17"/>
    <n v="1"/>
    <n v="0"/>
    <x v="9"/>
    <x v="5"/>
    <x v="16"/>
    <n v="464"/>
    <n v="7.7"/>
    <x v="949"/>
  </r>
  <r>
    <n v="22"/>
    <n v="22"/>
    <n v="0"/>
    <n v="8"/>
    <n v="12"/>
    <n v="0"/>
    <x v="3"/>
    <x v="9"/>
    <x v="30"/>
    <n v="556"/>
    <n v="7.9"/>
    <x v="950"/>
  </r>
  <r>
    <n v="0"/>
    <n v="18"/>
    <n v="1"/>
    <n v="12"/>
    <n v="1"/>
    <n v="0"/>
    <x v="1"/>
    <x v="20"/>
    <x v="6"/>
    <n v="454"/>
    <n v="7.9"/>
    <x v="786"/>
  </r>
  <r>
    <n v="9"/>
    <n v="21"/>
    <n v="0"/>
    <n v="3"/>
    <n v="1"/>
    <n v="0"/>
    <x v="3"/>
    <x v="12"/>
    <x v="23"/>
    <n v="314"/>
    <n v="8.6999999999999993"/>
    <x v="951"/>
  </r>
  <r>
    <n v="20"/>
    <n v="23"/>
    <n v="0"/>
    <n v="12"/>
    <n v="1"/>
    <n v="0"/>
    <x v="9"/>
    <x v="28"/>
    <x v="15"/>
    <n v="686"/>
    <n v="8.8000000000000007"/>
    <x v="406"/>
  </r>
  <r>
    <n v="5"/>
    <n v="17"/>
    <n v="0"/>
    <n v="6"/>
    <n v="7"/>
    <n v="0"/>
    <x v="2"/>
    <x v="19"/>
    <x v="31"/>
    <n v="210"/>
    <n v="7.4"/>
    <x v="952"/>
  </r>
  <r>
    <n v="7"/>
    <n v="17"/>
    <n v="1"/>
    <n v="12"/>
    <n v="1"/>
    <n v="0"/>
    <x v="12"/>
    <x v="3"/>
    <x v="2"/>
    <n v="488"/>
    <n v="8.9"/>
    <x v="953"/>
  </r>
  <r>
    <n v="14"/>
    <n v="22"/>
    <n v="1"/>
    <n v="14"/>
    <n v="1"/>
    <n v="0"/>
    <x v="9"/>
    <x v="1"/>
    <x v="24"/>
    <n v="384"/>
    <n v="8.3000000000000007"/>
    <x v="954"/>
  </r>
  <r>
    <n v="9"/>
    <n v="22"/>
    <n v="2"/>
    <n v="16"/>
    <n v="1"/>
    <n v="0"/>
    <x v="1"/>
    <x v="30"/>
    <x v="25"/>
    <n v="586"/>
    <n v="7.7"/>
    <x v="24"/>
  </r>
  <r>
    <n v="14"/>
    <n v="22"/>
    <n v="0"/>
    <n v="11"/>
    <n v="1"/>
    <n v="0"/>
    <x v="10"/>
    <x v="7"/>
    <x v="11"/>
    <n v="598"/>
    <n v="7.8"/>
    <x v="955"/>
  </r>
  <r>
    <n v="20"/>
    <n v="23"/>
    <n v="0"/>
    <n v="15"/>
    <n v="1"/>
    <n v="0"/>
    <x v="12"/>
    <x v="8"/>
    <x v="13"/>
    <n v="500"/>
    <n v="8.4"/>
    <x v="956"/>
  </r>
  <r>
    <n v="7"/>
    <n v="22"/>
    <n v="2"/>
    <n v="16"/>
    <n v="1"/>
    <n v="0"/>
    <x v="1"/>
    <x v="3"/>
    <x v="31"/>
    <n v="515"/>
    <n v="8.9"/>
    <x v="957"/>
  </r>
  <r>
    <n v="7"/>
    <n v="18"/>
    <n v="0"/>
    <n v="11"/>
    <n v="1"/>
    <n v="0"/>
    <x v="6"/>
    <x v="9"/>
    <x v="20"/>
    <n v="218"/>
    <n v="0"/>
    <x v="958"/>
  </r>
  <r>
    <n v="22"/>
    <n v="23"/>
    <n v="1"/>
    <n v="14"/>
    <n v="1"/>
    <n v="0"/>
    <x v="11"/>
    <x v="4"/>
    <x v="32"/>
    <n v="631"/>
    <n v="8.6999999999999993"/>
    <x v="959"/>
  </r>
  <r>
    <n v="10"/>
    <n v="17"/>
    <n v="2"/>
    <n v="12"/>
    <n v="1"/>
    <n v="0"/>
    <x v="4"/>
    <x v="3"/>
    <x v="9"/>
    <n v="295"/>
    <n v="8.9"/>
    <x v="960"/>
  </r>
  <r>
    <n v="10"/>
    <n v="19"/>
    <n v="0"/>
    <n v="3"/>
    <n v="1"/>
    <n v="0"/>
    <x v="7"/>
    <x v="17"/>
    <x v="27"/>
    <n v="421"/>
    <n v="8.8000000000000007"/>
    <x v="24"/>
  </r>
  <r>
    <n v="22"/>
    <n v="22"/>
    <n v="2"/>
    <n v="18"/>
    <n v="1"/>
    <n v="0"/>
    <x v="5"/>
    <x v="13"/>
    <x v="20"/>
    <n v="726"/>
    <n v="9.1999999999999993"/>
    <x v="961"/>
  </r>
  <r>
    <n v="20"/>
    <n v="23"/>
    <n v="2"/>
    <n v="12"/>
    <n v="1"/>
    <n v="0"/>
    <x v="1"/>
    <x v="10"/>
    <x v="22"/>
    <n v="615"/>
    <n v="8.5"/>
    <x v="350"/>
  </r>
  <r>
    <n v="7"/>
    <n v="23"/>
    <n v="2"/>
    <n v="9"/>
    <n v="1"/>
    <n v="0"/>
    <x v="7"/>
    <x v="0"/>
    <x v="11"/>
    <n v="481"/>
    <n v="8.1"/>
    <x v="962"/>
  </r>
  <r>
    <n v="5"/>
    <n v="19"/>
    <n v="2"/>
    <n v="18"/>
    <n v="7"/>
    <n v="0"/>
    <x v="10"/>
    <x v="16"/>
    <x v="28"/>
    <n v="505"/>
    <n v="8.1999999999999993"/>
    <x v="963"/>
  </r>
  <r>
    <n v="22"/>
    <n v="23"/>
    <n v="0"/>
    <n v="21"/>
    <n v="1"/>
    <n v="0"/>
    <x v="8"/>
    <x v="10"/>
    <x v="28"/>
    <n v="492"/>
    <n v="8.5"/>
    <x v="803"/>
  </r>
  <r>
    <n v="17"/>
    <n v="22"/>
    <n v="3"/>
    <n v="3"/>
    <n v="1"/>
    <n v="0"/>
    <x v="12"/>
    <x v="30"/>
    <x v="30"/>
    <n v="429"/>
    <n v="7.7"/>
    <x v="964"/>
  </r>
  <r>
    <n v="7"/>
    <n v="19"/>
    <n v="0"/>
    <n v="6"/>
    <n v="1"/>
    <n v="0"/>
    <x v="11"/>
    <x v="1"/>
    <x v="0"/>
    <n v="395"/>
    <n v="8.3000000000000007"/>
    <x v="965"/>
  </r>
  <r>
    <n v="11"/>
    <n v="0"/>
    <n v="1"/>
    <n v="11"/>
    <n v="1"/>
    <n v="0"/>
    <x v="6"/>
    <x v="32"/>
    <x v="3"/>
    <n v="452"/>
    <n v="9.1999999999999993"/>
    <x v="966"/>
  </r>
  <r>
    <n v="8"/>
    <n v="22"/>
    <n v="2"/>
    <n v="8"/>
    <n v="1"/>
    <n v="0"/>
    <x v="9"/>
    <x v="14"/>
    <x v="31"/>
    <n v="360"/>
    <n v="7.6"/>
    <x v="967"/>
  </r>
  <r>
    <n v="14"/>
    <n v="22"/>
    <n v="0"/>
    <n v="0"/>
    <n v="1"/>
    <n v="0"/>
    <x v="8"/>
    <x v="6"/>
    <x v="2"/>
    <n v="574"/>
    <n v="0"/>
    <x v="968"/>
  </r>
  <r>
    <n v="22"/>
    <n v="22"/>
    <n v="3"/>
    <n v="4"/>
    <n v="1"/>
    <n v="0"/>
    <x v="6"/>
    <x v="16"/>
    <x v="2"/>
    <n v="643"/>
    <n v="8.1999999999999993"/>
    <x v="969"/>
  </r>
  <r>
    <n v="20"/>
    <n v="22"/>
    <n v="0"/>
    <n v="18"/>
    <n v="1"/>
    <n v="0"/>
    <x v="1"/>
    <x v="19"/>
    <x v="6"/>
    <n v="678"/>
    <n v="7.4"/>
    <x v="970"/>
  </r>
  <r>
    <n v="17"/>
    <n v="23"/>
    <n v="2"/>
    <n v="5"/>
    <n v="1"/>
    <n v="0"/>
    <x v="2"/>
    <x v="13"/>
    <x v="30"/>
    <n v="451"/>
    <n v="9.1999999999999993"/>
    <x v="971"/>
  </r>
  <r>
    <n v="11"/>
    <n v="23"/>
    <n v="3"/>
    <n v="20"/>
    <n v="1"/>
    <n v="0"/>
    <x v="3"/>
    <x v="20"/>
    <x v="20"/>
    <n v="648"/>
    <s v="nan "/>
    <x v="816"/>
  </r>
  <r>
    <n v="9"/>
    <n v="17"/>
    <n v="0"/>
    <n v="11"/>
    <n v="7"/>
    <n v="0"/>
    <x v="5"/>
    <x v="4"/>
    <x v="8"/>
    <n v="348"/>
    <n v="8.6999999999999993"/>
    <x v="24"/>
  </r>
  <r>
    <n v="9"/>
    <n v="17"/>
    <n v="3"/>
    <n v="9"/>
    <n v="0"/>
    <n v="0"/>
    <x v="7"/>
    <x v="15"/>
    <x v="27"/>
    <n v="389"/>
    <n v="9.3000000000000007"/>
    <x v="972"/>
  </r>
  <r>
    <n v="12"/>
    <n v="22"/>
    <n v="1"/>
    <n v="5"/>
    <n v="12"/>
    <n v="0"/>
    <x v="6"/>
    <x v="8"/>
    <x v="2"/>
    <n v="389"/>
    <n v="8.4"/>
    <x v="973"/>
  </r>
  <r>
    <n v="7"/>
    <n v="23"/>
    <n v="3"/>
    <n v="7"/>
    <n v="1"/>
    <n v="0"/>
    <x v="4"/>
    <x v="9"/>
    <x v="28"/>
    <n v="564"/>
    <n v="0"/>
    <x v="24"/>
  </r>
  <r>
    <n v="16"/>
    <n v="22"/>
    <n v="0"/>
    <n v="19"/>
    <n v="1"/>
    <n v="0"/>
    <x v="0"/>
    <x v="15"/>
    <x v="2"/>
    <n v="344"/>
    <n v="9.3000000000000007"/>
    <x v="974"/>
  </r>
  <r>
    <n v="18"/>
    <n v="23"/>
    <n v="2"/>
    <n v="0"/>
    <n v="1"/>
    <n v="0"/>
    <x v="5"/>
    <x v="13"/>
    <x v="30"/>
    <n v="621"/>
    <n v="9.1999999999999993"/>
    <x v="975"/>
  </r>
  <r>
    <n v="15"/>
    <n v="23"/>
    <n v="0"/>
    <n v="16"/>
    <n v="1"/>
    <n v="0"/>
    <x v="10"/>
    <x v="7"/>
    <x v="25"/>
    <n v="490"/>
    <n v="7.8"/>
    <x v="976"/>
  </r>
  <r>
    <n v="17"/>
    <n v="23"/>
    <n v="3"/>
    <n v="10"/>
    <n v="12"/>
    <n v="0"/>
    <x v="11"/>
    <x v="24"/>
    <x v="21"/>
    <n v="673"/>
    <n v="7.6"/>
    <x v="977"/>
  </r>
  <r>
    <n v="21"/>
    <n v="22"/>
    <n v="1"/>
    <n v="18"/>
    <n v="12"/>
    <n v="0"/>
    <x v="5"/>
    <x v="3"/>
    <x v="7"/>
    <n v="682"/>
    <n v="8.9"/>
    <x v="978"/>
  </r>
  <r>
    <n v="7"/>
    <n v="22"/>
    <n v="2"/>
    <n v="10"/>
    <n v="1"/>
    <n v="0"/>
    <x v="2"/>
    <x v="20"/>
    <x v="1"/>
    <n v="361"/>
    <n v="0"/>
    <x v="979"/>
  </r>
  <r>
    <n v="9"/>
    <n v="20"/>
    <n v="2"/>
    <n v="19"/>
    <n v="1"/>
    <n v="0"/>
    <x v="11"/>
    <x v="6"/>
    <x v="20"/>
    <n v="569"/>
    <n v="9.1"/>
    <x v="980"/>
  </r>
  <r>
    <n v="13"/>
    <n v="23"/>
    <n v="1"/>
    <n v="17"/>
    <n v="1"/>
    <n v="0"/>
    <x v="7"/>
    <x v="15"/>
    <x v="7"/>
    <n v="412"/>
    <n v="9.3000000000000007"/>
    <x v="981"/>
  </r>
  <r>
    <n v="20"/>
    <n v="22"/>
    <n v="3"/>
    <n v="3"/>
    <n v="1"/>
    <n v="0"/>
    <x v="5"/>
    <x v="13"/>
    <x v="13"/>
    <n v="435"/>
    <n v="9.1999999999999993"/>
    <x v="982"/>
  </r>
  <r>
    <n v="0"/>
    <n v="17"/>
    <n v="0"/>
    <n v="4"/>
    <n v="1"/>
    <n v="0"/>
    <x v="6"/>
    <x v="4"/>
    <x v="25"/>
    <n v="306"/>
    <n v="8.6999999999999993"/>
    <x v="983"/>
  </r>
  <r>
    <n v="23"/>
    <n v="23"/>
    <n v="0"/>
    <n v="20"/>
    <n v="1"/>
    <n v="0"/>
    <x v="2"/>
    <x v="19"/>
    <x v="22"/>
    <n v="506"/>
    <n v="7.4"/>
    <x v="984"/>
  </r>
  <r>
    <n v="14"/>
    <n v="23"/>
    <n v="1"/>
    <n v="0"/>
    <n v="1"/>
    <n v="0"/>
    <x v="10"/>
    <x v="14"/>
    <x v="4"/>
    <n v="545"/>
    <n v="7.6"/>
    <x v="464"/>
  </r>
  <r>
    <n v="12"/>
    <n v="0"/>
    <n v="2"/>
    <n v="14"/>
    <n v="1"/>
    <n v="0"/>
    <x v="10"/>
    <x v="6"/>
    <x v="30"/>
    <n v="471"/>
    <n v="9.1"/>
    <x v="985"/>
  </r>
  <r>
    <n v="8"/>
    <n v="19"/>
    <n v="2"/>
    <n v="6"/>
    <n v="1"/>
    <n v="0"/>
    <x v="2"/>
    <x v="9"/>
    <x v="31"/>
    <n v="501"/>
    <n v="0"/>
    <x v="59"/>
  </r>
  <r>
    <n v="15"/>
    <n v="22"/>
    <n v="2"/>
    <n v="22"/>
    <n v="1"/>
    <n v="0"/>
    <x v="5"/>
    <x v="13"/>
    <x v="2"/>
    <n v="634"/>
    <n v="9.1999999999999993"/>
    <x v="986"/>
  </r>
  <r>
    <n v="7"/>
    <n v="23"/>
    <n v="3"/>
    <n v="11"/>
    <n v="1"/>
    <n v="0"/>
    <x v="11"/>
    <x v="8"/>
    <x v="26"/>
    <n v="458"/>
    <n v="8.4"/>
    <x v="987"/>
  </r>
  <r>
    <n v="15"/>
    <n v="22"/>
    <n v="2"/>
    <n v="11"/>
    <n v="12"/>
    <n v="0"/>
    <x v="3"/>
    <x v="15"/>
    <x v="29"/>
    <n v="626"/>
    <n v="9.3000000000000007"/>
    <x v="988"/>
  </r>
  <r>
    <n v="20"/>
    <n v="23"/>
    <n v="3"/>
    <n v="11"/>
    <n v="1"/>
    <n v="0"/>
    <x v="9"/>
    <x v="13"/>
    <x v="4"/>
    <n v="628"/>
    <n v="9.1999999999999993"/>
    <x v="989"/>
  </r>
  <r>
    <n v="9"/>
    <n v="21"/>
    <n v="0"/>
    <n v="9"/>
    <n v="7"/>
    <n v="0"/>
    <x v="10"/>
    <x v="0"/>
    <x v="14"/>
    <n v="498"/>
    <n v="8.1"/>
    <x v="990"/>
  </r>
  <r>
    <n v="12"/>
    <n v="22"/>
    <n v="0"/>
    <n v="3"/>
    <n v="1"/>
    <n v="0"/>
    <x v="4"/>
    <x v="1"/>
    <x v="9"/>
    <n v="246"/>
    <n v="8.3000000000000007"/>
    <x v="991"/>
  </r>
  <r>
    <n v="14"/>
    <n v="22"/>
    <n v="0"/>
    <n v="15"/>
    <n v="12"/>
    <n v="0"/>
    <x v="3"/>
    <x v="28"/>
    <x v="2"/>
    <n v="578"/>
    <n v="8.8000000000000007"/>
    <x v="992"/>
  </r>
  <r>
    <n v="7"/>
    <n v="18"/>
    <n v="1"/>
    <n v="9"/>
    <n v="1"/>
    <n v="0"/>
    <x v="5"/>
    <x v="7"/>
    <x v="15"/>
    <n v="381"/>
    <n v="7.8"/>
    <x v="993"/>
  </r>
  <r>
    <n v="21"/>
    <n v="22"/>
    <n v="3"/>
    <n v="4"/>
    <n v="12"/>
    <n v="0"/>
    <x v="7"/>
    <x v="19"/>
    <x v="1"/>
    <n v="0"/>
    <n v="7.4"/>
    <x v="994"/>
  </r>
  <r>
    <n v="20"/>
    <n v="22"/>
    <n v="3"/>
    <n v="16"/>
    <n v="12"/>
    <n v="0"/>
    <x v="1"/>
    <x v="10"/>
    <x v="27"/>
    <n v="704"/>
    <n v="8.5"/>
    <x v="995"/>
  </r>
  <r>
    <n v="15"/>
    <n v="22"/>
    <n v="3"/>
    <n v="14"/>
    <n v="12"/>
    <n v="0"/>
    <x v="3"/>
    <x v="9"/>
    <x v="10"/>
    <n v="805"/>
    <n v="7.9"/>
    <x v="996"/>
  </r>
  <r>
    <n v="8"/>
    <n v="17"/>
    <n v="3"/>
    <n v="4"/>
    <n v="1"/>
    <n v="0"/>
    <x v="6"/>
    <x v="30"/>
    <x v="13"/>
    <n v="407"/>
    <n v="7.7"/>
    <x v="24"/>
  </r>
  <r>
    <n v="8"/>
    <n v="23"/>
    <n v="2"/>
    <n v="17"/>
    <n v="1"/>
    <n v="0"/>
    <x v="9"/>
    <x v="13"/>
    <x v="26"/>
    <n v="681"/>
    <n v="9.1999999999999993"/>
    <x v="997"/>
  </r>
  <r>
    <n v="9"/>
    <n v="22"/>
    <n v="0"/>
    <n v="10"/>
    <n v="7"/>
    <n v="0"/>
    <x v="8"/>
    <x v="10"/>
    <x v="17"/>
    <n v="491"/>
    <n v="8.5"/>
    <x v="480"/>
  </r>
  <r>
    <n v="6"/>
    <n v="22"/>
    <n v="1"/>
    <n v="11"/>
    <n v="1"/>
    <n v="0"/>
    <x v="9"/>
    <x v="16"/>
    <x v="32"/>
    <n v="345"/>
    <n v="8.1999999999999993"/>
    <x v="998"/>
  </r>
  <r>
    <n v="16"/>
    <n v="23"/>
    <n v="3"/>
    <n v="5"/>
    <n v="1"/>
    <n v="0"/>
    <x v="1"/>
    <x v="4"/>
    <x v="17"/>
    <n v="543"/>
    <n v="8.6999999999999993"/>
    <x v="999"/>
  </r>
  <r>
    <n v="11"/>
    <n v="22"/>
    <n v="1"/>
    <n v="0"/>
    <n v="1"/>
    <n v="0"/>
    <x v="2"/>
    <x v="1"/>
    <x v="30"/>
    <n v="398"/>
    <n v="8.3000000000000007"/>
    <x v="1000"/>
  </r>
  <r>
    <n v="21"/>
    <n v="23"/>
    <n v="2"/>
    <n v="16"/>
    <n v="1"/>
    <n v="0"/>
    <x v="4"/>
    <x v="4"/>
    <x v="18"/>
    <n v="497"/>
    <n v="8.6999999999999993"/>
    <x v="1001"/>
  </r>
  <r>
    <n v="7"/>
    <n v="23"/>
    <n v="0"/>
    <n v="17"/>
    <n v="1"/>
    <n v="0"/>
    <x v="4"/>
    <x v="7"/>
    <x v="2"/>
    <n v="0"/>
    <n v="7.8"/>
    <x v="1002"/>
  </r>
  <r>
    <n v="11"/>
    <n v="0"/>
    <n v="0"/>
    <n v="15"/>
    <n v="12"/>
    <n v="0"/>
    <x v="10"/>
    <x v="3"/>
    <x v="26"/>
    <n v="624"/>
    <n v="8.9"/>
    <x v="1003"/>
  </r>
  <r>
    <n v="7"/>
    <n v="17"/>
    <n v="0"/>
    <n v="15"/>
    <n v="1"/>
    <n v="0"/>
    <x v="6"/>
    <x v="16"/>
    <x v="24"/>
    <n v="305"/>
    <n v="8.1999999999999993"/>
    <x v="1004"/>
  </r>
  <r>
    <n v="6"/>
    <n v="23"/>
    <n v="2"/>
    <n v="19"/>
    <n v="7"/>
    <n v="0"/>
    <x v="9"/>
    <x v="8"/>
    <x v="12"/>
    <n v="0"/>
    <n v="8.4"/>
    <x v="1005"/>
  </r>
  <r>
    <n v="16"/>
    <n v="22"/>
    <n v="0"/>
    <n v="0"/>
    <n v="1"/>
    <n v="0"/>
    <x v="8"/>
    <x v="34"/>
    <x v="4"/>
    <n v="373"/>
    <n v="9.1"/>
    <x v="1006"/>
  </r>
  <r>
    <n v="22"/>
    <n v="23"/>
    <n v="2"/>
    <n v="15"/>
    <n v="1"/>
    <n v="0"/>
    <x v="1"/>
    <x v="13"/>
    <x v="22"/>
    <n v="695"/>
    <n v="9.1999999999999993"/>
    <x v="1007"/>
  </r>
  <r>
    <n v="22"/>
    <n v="23"/>
    <n v="3"/>
    <n v="15"/>
    <n v="1"/>
    <n v="0"/>
    <x v="11"/>
    <x v="6"/>
    <x v="3"/>
    <n v="752"/>
    <n v="9.1"/>
    <x v="1008"/>
  </r>
  <r>
    <n v="12"/>
    <n v="23"/>
    <n v="0"/>
    <n v="16"/>
    <n v="1"/>
    <n v="0"/>
    <x v="0"/>
    <x v="10"/>
    <x v="2"/>
    <n v="582"/>
    <n v="8.5"/>
    <x v="612"/>
  </r>
  <r>
    <n v="13"/>
    <n v="23"/>
    <n v="3"/>
    <n v="8"/>
    <n v="12"/>
    <n v="0"/>
    <x v="1"/>
    <x v="20"/>
    <x v="4"/>
    <n v="589"/>
    <n v="0"/>
    <x v="264"/>
  </r>
  <r>
    <n v="23"/>
    <n v="22"/>
    <n v="3"/>
    <n v="10"/>
    <n v="1"/>
    <n v="0"/>
    <x v="9"/>
    <x v="7"/>
    <x v="23"/>
    <n v="581"/>
    <n v="7.8"/>
    <x v="152"/>
  </r>
  <r>
    <n v="19"/>
    <n v="22"/>
    <n v="3"/>
    <n v="14"/>
    <n v="12"/>
    <n v="0"/>
    <x v="12"/>
    <x v="15"/>
    <x v="3"/>
    <n v="692"/>
    <n v="9.3000000000000007"/>
    <x v="1009"/>
  </r>
  <r>
    <n v="15"/>
    <n v="23"/>
    <n v="1"/>
    <n v="15"/>
    <n v="1"/>
    <n v="0"/>
    <x v="0"/>
    <x v="4"/>
    <x v="20"/>
    <n v="589"/>
    <n v="8.6999999999999993"/>
    <x v="531"/>
  </r>
  <r>
    <n v="12"/>
    <n v="23"/>
    <n v="1"/>
    <n v="19"/>
    <n v="1"/>
    <n v="0"/>
    <x v="7"/>
    <x v="0"/>
    <x v="32"/>
    <n v="482"/>
    <n v="8.1"/>
    <x v="1010"/>
  </r>
  <r>
    <n v="13"/>
    <n v="23"/>
    <n v="1"/>
    <n v="9"/>
    <n v="1"/>
    <n v="0"/>
    <x v="6"/>
    <x v="16"/>
    <x v="20"/>
    <n v="388"/>
    <n v="0"/>
    <x v="1011"/>
  </r>
  <r>
    <n v="16"/>
    <n v="22"/>
    <n v="3"/>
    <n v="8"/>
    <n v="12"/>
    <n v="0"/>
    <x v="0"/>
    <x v="20"/>
    <x v="5"/>
    <n v="666"/>
    <n v="8.8000000000000007"/>
    <x v="1012"/>
  </r>
  <r>
    <n v="13"/>
    <n v="23"/>
    <n v="3"/>
    <n v="17"/>
    <n v="1"/>
    <n v="0"/>
    <x v="2"/>
    <x v="20"/>
    <x v="16"/>
    <n v="522"/>
    <n v="9.1"/>
    <x v="164"/>
  </r>
  <r>
    <n v="14"/>
    <n v="22"/>
    <n v="0"/>
    <n v="11"/>
    <n v="1"/>
    <n v="0"/>
    <x v="1"/>
    <x v="8"/>
    <x v="11"/>
    <n v="490"/>
    <n v="8.4"/>
    <x v="707"/>
  </r>
  <r>
    <n v="5"/>
    <n v="18"/>
    <n v="0"/>
    <n v="20"/>
    <n v="1"/>
    <n v="0"/>
    <x v="5"/>
    <x v="28"/>
    <x v="23"/>
    <n v="419"/>
    <n v="8.8000000000000007"/>
    <x v="1013"/>
  </r>
  <r>
    <n v="9"/>
    <n v="19"/>
    <n v="2"/>
    <n v="20"/>
    <n v="1"/>
    <n v="0"/>
    <x v="0"/>
    <x v="8"/>
    <x v="13"/>
    <n v="488"/>
    <n v="8.4"/>
    <x v="1014"/>
  </r>
  <r>
    <n v="21"/>
    <n v="22"/>
    <n v="3"/>
    <n v="4"/>
    <n v="1"/>
    <n v="0"/>
    <x v="3"/>
    <x v="14"/>
    <x v="2"/>
    <n v="514"/>
    <n v="7.6"/>
    <x v="1015"/>
  </r>
  <r>
    <n v="15"/>
    <n v="23"/>
    <n v="1"/>
    <n v="13"/>
    <n v="1"/>
    <n v="0"/>
    <x v="2"/>
    <x v="0"/>
    <x v="26"/>
    <n v="389"/>
    <n v="8.1"/>
    <x v="1016"/>
  </r>
  <r>
    <n v="17"/>
    <n v="22"/>
    <n v="0"/>
    <n v="16"/>
    <n v="12"/>
    <n v="0"/>
    <x v="11"/>
    <x v="14"/>
    <x v="30"/>
    <n v="569"/>
    <n v="7.6"/>
    <x v="846"/>
  </r>
  <r>
    <n v="23"/>
    <n v="22"/>
    <n v="3"/>
    <n v="3"/>
    <n v="12"/>
    <n v="0"/>
    <x v="6"/>
    <x v="4"/>
    <x v="5"/>
    <n v="726"/>
    <n v="8.6999999999999993"/>
    <x v="1017"/>
  </r>
  <r>
    <n v="14"/>
    <n v="22"/>
    <n v="1"/>
    <n v="14"/>
    <n v="1"/>
    <n v="0"/>
    <x v="11"/>
    <x v="0"/>
    <x v="22"/>
    <n v="442"/>
    <n v="8.1"/>
    <x v="1018"/>
  </r>
  <r>
    <n v="22"/>
    <n v="23"/>
    <n v="1"/>
    <n v="6"/>
    <n v="0"/>
    <n v="0"/>
    <x v="8"/>
    <x v="10"/>
    <x v="7"/>
    <n v="561"/>
    <n v="8.5"/>
    <x v="1019"/>
  </r>
  <r>
    <n v="6"/>
    <n v="18"/>
    <n v="1"/>
    <n v="22"/>
    <n v="1"/>
    <n v="0"/>
    <x v="3"/>
    <x v="4"/>
    <x v="25"/>
    <n v="419"/>
    <n v="8.6999999999999993"/>
    <x v="24"/>
  </r>
  <r>
    <n v="7"/>
    <n v="22"/>
    <n v="2"/>
    <n v="11"/>
    <n v="7"/>
    <n v="0"/>
    <x v="1"/>
    <x v="16"/>
    <x v="6"/>
    <n v="468"/>
    <n v="8.1999999999999993"/>
    <x v="1020"/>
  </r>
  <r>
    <n v="9"/>
    <n v="22"/>
    <n v="1"/>
    <n v="6"/>
    <n v="7"/>
    <n v="0"/>
    <x v="8"/>
    <x v="10"/>
    <x v="3"/>
    <n v="483"/>
    <n v="8.5"/>
    <x v="550"/>
  </r>
  <r>
    <n v="6"/>
    <n v="19"/>
    <n v="2"/>
    <n v="9"/>
    <n v="1"/>
    <n v="0"/>
    <x v="0"/>
    <x v="9"/>
    <x v="2"/>
    <n v="301"/>
    <n v="7.9"/>
    <x v="1021"/>
  </r>
  <r>
    <n v="22"/>
    <n v="22"/>
    <n v="2"/>
    <n v="20"/>
    <n v="1"/>
    <n v="0"/>
    <x v="5"/>
    <x v="1"/>
    <x v="28"/>
    <n v="569"/>
    <n v="8.3000000000000007"/>
    <x v="242"/>
  </r>
  <r>
    <n v="10"/>
    <n v="19"/>
    <n v="0"/>
    <n v="22"/>
    <n v="7"/>
    <n v="0"/>
    <x v="8"/>
    <x v="19"/>
    <x v="27"/>
    <n v="546"/>
    <n v="7.4"/>
    <x v="1022"/>
  </r>
  <r>
    <n v="0"/>
    <n v="22"/>
    <n v="3"/>
    <n v="8"/>
    <n v="1"/>
    <n v="0"/>
    <x v="4"/>
    <x v="3"/>
    <x v="17"/>
    <n v="553"/>
    <n v="8.9"/>
    <x v="1023"/>
  </r>
  <r>
    <n v="13"/>
    <n v="23"/>
    <n v="0"/>
    <n v="3"/>
    <n v="1"/>
    <n v="0"/>
    <x v="0"/>
    <x v="13"/>
    <x v="30"/>
    <n v="246"/>
    <n v="9.1999999999999993"/>
    <x v="1024"/>
  </r>
  <r>
    <n v="8"/>
    <n v="21"/>
    <n v="0"/>
    <n v="15"/>
    <n v="0"/>
    <n v="0"/>
    <x v="0"/>
    <x v="17"/>
    <x v="31"/>
    <n v="522"/>
    <n v="8.8000000000000007"/>
    <x v="1025"/>
  </r>
  <r>
    <n v="11"/>
    <n v="23"/>
    <n v="0"/>
    <n v="3"/>
    <n v="1"/>
    <n v="0"/>
    <x v="2"/>
    <x v="16"/>
    <x v="13"/>
    <n v="284"/>
    <n v="0"/>
    <x v="1026"/>
  </r>
  <r>
    <n v="16"/>
    <n v="23"/>
    <n v="1"/>
    <n v="21"/>
    <n v="1"/>
    <n v="0"/>
    <x v="7"/>
    <x v="14"/>
    <x v="13"/>
    <n v="712"/>
    <n v="7.6"/>
    <x v="1027"/>
  </r>
  <r>
    <n v="6"/>
    <n v="23"/>
    <n v="0"/>
    <n v="12"/>
    <n v="1"/>
    <n v="0"/>
    <x v="3"/>
    <x v="13"/>
    <x v="32"/>
    <n v="321"/>
    <n v="9.1999999999999993"/>
    <x v="1028"/>
  </r>
  <r>
    <n v="21"/>
    <n v="23"/>
    <n v="3"/>
    <n v="19"/>
    <n v="1"/>
    <n v="0"/>
    <x v="2"/>
    <x v="1"/>
    <x v="28"/>
    <n v="743"/>
    <n v="8.3000000000000007"/>
    <x v="1029"/>
  </r>
  <r>
    <n v="13"/>
    <n v="22"/>
    <n v="0"/>
    <n v="22"/>
    <n v="1"/>
    <n v="0"/>
    <x v="5"/>
    <x v="19"/>
    <x v="26"/>
    <n v="582"/>
    <n v="7.4"/>
    <x v="1030"/>
  </r>
  <r>
    <n v="20"/>
    <n v="23"/>
    <n v="1"/>
    <n v="18"/>
    <n v="0"/>
    <n v="0"/>
    <x v="7"/>
    <x v="8"/>
    <x v="18"/>
    <n v="665"/>
    <n v="8.4"/>
    <x v="191"/>
  </r>
  <r>
    <n v="23"/>
    <n v="23"/>
    <n v="3"/>
    <n v="11"/>
    <n v="1"/>
    <n v="0"/>
    <x v="5"/>
    <x v="6"/>
    <x v="11"/>
    <n v="533"/>
    <n v="9.1"/>
    <x v="459"/>
  </r>
  <r>
    <n v="23"/>
    <n v="23"/>
    <n v="2"/>
    <n v="4"/>
    <n v="12"/>
    <n v="0"/>
    <x v="4"/>
    <x v="9"/>
    <x v="24"/>
    <n v="677"/>
    <n v="0"/>
    <x v="410"/>
  </r>
  <r>
    <n v="18"/>
    <n v="22"/>
    <n v="2"/>
    <n v="14"/>
    <n v="1"/>
    <n v="0"/>
    <x v="12"/>
    <x v="14"/>
    <x v="15"/>
    <n v="0"/>
    <n v="7.6"/>
    <x v="1031"/>
  </r>
  <r>
    <n v="13"/>
    <n v="22"/>
    <n v="0"/>
    <n v="7"/>
    <n v="1"/>
    <n v="0"/>
    <x v="1"/>
    <x v="8"/>
    <x v="8"/>
    <n v="425"/>
    <n v="8.4"/>
    <x v="1032"/>
  </r>
  <r>
    <n v="11"/>
    <n v="23"/>
    <n v="0"/>
    <n v="20"/>
    <n v="1"/>
    <n v="0"/>
    <x v="1"/>
    <x v="12"/>
    <x v="15"/>
    <n v="452"/>
    <n v="8.6999999999999993"/>
    <x v="1033"/>
  </r>
  <r>
    <n v="11"/>
    <n v="23"/>
    <n v="3"/>
    <n v="6"/>
    <n v="1"/>
    <n v="0"/>
    <x v="2"/>
    <x v="0"/>
    <x v="11"/>
    <n v="554"/>
    <n v="8.1"/>
    <x v="1034"/>
  </r>
  <r>
    <n v="17"/>
    <n v="23"/>
    <n v="1"/>
    <n v="13"/>
    <n v="1"/>
    <n v="0"/>
    <x v="0"/>
    <x v="29"/>
    <x v="21"/>
    <n v="354"/>
    <n v="9.3000000000000007"/>
    <x v="231"/>
  </r>
  <r>
    <n v="17"/>
    <n v="0"/>
    <n v="1"/>
    <n v="21"/>
    <n v="12"/>
    <n v="0"/>
    <x v="4"/>
    <x v="1"/>
    <x v="10"/>
    <n v="722"/>
    <n v="8.3000000000000007"/>
    <x v="1035"/>
  </r>
  <r>
    <n v="6"/>
    <n v="20"/>
    <n v="0"/>
    <n v="9"/>
    <n v="1"/>
    <n v="0"/>
    <x v="5"/>
    <x v="1"/>
    <x v="1"/>
    <n v="311"/>
    <n v="8.3000000000000007"/>
    <x v="1036"/>
  </r>
  <r>
    <n v="0"/>
    <n v="20"/>
    <n v="2"/>
    <n v="12"/>
    <n v="7"/>
    <n v="0"/>
    <x v="6"/>
    <x v="8"/>
    <x v="32"/>
    <n v="605"/>
    <n v="8.4"/>
    <x v="1037"/>
  </r>
  <r>
    <n v="14"/>
    <n v="22"/>
    <n v="0"/>
    <n v="7"/>
    <n v="12"/>
    <n v="0"/>
    <x v="5"/>
    <x v="33"/>
    <x v="29"/>
    <n v="0"/>
    <n v="0"/>
    <x v="1038"/>
  </r>
  <r>
    <n v="16"/>
    <n v="23"/>
    <n v="2"/>
    <n v="6"/>
    <n v="1"/>
    <n v="0"/>
    <x v="12"/>
    <x v="8"/>
    <x v="7"/>
    <n v="384"/>
    <n v="8.4"/>
    <x v="24"/>
  </r>
  <r>
    <n v="18"/>
    <n v="22"/>
    <n v="1"/>
    <n v="11"/>
    <n v="1"/>
    <n v="0"/>
    <x v="11"/>
    <x v="8"/>
    <x v="1"/>
    <n v="489"/>
    <n v="8.4"/>
    <x v="1039"/>
  </r>
  <r>
    <n v="21"/>
    <n v="22"/>
    <n v="1"/>
    <n v="3"/>
    <n v="1"/>
    <n v="0"/>
    <x v="2"/>
    <x v="18"/>
    <x v="8"/>
    <n v="511"/>
    <n v="8.3000000000000007"/>
    <x v="1040"/>
  </r>
  <r>
    <n v="12"/>
    <n v="23"/>
    <n v="1"/>
    <n v="8"/>
    <n v="1"/>
    <n v="0"/>
    <x v="2"/>
    <x v="3"/>
    <x v="30"/>
    <n v="368"/>
    <n v="8.9"/>
    <x v="1041"/>
  </r>
  <r>
    <n v="8"/>
    <n v="17"/>
    <n v="3"/>
    <n v="21"/>
    <n v="1"/>
    <n v="0"/>
    <x v="3"/>
    <x v="10"/>
    <x v="28"/>
    <n v="386"/>
    <n v="8.5"/>
    <x v="1042"/>
  </r>
  <r>
    <n v="9"/>
    <n v="23"/>
    <n v="0"/>
    <n v="17"/>
    <n v="7"/>
    <n v="0"/>
    <x v="6"/>
    <x v="9"/>
    <x v="3"/>
    <n v="487"/>
    <n v="7.9"/>
    <x v="479"/>
  </r>
  <r>
    <n v="21"/>
    <n v="22"/>
    <n v="0"/>
    <n v="5"/>
    <n v="1"/>
    <n v="0"/>
    <x v="12"/>
    <x v="7"/>
    <x v="23"/>
    <n v="545"/>
    <n v="7.8"/>
    <x v="1043"/>
  </r>
  <r>
    <n v="23"/>
    <n v="22"/>
    <n v="1"/>
    <n v="11"/>
    <n v="12"/>
    <n v="0"/>
    <x v="0"/>
    <x v="0"/>
    <x v="18"/>
    <n v="502"/>
    <n v="8.1"/>
    <x v="1044"/>
  </r>
  <r>
    <n v="11"/>
    <n v="23"/>
    <n v="1"/>
    <n v="0"/>
    <n v="1"/>
    <n v="0"/>
    <x v="8"/>
    <x v="19"/>
    <x v="3"/>
    <n v="384"/>
    <n v="7.4"/>
    <x v="1045"/>
  </r>
  <r>
    <n v="23"/>
    <n v="22"/>
    <n v="2"/>
    <n v="21"/>
    <n v="12"/>
    <n v="0"/>
    <x v="0"/>
    <x v="1"/>
    <x v="5"/>
    <n v="625"/>
    <n v="8.3000000000000007"/>
    <x v="1046"/>
  </r>
  <r>
    <n v="19"/>
    <n v="22"/>
    <n v="2"/>
    <n v="13"/>
    <n v="1"/>
    <n v="0"/>
    <x v="12"/>
    <x v="14"/>
    <x v="13"/>
    <n v="506"/>
    <n v="7.6"/>
    <x v="1031"/>
  </r>
  <r>
    <n v="10"/>
    <n v="21"/>
    <n v="2"/>
    <n v="6"/>
    <n v="1"/>
    <n v="0"/>
    <x v="4"/>
    <x v="7"/>
    <x v="13"/>
    <n v="374"/>
    <n v="7.8"/>
    <x v="1047"/>
  </r>
  <r>
    <n v="14"/>
    <n v="22"/>
    <n v="0"/>
    <n v="0"/>
    <n v="12"/>
    <n v="0"/>
    <x v="0"/>
    <x v="28"/>
    <x v="14"/>
    <n v="468"/>
    <n v="8.8000000000000007"/>
    <x v="1048"/>
  </r>
  <r>
    <n v="16"/>
    <n v="23"/>
    <n v="1"/>
    <n v="16"/>
    <n v="1"/>
    <n v="0"/>
    <x v="11"/>
    <x v="9"/>
    <x v="27"/>
    <n v="663"/>
    <n v="7.9"/>
    <x v="1049"/>
  </r>
  <r>
    <n v="10"/>
    <n v="21"/>
    <n v="3"/>
    <n v="11"/>
    <n v="1"/>
    <n v="0"/>
    <x v="7"/>
    <x v="24"/>
    <x v="4"/>
    <n v="515"/>
    <n v="7.6"/>
    <x v="1050"/>
  </r>
  <r>
    <n v="15"/>
    <n v="23"/>
    <n v="0"/>
    <n v="12"/>
    <n v="1"/>
    <n v="0"/>
    <x v="8"/>
    <x v="28"/>
    <x v="18"/>
    <n v="529"/>
    <n v="8.8000000000000007"/>
    <x v="1051"/>
  </r>
  <r>
    <n v="10"/>
    <n v="0"/>
    <n v="2"/>
    <n v="12"/>
    <n v="1"/>
    <n v="0"/>
    <x v="7"/>
    <x v="6"/>
    <x v="11"/>
    <n v="301"/>
    <n v="9.1"/>
    <x v="1052"/>
  </r>
  <r>
    <n v="21"/>
    <n v="23"/>
    <n v="0"/>
    <n v="12"/>
    <n v="1"/>
    <n v="0"/>
    <x v="3"/>
    <x v="3"/>
    <x v="5"/>
    <n v="463"/>
    <n v="8.9"/>
    <x v="1053"/>
  </r>
  <r>
    <n v="9"/>
    <n v="20"/>
    <n v="3"/>
    <n v="8"/>
    <n v="1"/>
    <n v="0"/>
    <x v="8"/>
    <x v="5"/>
    <x v="3"/>
    <n v="418"/>
    <n v="7.7"/>
    <x v="1054"/>
  </r>
  <r>
    <n v="7"/>
    <n v="21"/>
    <n v="3"/>
    <n v="11"/>
    <n v="1"/>
    <n v="0"/>
    <x v="12"/>
    <x v="0"/>
    <x v="29"/>
    <n v="584"/>
    <n v="8.1"/>
    <x v="1055"/>
  </r>
  <r>
    <n v="7"/>
    <n v="19"/>
    <n v="0"/>
    <n v="21"/>
    <n v="1"/>
    <n v="0"/>
    <x v="0"/>
    <x v="20"/>
    <x v="8"/>
    <n v="398"/>
    <n v="9.1"/>
    <x v="1056"/>
  </r>
  <r>
    <n v="12"/>
    <n v="22"/>
    <n v="0"/>
    <n v="21"/>
    <n v="1"/>
    <n v="0"/>
    <x v="5"/>
    <x v="0"/>
    <x v="26"/>
    <n v="536"/>
    <n v="8.1"/>
    <x v="24"/>
  </r>
  <r>
    <n v="5"/>
    <n v="0"/>
    <n v="0"/>
    <n v="15"/>
    <n v="1"/>
    <n v="0"/>
    <x v="2"/>
    <x v="17"/>
    <x v="30"/>
    <n v="395"/>
    <n v="8.8000000000000007"/>
    <x v="1057"/>
  </r>
  <r>
    <n v="5"/>
    <n v="23"/>
    <n v="3"/>
    <n v="22"/>
    <n v="1"/>
    <n v="0"/>
    <x v="10"/>
    <x v="19"/>
    <x v="10"/>
    <n v="522"/>
    <n v="7.4"/>
    <x v="1058"/>
  </r>
  <r>
    <n v="14"/>
    <n v="23"/>
    <n v="1"/>
    <n v="13"/>
    <n v="1"/>
    <n v="0"/>
    <x v="1"/>
    <x v="8"/>
    <x v="28"/>
    <n v="456"/>
    <n v="8.4"/>
    <x v="1059"/>
  </r>
  <r>
    <n v="10"/>
    <n v="22"/>
    <n v="0"/>
    <n v="17"/>
    <n v="1"/>
    <n v="0"/>
    <x v="2"/>
    <x v="9"/>
    <x v="3"/>
    <n v="465"/>
    <n v="7.9"/>
    <x v="1060"/>
  </r>
  <r>
    <n v="21"/>
    <n v="23"/>
    <n v="3"/>
    <n v="12"/>
    <n v="1"/>
    <n v="0"/>
    <x v="10"/>
    <x v="16"/>
    <x v="22"/>
    <n v="683"/>
    <n v="8.1999999999999993"/>
    <x v="1061"/>
  </r>
  <r>
    <n v="7"/>
    <n v="17"/>
    <n v="2"/>
    <n v="10"/>
    <n v="1"/>
    <n v="0"/>
    <x v="9"/>
    <x v="8"/>
    <x v="2"/>
    <n v="370"/>
    <s v="nan "/>
    <x v="204"/>
  </r>
  <r>
    <n v="0"/>
    <n v="22"/>
    <n v="2"/>
    <n v="6"/>
    <n v="12"/>
    <n v="0"/>
    <x v="4"/>
    <x v="11"/>
    <x v="12"/>
    <n v="696"/>
    <n v="8.4"/>
    <x v="856"/>
  </r>
  <r>
    <n v="0"/>
    <n v="0"/>
    <n v="3"/>
    <n v="11"/>
    <n v="1"/>
    <n v="0"/>
    <x v="5"/>
    <x v="16"/>
    <x v="26"/>
    <n v="483"/>
    <n v="8.1999999999999993"/>
    <x v="397"/>
  </r>
  <r>
    <n v="11"/>
    <n v="23"/>
    <n v="1"/>
    <n v="21"/>
    <n v="1"/>
    <n v="0"/>
    <x v="7"/>
    <x v="10"/>
    <x v="15"/>
    <n v="432"/>
    <n v="8.5"/>
    <x v="1062"/>
  </r>
  <r>
    <n v="7"/>
    <n v="17"/>
    <n v="1"/>
    <n v="21"/>
    <n v="1"/>
    <n v="0"/>
    <x v="0"/>
    <x v="33"/>
    <x v="31"/>
    <n v="432"/>
    <n v="8.1"/>
    <x v="1063"/>
  </r>
  <r>
    <n v="0"/>
    <n v="0"/>
    <n v="2"/>
    <n v="8"/>
    <n v="1"/>
    <n v="0"/>
    <x v="0"/>
    <x v="7"/>
    <x v="15"/>
    <n v="362"/>
    <n v="7.8"/>
    <x v="1064"/>
  </r>
  <r>
    <n v="10"/>
    <n v="19"/>
    <n v="2"/>
    <n v="3"/>
    <n v="7"/>
    <n v="0"/>
    <x v="2"/>
    <x v="13"/>
    <x v="29"/>
    <n v="326"/>
    <n v="9.1999999999999993"/>
    <x v="1065"/>
  </r>
  <r>
    <n v="13"/>
    <n v="22"/>
    <n v="3"/>
    <n v="0"/>
    <n v="1"/>
    <n v="0"/>
    <x v="2"/>
    <x v="6"/>
    <x v="9"/>
    <n v="490"/>
    <n v="9.1"/>
    <x v="234"/>
  </r>
  <r>
    <n v="22"/>
    <n v="22"/>
    <n v="0"/>
    <n v="15"/>
    <n v="1"/>
    <n v="0"/>
    <x v="1"/>
    <x v="21"/>
    <x v="2"/>
    <n v="444"/>
    <n v="7.4"/>
    <x v="1066"/>
  </r>
  <r>
    <n v="10"/>
    <n v="17"/>
    <n v="3"/>
    <n v="20"/>
    <n v="1"/>
    <n v="0"/>
    <x v="1"/>
    <x v="10"/>
    <x v="30"/>
    <n v="424"/>
    <n v="8.5"/>
    <x v="1067"/>
  </r>
  <r>
    <n v="18"/>
    <n v="23"/>
    <n v="2"/>
    <n v="13"/>
    <n v="12"/>
    <n v="0"/>
    <x v="4"/>
    <x v="16"/>
    <x v="11"/>
    <n v="704"/>
    <n v="8.1999999999999993"/>
    <x v="1068"/>
  </r>
  <r>
    <n v="10"/>
    <n v="23"/>
    <n v="0"/>
    <n v="18"/>
    <n v="7"/>
    <n v="0"/>
    <x v="3"/>
    <x v="14"/>
    <x v="16"/>
    <n v="578"/>
    <n v="7.6"/>
    <x v="1069"/>
  </r>
  <r>
    <n v="11"/>
    <n v="23"/>
    <n v="0"/>
    <n v="22"/>
    <n v="1"/>
    <n v="0"/>
    <x v="11"/>
    <x v="16"/>
    <x v="29"/>
    <n v="440"/>
    <n v="8.1999999999999993"/>
    <x v="1070"/>
  </r>
  <r>
    <n v="6"/>
    <n v="22"/>
    <n v="0"/>
    <n v="11"/>
    <n v="1"/>
    <n v="0"/>
    <x v="1"/>
    <x v="7"/>
    <x v="4"/>
    <n v="434"/>
    <n v="7.8"/>
    <x v="328"/>
  </r>
  <r>
    <n v="13"/>
    <n v="23"/>
    <n v="2"/>
    <n v="9"/>
    <n v="1"/>
    <n v="0"/>
    <x v="11"/>
    <x v="3"/>
    <x v="0"/>
    <n v="395"/>
    <n v="8.9"/>
    <x v="1071"/>
  </r>
  <r>
    <n v="11"/>
    <n v="23"/>
    <n v="3"/>
    <n v="21"/>
    <n v="1"/>
    <n v="0"/>
    <x v="12"/>
    <x v="6"/>
    <x v="28"/>
    <n v="573"/>
    <n v="9.1"/>
    <x v="1072"/>
  </r>
  <r>
    <n v="12"/>
    <n v="22"/>
    <n v="0"/>
    <n v="13"/>
    <n v="1"/>
    <n v="0"/>
    <x v="3"/>
    <x v="7"/>
    <x v="31"/>
    <n v="0"/>
    <n v="7.8"/>
    <x v="24"/>
  </r>
  <r>
    <n v="14"/>
    <n v="23"/>
    <n v="3"/>
    <n v="16"/>
    <n v="0"/>
    <n v="0"/>
    <x v="0"/>
    <x v="4"/>
    <x v="2"/>
    <n v="534"/>
    <n v="8.6999999999999993"/>
    <x v="1073"/>
  </r>
  <r>
    <n v="14"/>
    <n v="23"/>
    <n v="2"/>
    <n v="9"/>
    <n v="12"/>
    <n v="0"/>
    <x v="1"/>
    <x v="13"/>
    <x v="27"/>
    <n v="750"/>
    <n v="9.1999999999999993"/>
    <x v="1074"/>
  </r>
  <r>
    <n v="22"/>
    <n v="22"/>
    <n v="0"/>
    <n v="8"/>
    <n v="1"/>
    <n v="0"/>
    <x v="10"/>
    <x v="6"/>
    <x v="9"/>
    <n v="494"/>
    <n v="9.1"/>
    <x v="1075"/>
  </r>
  <r>
    <n v="15"/>
    <n v="23"/>
    <n v="2"/>
    <n v="6"/>
    <n v="1"/>
    <n v="0"/>
    <x v="5"/>
    <x v="13"/>
    <x v="6"/>
    <n v="506"/>
    <n v="9.1999999999999993"/>
    <x v="1051"/>
  </r>
  <r>
    <n v="23"/>
    <n v="23"/>
    <n v="1"/>
    <n v="20"/>
    <n v="1"/>
    <n v="0"/>
    <x v="0"/>
    <x v="13"/>
    <x v="9"/>
    <n v="590"/>
    <n v="9.1999999999999993"/>
    <x v="1076"/>
  </r>
  <r>
    <n v="6"/>
    <n v="21"/>
    <n v="2"/>
    <n v="3"/>
    <n v="7"/>
    <n v="0"/>
    <x v="5"/>
    <x v="9"/>
    <x v="28"/>
    <n v="398"/>
    <n v="7.9"/>
    <x v="1077"/>
  </r>
  <r>
    <n v="22"/>
    <n v="23"/>
    <n v="3"/>
    <n v="8"/>
    <n v="1"/>
    <n v="0"/>
    <x v="7"/>
    <x v="7"/>
    <x v="9"/>
    <n v="433"/>
    <n v="7.8"/>
    <x v="1078"/>
  </r>
  <r>
    <n v="22"/>
    <n v="23"/>
    <n v="2"/>
    <n v="15"/>
    <n v="1"/>
    <n v="0"/>
    <x v="4"/>
    <x v="9"/>
    <x v="25"/>
    <n v="595"/>
    <n v="7.9"/>
    <x v="1079"/>
  </r>
  <r>
    <n v="15"/>
    <n v="22"/>
    <n v="3"/>
    <n v="0"/>
    <n v="1"/>
    <n v="0"/>
    <x v="2"/>
    <x v="5"/>
    <x v="4"/>
    <n v="553"/>
    <n v="7.7"/>
    <x v="269"/>
  </r>
  <r>
    <n v="13"/>
    <n v="0"/>
    <n v="0"/>
    <n v="4"/>
    <n v="1"/>
    <n v="0"/>
    <x v="1"/>
    <x v="14"/>
    <x v="2"/>
    <n v="527"/>
    <n v="7.6"/>
    <x v="1080"/>
  </r>
  <r>
    <n v="23"/>
    <n v="22"/>
    <n v="3"/>
    <n v="14"/>
    <n v="1"/>
    <n v="0"/>
    <x v="2"/>
    <x v="28"/>
    <x v="5"/>
    <n v="567"/>
    <n v="8.8000000000000007"/>
    <x v="895"/>
  </r>
  <r>
    <n v="14"/>
    <n v="23"/>
    <n v="2"/>
    <n v="10"/>
    <n v="1"/>
    <n v="0"/>
    <x v="1"/>
    <x v="17"/>
    <x v="17"/>
    <n v="432"/>
    <n v="8.8000000000000007"/>
    <x v="1081"/>
  </r>
  <r>
    <n v="8"/>
    <n v="23"/>
    <n v="2"/>
    <n v="5"/>
    <n v="1"/>
    <n v="0"/>
    <x v="6"/>
    <x v="6"/>
    <x v="24"/>
    <n v="479"/>
    <n v="9.1"/>
    <x v="1082"/>
  </r>
  <r>
    <n v="13"/>
    <n v="23"/>
    <n v="2"/>
    <n v="8"/>
    <n v="1"/>
    <n v="0"/>
    <x v="12"/>
    <x v="4"/>
    <x v="4"/>
    <n v="633"/>
    <n v="0"/>
    <x v="1083"/>
  </r>
  <r>
    <n v="8"/>
    <n v="0"/>
    <n v="0"/>
    <n v="13"/>
    <n v="1"/>
    <n v="0"/>
    <x v="6"/>
    <x v="19"/>
    <x v="7"/>
    <n v="495"/>
    <n v="7.4"/>
    <x v="1084"/>
  </r>
  <r>
    <n v="21"/>
    <n v="23"/>
    <n v="1"/>
    <n v="11"/>
    <n v="1"/>
    <n v="0"/>
    <x v="0"/>
    <x v="20"/>
    <x v="32"/>
    <n v="619"/>
    <n v="9.1"/>
    <x v="24"/>
  </r>
  <r>
    <n v="23"/>
    <n v="23"/>
    <n v="3"/>
    <n v="5"/>
    <n v="1"/>
    <n v="0"/>
    <x v="1"/>
    <x v="17"/>
    <x v="33"/>
    <n v="606"/>
    <n v="8.8000000000000007"/>
    <x v="1085"/>
  </r>
  <r>
    <n v="16"/>
    <n v="23"/>
    <n v="1"/>
    <n v="12"/>
    <n v="1"/>
    <n v="0"/>
    <x v="6"/>
    <x v="15"/>
    <x v="8"/>
    <n v="0"/>
    <n v="9.3000000000000007"/>
    <x v="1086"/>
  </r>
  <r>
    <n v="11"/>
    <n v="22"/>
    <n v="0"/>
    <n v="9"/>
    <n v="1"/>
    <n v="0"/>
    <x v="9"/>
    <x v="0"/>
    <x v="26"/>
    <n v="296"/>
    <n v="8.1"/>
    <x v="1087"/>
  </r>
  <r>
    <n v="5"/>
    <n v="21"/>
    <n v="2"/>
    <n v="15"/>
    <n v="1"/>
    <n v="0"/>
    <x v="9"/>
    <x v="14"/>
    <x v="8"/>
    <n v="363"/>
    <n v="7.6"/>
    <x v="1088"/>
  </r>
  <r>
    <n v="11"/>
    <n v="22"/>
    <n v="0"/>
    <n v="14"/>
    <n v="1"/>
    <n v="0"/>
    <x v="2"/>
    <x v="1"/>
    <x v="5"/>
    <n v="549"/>
    <n v="8.3000000000000007"/>
    <x v="1089"/>
  </r>
  <r>
    <n v="20"/>
    <n v="23"/>
    <n v="1"/>
    <n v="0"/>
    <n v="1"/>
    <n v="0"/>
    <x v="8"/>
    <x v="32"/>
    <x v="3"/>
    <n v="507"/>
    <n v="9.1999999999999993"/>
    <x v="955"/>
  </r>
  <r>
    <n v="21"/>
    <n v="23"/>
    <n v="3"/>
    <n v="14"/>
    <n v="1"/>
    <n v="0"/>
    <x v="12"/>
    <x v="1"/>
    <x v="16"/>
    <n v="558"/>
    <n v="8.3000000000000007"/>
    <x v="1090"/>
  </r>
  <r>
    <n v="21"/>
    <n v="22"/>
    <n v="0"/>
    <n v="8"/>
    <n v="12"/>
    <n v="0"/>
    <x v="1"/>
    <x v="7"/>
    <x v="10"/>
    <n v="596"/>
    <n v="7.8"/>
    <x v="841"/>
  </r>
  <r>
    <n v="16"/>
    <n v="23"/>
    <n v="0"/>
    <n v="13"/>
    <n v="12"/>
    <n v="0"/>
    <x v="12"/>
    <x v="7"/>
    <x v="3"/>
    <n v="678"/>
    <n v="7.8"/>
    <x v="1091"/>
  </r>
  <r>
    <n v="13"/>
    <n v="23"/>
    <n v="3"/>
    <n v="4"/>
    <n v="1"/>
    <n v="0"/>
    <x v="5"/>
    <x v="15"/>
    <x v="14"/>
    <n v="451"/>
    <n v="9.3000000000000007"/>
    <x v="1092"/>
  </r>
  <r>
    <n v="15"/>
    <n v="0"/>
    <n v="2"/>
    <n v="20"/>
    <n v="12"/>
    <n v="0"/>
    <x v="6"/>
    <x v="14"/>
    <x v="23"/>
    <n v="656"/>
    <n v="7.6"/>
    <x v="1093"/>
  </r>
  <r>
    <n v="14"/>
    <n v="23"/>
    <n v="0"/>
    <n v="15"/>
    <n v="1"/>
    <n v="0"/>
    <x v="4"/>
    <x v="7"/>
    <x v="5"/>
    <s v="nan "/>
    <n v="7.8"/>
    <x v="1094"/>
  </r>
  <r>
    <n v="0"/>
    <n v="19"/>
    <n v="0"/>
    <n v="12"/>
    <n v="1"/>
    <n v="0"/>
    <x v="6"/>
    <x v="4"/>
    <x v="16"/>
    <n v="507"/>
    <n v="8.6999999999999993"/>
    <x v="1095"/>
  </r>
  <r>
    <n v="23"/>
    <n v="22"/>
    <n v="2"/>
    <n v="8"/>
    <n v="1"/>
    <n v="0"/>
    <x v="9"/>
    <x v="1"/>
    <x v="18"/>
    <n v="557"/>
    <n v="8.3000000000000007"/>
    <x v="1096"/>
  </r>
  <r>
    <n v="23"/>
    <n v="23"/>
    <n v="1"/>
    <n v="18"/>
    <n v="1"/>
    <n v="0"/>
    <x v="3"/>
    <x v="1"/>
    <x v="14"/>
    <n v="522"/>
    <n v="8.3000000000000007"/>
    <x v="1097"/>
  </r>
  <r>
    <n v="7"/>
    <n v="20"/>
    <n v="1"/>
    <n v="21"/>
    <n v="1"/>
    <n v="0"/>
    <x v="12"/>
    <x v="25"/>
    <x v="10"/>
    <n v="449"/>
    <n v="8.1999999999999993"/>
    <x v="1098"/>
  </r>
  <r>
    <n v="19"/>
    <n v="22"/>
    <n v="0"/>
    <n v="8"/>
    <n v="1"/>
    <n v="0"/>
    <x v="6"/>
    <x v="1"/>
    <x v="17"/>
    <n v="387"/>
    <n v="8.3000000000000007"/>
    <x v="1099"/>
  </r>
  <r>
    <n v="17"/>
    <n v="23"/>
    <n v="3"/>
    <n v="12"/>
    <n v="0"/>
    <n v="0"/>
    <x v="10"/>
    <x v="4"/>
    <x v="26"/>
    <n v="572"/>
    <n v="8.6999999999999993"/>
    <x v="1100"/>
  </r>
  <r>
    <n v="13"/>
    <n v="22"/>
    <n v="1"/>
    <n v="12"/>
    <n v="1"/>
    <n v="0"/>
    <x v="12"/>
    <x v="18"/>
    <x v="1"/>
    <n v="521"/>
    <n v="8.3000000000000007"/>
    <x v="699"/>
  </r>
  <r>
    <n v="5"/>
    <n v="0"/>
    <n v="0"/>
    <n v="13"/>
    <n v="1"/>
    <n v="0"/>
    <x v="3"/>
    <x v="1"/>
    <x v="1"/>
    <n v="595"/>
    <n v="8.3000000000000007"/>
    <x v="1101"/>
  </r>
  <r>
    <n v="13"/>
    <n v="22"/>
    <n v="1"/>
    <n v="11"/>
    <n v="1"/>
    <n v="0"/>
    <x v="2"/>
    <x v="17"/>
    <x v="3"/>
    <n v="544"/>
    <n v="8.8000000000000007"/>
    <x v="777"/>
  </r>
  <r>
    <n v="20"/>
    <n v="22"/>
    <n v="0"/>
    <n v="21"/>
    <n v="12"/>
    <n v="0"/>
    <x v="1"/>
    <x v="1"/>
    <x v="30"/>
    <n v="703"/>
    <n v="8.3000000000000007"/>
    <x v="1102"/>
  </r>
  <r>
    <n v="8"/>
    <n v="17"/>
    <n v="3"/>
    <n v="13"/>
    <n v="1"/>
    <n v="0"/>
    <x v="6"/>
    <x v="5"/>
    <x v="4"/>
    <n v="428"/>
    <n v="7.7"/>
    <x v="1103"/>
  </r>
  <r>
    <n v="12"/>
    <n v="23"/>
    <n v="1"/>
    <n v="7"/>
    <n v="1"/>
    <n v="0"/>
    <x v="9"/>
    <x v="20"/>
    <x v="2"/>
    <n v="534"/>
    <n v="9.3000000000000007"/>
    <x v="686"/>
  </r>
  <r>
    <n v="23"/>
    <n v="22"/>
    <n v="0"/>
    <n v="9"/>
    <n v="1"/>
    <n v="0"/>
    <x v="2"/>
    <x v="16"/>
    <x v="12"/>
    <n v="458"/>
    <n v="8.1999999999999993"/>
    <x v="1104"/>
  </r>
  <r>
    <n v="15"/>
    <n v="23"/>
    <n v="1"/>
    <n v="12"/>
    <n v="1"/>
    <n v="0"/>
    <x v="1"/>
    <x v="1"/>
    <x v="16"/>
    <n v="606"/>
    <n v="8.3000000000000007"/>
    <x v="1105"/>
  </r>
  <r>
    <n v="6"/>
    <n v="22"/>
    <n v="0"/>
    <n v="9"/>
    <n v="0"/>
    <n v="0"/>
    <x v="9"/>
    <x v="1"/>
    <x v="10"/>
    <n v="437"/>
    <n v="8.3000000000000007"/>
    <x v="1106"/>
  </r>
  <r>
    <n v="9"/>
    <n v="23"/>
    <n v="3"/>
    <n v="14"/>
    <n v="1"/>
    <n v="0"/>
    <x v="7"/>
    <x v="5"/>
    <x v="12"/>
    <n v="616"/>
    <n v="7.7"/>
    <x v="1107"/>
  </r>
  <r>
    <n v="8"/>
    <n v="19"/>
    <n v="2"/>
    <n v="20"/>
    <n v="1"/>
    <n v="0"/>
    <x v="7"/>
    <x v="16"/>
    <x v="30"/>
    <n v="385"/>
    <n v="8.1999999999999993"/>
    <x v="1108"/>
  </r>
  <r>
    <n v="8"/>
    <n v="19"/>
    <n v="2"/>
    <n v="5"/>
    <n v="7"/>
    <n v="0"/>
    <x v="3"/>
    <x v="4"/>
    <x v="12"/>
    <n v="326"/>
    <n v="8.6999999999999993"/>
    <x v="1109"/>
  </r>
  <r>
    <n v="14"/>
    <n v="22"/>
    <n v="2"/>
    <n v="9"/>
    <n v="1"/>
    <n v="0"/>
    <x v="0"/>
    <x v="10"/>
    <x v="5"/>
    <n v="524"/>
    <n v="8.5"/>
    <x v="1110"/>
  </r>
  <r>
    <n v="16"/>
    <n v="0"/>
    <n v="1"/>
    <n v="21"/>
    <n v="0"/>
    <n v="0"/>
    <x v="9"/>
    <x v="3"/>
    <x v="26"/>
    <n v="816"/>
    <n v="8.9"/>
    <x v="1111"/>
  </r>
  <r>
    <n v="23"/>
    <n v="23"/>
    <n v="1"/>
    <n v="15"/>
    <n v="1"/>
    <n v="0"/>
    <x v="2"/>
    <x v="15"/>
    <x v="7"/>
    <n v="591"/>
    <n v="9.3000000000000007"/>
    <x v="1112"/>
  </r>
  <r>
    <n v="18"/>
    <n v="22"/>
    <n v="2"/>
    <n v="15"/>
    <n v="1"/>
    <n v="0"/>
    <x v="7"/>
    <x v="9"/>
    <x v="2"/>
    <n v="484"/>
    <n v="7.9"/>
    <x v="1113"/>
  </r>
  <r>
    <n v="23"/>
    <n v="22"/>
    <n v="0"/>
    <n v="8"/>
    <n v="1"/>
    <n v="0"/>
    <x v="3"/>
    <x v="17"/>
    <x v="15"/>
    <n v="0"/>
    <n v="8.8000000000000007"/>
    <x v="1114"/>
  </r>
  <r>
    <n v="6"/>
    <n v="19"/>
    <n v="2"/>
    <n v="9"/>
    <n v="7"/>
    <n v="0"/>
    <x v="5"/>
    <x v="5"/>
    <x v="16"/>
    <n v="453"/>
    <n v="0"/>
    <x v="939"/>
  </r>
  <r>
    <n v="17"/>
    <n v="22"/>
    <n v="1"/>
    <n v="7"/>
    <n v="1"/>
    <n v="0"/>
    <x v="9"/>
    <x v="5"/>
    <x v="23"/>
    <n v="403"/>
    <n v="7.7"/>
    <x v="180"/>
  </r>
  <r>
    <n v="13"/>
    <n v="22"/>
    <n v="2"/>
    <n v="14"/>
    <n v="1"/>
    <n v="0"/>
    <x v="0"/>
    <x v="16"/>
    <x v="14"/>
    <n v="549"/>
    <n v="8.1999999999999993"/>
    <x v="1115"/>
  </r>
  <r>
    <n v="20"/>
    <n v="23"/>
    <n v="2"/>
    <n v="20"/>
    <n v="1"/>
    <n v="0"/>
    <x v="9"/>
    <x v="0"/>
    <x v="27"/>
    <n v="537"/>
    <n v="8.1"/>
    <x v="1116"/>
  </r>
  <r>
    <n v="21"/>
    <n v="23"/>
    <n v="1"/>
    <n v="7"/>
    <n v="1"/>
    <n v="0"/>
    <x v="9"/>
    <x v="3"/>
    <x v="6"/>
    <n v="451"/>
    <n v="8.9"/>
    <x v="1117"/>
  </r>
  <r>
    <n v="9"/>
    <n v="20"/>
    <n v="1"/>
    <n v="18"/>
    <n v="1"/>
    <n v="0"/>
    <x v="4"/>
    <x v="19"/>
    <x v="12"/>
    <n v="452"/>
    <n v="7.4"/>
    <x v="24"/>
  </r>
  <r>
    <n v="8"/>
    <n v="20"/>
    <n v="1"/>
    <n v="11"/>
    <n v="1"/>
    <n v="0"/>
    <x v="1"/>
    <x v="9"/>
    <x v="29"/>
    <n v="414"/>
    <n v="7.9"/>
    <x v="1118"/>
  </r>
  <r>
    <n v="8"/>
    <n v="17"/>
    <n v="2"/>
    <n v="5"/>
    <n v="1"/>
    <n v="0"/>
    <x v="8"/>
    <x v="17"/>
    <x v="14"/>
    <n v="218"/>
    <n v="8.8000000000000007"/>
    <x v="1119"/>
  </r>
  <r>
    <n v="9"/>
    <n v="19"/>
    <n v="0"/>
    <n v="19"/>
    <n v="1"/>
    <n v="0"/>
    <x v="8"/>
    <x v="17"/>
    <x v="11"/>
    <n v="323"/>
    <n v="8.8000000000000007"/>
    <x v="1120"/>
  </r>
  <r>
    <n v="18"/>
    <n v="23"/>
    <n v="2"/>
    <n v="21"/>
    <n v="12"/>
    <n v="0"/>
    <x v="2"/>
    <x v="13"/>
    <x v="32"/>
    <n v="0"/>
    <n v="9.1999999999999993"/>
    <x v="1121"/>
  </r>
  <r>
    <n v="12"/>
    <n v="23"/>
    <n v="3"/>
    <n v="9"/>
    <n v="1"/>
    <n v="0"/>
    <x v="6"/>
    <x v="4"/>
    <x v="1"/>
    <n v="389"/>
    <n v="8.6999999999999993"/>
    <x v="1122"/>
  </r>
  <r>
    <n v="10"/>
    <n v="18"/>
    <n v="3"/>
    <n v="20"/>
    <n v="1"/>
    <n v="0"/>
    <x v="8"/>
    <x v="14"/>
    <x v="30"/>
    <n v="653"/>
    <n v="7.6"/>
    <x v="1123"/>
  </r>
  <r>
    <n v="19"/>
    <n v="22"/>
    <n v="1"/>
    <n v="8"/>
    <n v="1"/>
    <n v="0"/>
    <x v="1"/>
    <x v="19"/>
    <x v="4"/>
    <n v="364"/>
    <n v="7.4"/>
    <x v="1124"/>
  </r>
  <r>
    <n v="14"/>
    <n v="23"/>
    <n v="1"/>
    <n v="17"/>
    <n v="12"/>
    <n v="0"/>
    <x v="1"/>
    <x v="10"/>
    <x v="7"/>
    <n v="553"/>
    <n v="8.5"/>
    <x v="1079"/>
  </r>
  <r>
    <n v="14"/>
    <n v="22"/>
    <n v="1"/>
    <n v="4"/>
    <n v="0"/>
    <n v="0"/>
    <x v="1"/>
    <x v="8"/>
    <x v="4"/>
    <n v="505"/>
    <n v="8.4"/>
    <x v="741"/>
  </r>
  <r>
    <n v="21"/>
    <n v="22"/>
    <n v="3"/>
    <n v="21"/>
    <n v="1"/>
    <n v="0"/>
    <x v="9"/>
    <x v="17"/>
    <x v="1"/>
    <n v="689"/>
    <n v="8.8000000000000007"/>
    <x v="1125"/>
  </r>
  <r>
    <n v="23"/>
    <n v="23"/>
    <n v="2"/>
    <n v="0"/>
    <n v="1"/>
    <n v="0"/>
    <x v="7"/>
    <x v="6"/>
    <x v="25"/>
    <n v="555"/>
    <n v="9.1"/>
    <x v="1126"/>
  </r>
  <r>
    <n v="16"/>
    <n v="23"/>
    <n v="2"/>
    <n v="21"/>
    <n v="1"/>
    <n v="0"/>
    <x v="1"/>
    <x v="15"/>
    <x v="32"/>
    <n v="517"/>
    <n v="9.3000000000000007"/>
    <x v="1127"/>
  </r>
  <r>
    <n v="10"/>
    <n v="19"/>
    <n v="0"/>
    <n v="10"/>
    <n v="1"/>
    <n v="0"/>
    <x v="10"/>
    <x v="20"/>
    <x v="31"/>
    <n v="503"/>
    <n v="0"/>
    <x v="1128"/>
  </r>
  <r>
    <n v="5"/>
    <n v="0"/>
    <n v="2"/>
    <n v="21"/>
    <n v="1"/>
    <n v="0"/>
    <x v="4"/>
    <x v="15"/>
    <x v="30"/>
    <n v="455"/>
    <n v="9.3000000000000007"/>
    <x v="1129"/>
  </r>
  <r>
    <n v="15"/>
    <n v="22"/>
    <n v="0"/>
    <n v="0"/>
    <n v="1"/>
    <n v="0"/>
    <x v="12"/>
    <x v="16"/>
    <x v="31"/>
    <n v="494"/>
    <n v="8.1999999999999993"/>
    <x v="24"/>
  </r>
  <r>
    <n v="0"/>
    <n v="22"/>
    <n v="1"/>
    <n v="10"/>
    <n v="12"/>
    <n v="0"/>
    <x v="11"/>
    <x v="9"/>
    <x v="3"/>
    <n v="562"/>
    <n v="7.9"/>
    <x v="24"/>
  </r>
  <r>
    <n v="14"/>
    <n v="23"/>
    <n v="2"/>
    <n v="4"/>
    <n v="1"/>
    <n v="0"/>
    <x v="9"/>
    <x v="8"/>
    <x v="15"/>
    <n v="565"/>
    <n v="8.4"/>
    <x v="1130"/>
  </r>
  <r>
    <n v="7"/>
    <n v="20"/>
    <n v="3"/>
    <n v="3"/>
    <n v="1"/>
    <n v="0"/>
    <x v="10"/>
    <x v="5"/>
    <x v="2"/>
    <n v="404"/>
    <n v="7.7"/>
    <x v="487"/>
  </r>
  <r>
    <n v="7"/>
    <n v="21"/>
    <n v="0"/>
    <n v="6"/>
    <n v="1"/>
    <n v="0"/>
    <x v="9"/>
    <x v="6"/>
    <x v="28"/>
    <n v="438"/>
    <n v="9.1"/>
    <x v="27"/>
  </r>
  <r>
    <n v="7"/>
    <n v="19"/>
    <n v="3"/>
    <n v="18"/>
    <n v="1"/>
    <n v="0"/>
    <x v="5"/>
    <x v="33"/>
    <x v="3"/>
    <n v="407"/>
    <n v="8.1"/>
    <x v="1131"/>
  </r>
  <r>
    <n v="20"/>
    <n v="23"/>
    <n v="2"/>
    <n v="14"/>
    <n v="12"/>
    <n v="0"/>
    <x v="0"/>
    <x v="16"/>
    <x v="15"/>
    <n v="631"/>
    <n v="8.1999999999999993"/>
    <x v="1132"/>
  </r>
  <r>
    <n v="7"/>
    <n v="23"/>
    <n v="2"/>
    <n v="8"/>
    <n v="7"/>
    <n v="0"/>
    <x v="5"/>
    <x v="13"/>
    <x v="10"/>
    <n v="0"/>
    <n v="9.1999999999999993"/>
    <x v="1133"/>
  </r>
  <r>
    <n v="20"/>
    <n v="23"/>
    <n v="1"/>
    <n v="5"/>
    <n v="12"/>
    <n v="0"/>
    <x v="3"/>
    <x v="21"/>
    <x v="13"/>
    <n v="465"/>
    <n v="7.4"/>
    <x v="687"/>
  </r>
  <r>
    <n v="18"/>
    <n v="22"/>
    <n v="1"/>
    <n v="22"/>
    <n v="1"/>
    <n v="0"/>
    <x v="1"/>
    <x v="14"/>
    <x v="4"/>
    <n v="490"/>
    <n v="7.6"/>
    <x v="1134"/>
  </r>
  <r>
    <n v="9"/>
    <n v="21"/>
    <n v="1"/>
    <n v="11"/>
    <n v="1"/>
    <n v="0"/>
    <x v="10"/>
    <x v="7"/>
    <x v="19"/>
    <n v="537"/>
    <n v="7.8"/>
    <x v="1135"/>
  </r>
  <r>
    <n v="17"/>
    <n v="23"/>
    <n v="0"/>
    <n v="22"/>
    <n v="1"/>
    <n v="0"/>
    <x v="11"/>
    <x v="16"/>
    <x v="31"/>
    <n v="636"/>
    <n v="8.1999999999999993"/>
    <x v="1136"/>
  </r>
  <r>
    <n v="10"/>
    <n v="22"/>
    <n v="1"/>
    <n v="0"/>
    <n v="7"/>
    <n v="0"/>
    <x v="11"/>
    <x v="3"/>
    <x v="3"/>
    <n v="589"/>
    <n v="8.9"/>
    <x v="24"/>
  </r>
  <r>
    <n v="7"/>
    <n v="18"/>
    <n v="2"/>
    <n v="21"/>
    <n v="1"/>
    <n v="0"/>
    <x v="2"/>
    <x v="3"/>
    <x v="28"/>
    <n v="350"/>
    <n v="0"/>
    <x v="1137"/>
  </r>
  <r>
    <n v="15"/>
    <n v="23"/>
    <n v="0"/>
    <n v="0"/>
    <n v="1"/>
    <n v="0"/>
    <x v="7"/>
    <x v="1"/>
    <x v="7"/>
    <n v="612"/>
    <n v="8.3000000000000007"/>
    <x v="1138"/>
  </r>
  <r>
    <n v="21"/>
    <n v="23"/>
    <n v="1"/>
    <n v="4"/>
    <n v="1"/>
    <n v="0"/>
    <x v="9"/>
    <x v="14"/>
    <x v="30"/>
    <n v="508"/>
    <n v="7.6"/>
    <x v="24"/>
  </r>
  <r>
    <n v="23"/>
    <n v="22"/>
    <n v="2"/>
    <n v="0"/>
    <n v="1"/>
    <n v="0"/>
    <x v="5"/>
    <x v="9"/>
    <x v="4"/>
    <n v="524"/>
    <n v="7.9"/>
    <x v="1139"/>
  </r>
  <r>
    <n v="21"/>
    <n v="22"/>
    <n v="0"/>
    <n v="19"/>
    <n v="1"/>
    <n v="0"/>
    <x v="9"/>
    <x v="0"/>
    <x v="25"/>
    <n v="509"/>
    <n v="8.1"/>
    <x v="1140"/>
  </r>
  <r>
    <n v="10"/>
    <n v="17"/>
    <n v="2"/>
    <n v="16"/>
    <n v="1"/>
    <n v="0"/>
    <x v="5"/>
    <x v="0"/>
    <x v="15"/>
    <n v="479"/>
    <n v="8.1"/>
    <x v="1141"/>
  </r>
  <r>
    <n v="11"/>
    <n v="23"/>
    <n v="1"/>
    <n v="7"/>
    <n v="0"/>
    <n v="0"/>
    <x v="12"/>
    <x v="7"/>
    <x v="17"/>
    <n v="543"/>
    <n v="7.8"/>
    <x v="1142"/>
  </r>
  <r>
    <n v="22"/>
    <n v="23"/>
    <n v="3"/>
    <n v="8"/>
    <n v="12"/>
    <n v="0"/>
    <x v="4"/>
    <x v="10"/>
    <x v="9"/>
    <n v="764"/>
    <n v="8.5"/>
    <x v="1143"/>
  </r>
  <r>
    <n v="21"/>
    <n v="22"/>
    <n v="1"/>
    <n v="10"/>
    <n v="1"/>
    <n v="0"/>
    <x v="0"/>
    <x v="15"/>
    <x v="2"/>
    <n v="331"/>
    <n v="9.3000000000000007"/>
    <x v="1144"/>
  </r>
  <r>
    <n v="7"/>
    <n v="20"/>
    <n v="2"/>
    <n v="13"/>
    <n v="1"/>
    <n v="0"/>
    <x v="8"/>
    <x v="0"/>
    <x v="16"/>
    <n v="528"/>
    <n v="8.1"/>
    <x v="504"/>
  </r>
  <r>
    <n v="9"/>
    <n v="19"/>
    <n v="2"/>
    <n v="3"/>
    <n v="1"/>
    <n v="0"/>
    <x v="10"/>
    <x v="10"/>
    <x v="8"/>
    <n v="476"/>
    <n v="8.5"/>
    <x v="740"/>
  </r>
  <r>
    <n v="5"/>
    <n v="17"/>
    <n v="1"/>
    <n v="4"/>
    <n v="7"/>
    <n v="0"/>
    <x v="10"/>
    <x v="3"/>
    <x v="31"/>
    <n v="211"/>
    <n v="8.9"/>
    <x v="1145"/>
  </r>
  <r>
    <n v="21"/>
    <n v="23"/>
    <n v="1"/>
    <n v="3"/>
    <n v="12"/>
    <n v="0"/>
    <x v="0"/>
    <x v="14"/>
    <x v="18"/>
    <n v="495"/>
    <n v="7.6"/>
    <x v="1146"/>
  </r>
  <r>
    <n v="17"/>
    <n v="22"/>
    <n v="0"/>
    <n v="19"/>
    <n v="1"/>
    <n v="0"/>
    <x v="4"/>
    <x v="3"/>
    <x v="9"/>
    <n v="652"/>
    <n v="8.9"/>
    <x v="1147"/>
  </r>
  <r>
    <n v="7"/>
    <n v="17"/>
    <n v="2"/>
    <n v="10"/>
    <n v="1"/>
    <n v="0"/>
    <x v="12"/>
    <x v="19"/>
    <x v="26"/>
    <n v="407"/>
    <n v="7.4"/>
    <x v="1148"/>
  </r>
  <r>
    <n v="10"/>
    <n v="18"/>
    <n v="0"/>
    <n v="5"/>
    <n v="1"/>
    <n v="0"/>
    <x v="2"/>
    <x v="9"/>
    <x v="29"/>
    <n v="227"/>
    <n v="7.9"/>
    <x v="1149"/>
  </r>
  <r>
    <n v="10"/>
    <n v="18"/>
    <n v="3"/>
    <n v="6"/>
    <n v="1"/>
    <n v="0"/>
    <x v="5"/>
    <x v="6"/>
    <x v="14"/>
    <n v="358"/>
    <n v="9.1"/>
    <x v="24"/>
  </r>
  <r>
    <n v="7"/>
    <n v="21"/>
    <n v="2"/>
    <n v="17"/>
    <n v="1"/>
    <n v="0"/>
    <x v="2"/>
    <x v="11"/>
    <x v="20"/>
    <n v="393"/>
    <n v="8.4"/>
    <x v="1150"/>
  </r>
  <r>
    <n v="21"/>
    <n v="22"/>
    <n v="0"/>
    <n v="0"/>
    <n v="12"/>
    <n v="0"/>
    <x v="4"/>
    <x v="20"/>
    <x v="23"/>
    <n v="605"/>
    <n v="7.7"/>
    <x v="1151"/>
  </r>
  <r>
    <n v="8"/>
    <n v="20"/>
    <n v="3"/>
    <n v="5"/>
    <n v="1"/>
    <n v="0"/>
    <x v="6"/>
    <x v="1"/>
    <x v="0"/>
    <n v="487"/>
    <n v="0"/>
    <x v="1152"/>
  </r>
  <r>
    <n v="18"/>
    <n v="23"/>
    <n v="0"/>
    <n v="7"/>
    <n v="1"/>
    <n v="0"/>
    <x v="6"/>
    <x v="16"/>
    <x v="22"/>
    <n v="558"/>
    <n v="8.1999999999999993"/>
    <x v="1153"/>
  </r>
  <r>
    <n v="16"/>
    <n v="22"/>
    <n v="2"/>
    <n v="11"/>
    <n v="1"/>
    <n v="0"/>
    <x v="4"/>
    <x v="13"/>
    <x v="2"/>
    <n v="625"/>
    <n v="9.1999999999999993"/>
    <x v="1154"/>
  </r>
  <r>
    <n v="16"/>
    <n v="22"/>
    <n v="1"/>
    <n v="3"/>
    <n v="1"/>
    <n v="0"/>
    <x v="2"/>
    <x v="7"/>
    <x v="20"/>
    <n v="322"/>
    <n v="7.8"/>
    <x v="1155"/>
  </r>
  <r>
    <n v="5"/>
    <n v="23"/>
    <n v="0"/>
    <n v="17"/>
    <n v="1"/>
    <n v="0"/>
    <x v="5"/>
    <x v="1"/>
    <x v="2"/>
    <s v="nan "/>
    <n v="8.3000000000000007"/>
    <x v="1156"/>
  </r>
  <r>
    <n v="14"/>
    <n v="23"/>
    <n v="3"/>
    <n v="15"/>
    <n v="1"/>
    <n v="0"/>
    <x v="3"/>
    <x v="14"/>
    <x v="28"/>
    <n v="564"/>
    <n v="7.6"/>
    <x v="1157"/>
  </r>
  <r>
    <n v="21"/>
    <n v="22"/>
    <n v="2"/>
    <n v="19"/>
    <n v="12"/>
    <n v="0"/>
    <x v="10"/>
    <x v="17"/>
    <x v="30"/>
    <n v="756"/>
    <n v="8.8000000000000007"/>
    <x v="1158"/>
  </r>
  <r>
    <n v="7"/>
    <n v="18"/>
    <n v="2"/>
    <n v="13"/>
    <n v="0"/>
    <n v="0"/>
    <x v="3"/>
    <x v="9"/>
    <x v="26"/>
    <n v="444"/>
    <n v="7.9"/>
    <x v="90"/>
  </r>
  <r>
    <n v="8"/>
    <n v="22"/>
    <n v="3"/>
    <n v="18"/>
    <n v="7"/>
    <n v="0"/>
    <x v="10"/>
    <x v="11"/>
    <x v="6"/>
    <n v="532"/>
    <n v="8.4"/>
    <x v="1159"/>
  </r>
  <r>
    <n v="14"/>
    <n v="22"/>
    <n v="1"/>
    <n v="0"/>
    <n v="1"/>
    <n v="0"/>
    <x v="3"/>
    <x v="10"/>
    <x v="20"/>
    <n v="561"/>
    <n v="8.5"/>
    <x v="1019"/>
  </r>
  <r>
    <n v="6"/>
    <n v="23"/>
    <n v="3"/>
    <n v="18"/>
    <n v="1"/>
    <n v="0"/>
    <x v="5"/>
    <x v="3"/>
    <x v="25"/>
    <n v="442"/>
    <n v="8.9"/>
    <x v="1160"/>
  </r>
  <r>
    <n v="18"/>
    <n v="22"/>
    <n v="1"/>
    <n v="13"/>
    <n v="1"/>
    <n v="0"/>
    <x v="1"/>
    <x v="7"/>
    <x v="9"/>
    <n v="601"/>
    <n v="7.8"/>
    <x v="1161"/>
  </r>
  <r>
    <n v="20"/>
    <n v="23"/>
    <n v="3"/>
    <n v="16"/>
    <n v="1"/>
    <n v="0"/>
    <x v="11"/>
    <x v="19"/>
    <x v="2"/>
    <n v="648"/>
    <n v="7.4"/>
    <x v="1162"/>
  </r>
  <r>
    <n v="23"/>
    <n v="23"/>
    <n v="0"/>
    <n v="15"/>
    <n v="1"/>
    <n v="0"/>
    <x v="3"/>
    <x v="15"/>
    <x v="11"/>
    <n v="478"/>
    <n v="9.3000000000000007"/>
    <x v="1163"/>
  </r>
  <r>
    <n v="13"/>
    <n v="0"/>
    <n v="0"/>
    <n v="8"/>
    <n v="12"/>
    <n v="0"/>
    <x v="10"/>
    <x v="17"/>
    <x v="30"/>
    <n v="683"/>
    <n v="8.8000000000000007"/>
    <x v="1164"/>
  </r>
  <r>
    <n v="5"/>
    <n v="18"/>
    <n v="0"/>
    <n v="7"/>
    <n v="7"/>
    <n v="0"/>
    <x v="12"/>
    <x v="14"/>
    <x v="28"/>
    <n v="0"/>
    <n v="7.6"/>
    <x v="1165"/>
  </r>
  <r>
    <n v="23"/>
    <n v="22"/>
    <n v="2"/>
    <n v="14"/>
    <n v="1"/>
    <n v="0"/>
    <x v="11"/>
    <x v="3"/>
    <x v="5"/>
    <n v="470"/>
    <n v="8.9"/>
    <x v="24"/>
  </r>
  <r>
    <n v="22"/>
    <n v="22"/>
    <n v="2"/>
    <n v="6"/>
    <n v="1"/>
    <n v="0"/>
    <x v="1"/>
    <x v="6"/>
    <x v="17"/>
    <n v="540"/>
    <n v="9.1"/>
    <x v="1166"/>
  </r>
  <r>
    <n v="20"/>
    <n v="22"/>
    <n v="2"/>
    <n v="4"/>
    <n v="1"/>
    <n v="0"/>
    <x v="7"/>
    <x v="9"/>
    <x v="4"/>
    <n v="361"/>
    <n v="7.9"/>
    <x v="979"/>
  </r>
  <r>
    <n v="5"/>
    <n v="22"/>
    <n v="3"/>
    <n v="13"/>
    <n v="1"/>
    <n v="0"/>
    <x v="8"/>
    <x v="9"/>
    <x v="21"/>
    <n v="409"/>
    <n v="7.9"/>
    <x v="1167"/>
  </r>
  <r>
    <n v="10"/>
    <n v="21"/>
    <n v="2"/>
    <n v="22"/>
    <n v="1"/>
    <n v="0"/>
    <x v="12"/>
    <x v="7"/>
    <x v="24"/>
    <n v="714"/>
    <n v="7.8"/>
    <x v="597"/>
  </r>
  <r>
    <n v="7"/>
    <n v="0"/>
    <n v="1"/>
    <n v="16"/>
    <n v="1"/>
    <n v="0"/>
    <x v="6"/>
    <x v="8"/>
    <x v="11"/>
    <n v="501"/>
    <n v="8.4"/>
    <x v="587"/>
  </r>
  <r>
    <n v="0"/>
    <n v="22"/>
    <n v="2"/>
    <n v="12"/>
    <n v="1"/>
    <n v="0"/>
    <x v="8"/>
    <x v="1"/>
    <x v="3"/>
    <n v="701"/>
    <s v="nan "/>
    <x v="1168"/>
  </r>
  <r>
    <n v="21"/>
    <n v="23"/>
    <n v="0"/>
    <n v="4"/>
    <n v="1"/>
    <n v="0"/>
    <x v="9"/>
    <x v="7"/>
    <x v="19"/>
    <n v="581"/>
    <n v="7.8"/>
    <x v="152"/>
  </r>
  <r>
    <n v="5"/>
    <n v="20"/>
    <n v="0"/>
    <n v="3"/>
    <n v="1"/>
    <n v="0"/>
    <x v="8"/>
    <x v="13"/>
    <x v="2"/>
    <n v="0"/>
    <n v="9.1999999999999993"/>
    <x v="1169"/>
  </r>
  <r>
    <n v="17"/>
    <n v="22"/>
    <n v="1"/>
    <n v="17"/>
    <n v="1"/>
    <n v="0"/>
    <x v="3"/>
    <x v="6"/>
    <x v="1"/>
    <n v="529"/>
    <n v="9.1"/>
    <x v="1170"/>
  </r>
  <r>
    <n v="12"/>
    <n v="22"/>
    <n v="2"/>
    <n v="0"/>
    <n v="1"/>
    <n v="0"/>
    <x v="5"/>
    <x v="22"/>
    <x v="18"/>
    <n v="550"/>
    <n v="8.5"/>
    <x v="1171"/>
  </r>
  <r>
    <n v="17"/>
    <n v="0"/>
    <n v="2"/>
    <n v="4"/>
    <n v="1"/>
    <n v="0"/>
    <x v="12"/>
    <x v="5"/>
    <x v="26"/>
    <n v="347"/>
    <n v="7.7"/>
    <x v="1172"/>
  </r>
  <r>
    <n v="8"/>
    <n v="21"/>
    <n v="2"/>
    <n v="19"/>
    <n v="1"/>
    <n v="0"/>
    <x v="11"/>
    <x v="1"/>
    <x v="31"/>
    <n v="573"/>
    <n v="8.3000000000000007"/>
    <x v="1173"/>
  </r>
  <r>
    <n v="11"/>
    <n v="22"/>
    <n v="2"/>
    <n v="19"/>
    <n v="1"/>
    <n v="0"/>
    <x v="4"/>
    <x v="17"/>
    <x v="1"/>
    <n v="460"/>
    <n v="8.8000000000000007"/>
    <x v="946"/>
  </r>
  <r>
    <n v="20"/>
    <n v="22"/>
    <n v="3"/>
    <n v="6"/>
    <n v="1"/>
    <n v="0"/>
    <x v="6"/>
    <x v="13"/>
    <x v="5"/>
    <n v="581"/>
    <n v="9.1999999999999993"/>
    <x v="784"/>
  </r>
  <r>
    <n v="0"/>
    <n v="23"/>
    <n v="3"/>
    <n v="8"/>
    <n v="1"/>
    <n v="0"/>
    <x v="10"/>
    <x v="9"/>
    <x v="7"/>
    <n v="467"/>
    <n v="7.9"/>
    <x v="1174"/>
  </r>
  <r>
    <n v="10"/>
    <n v="21"/>
    <n v="0"/>
    <n v="5"/>
    <n v="1"/>
    <n v="0"/>
    <x v="5"/>
    <x v="19"/>
    <x v="21"/>
    <n v="280"/>
    <n v="7.4"/>
    <x v="804"/>
  </r>
  <r>
    <n v="12"/>
    <n v="23"/>
    <n v="0"/>
    <n v="17"/>
    <n v="12"/>
    <n v="0"/>
    <x v="8"/>
    <x v="6"/>
    <x v="19"/>
    <n v="802"/>
    <n v="9.1"/>
    <x v="24"/>
  </r>
  <r>
    <n v="19"/>
    <n v="22"/>
    <n v="3"/>
    <n v="11"/>
    <n v="1"/>
    <n v="0"/>
    <x v="11"/>
    <x v="4"/>
    <x v="6"/>
    <n v="563"/>
    <n v="8.6999999999999993"/>
    <x v="1175"/>
  </r>
  <r>
    <n v="10"/>
    <n v="19"/>
    <n v="0"/>
    <n v="10"/>
    <n v="1"/>
    <n v="0"/>
    <x v="8"/>
    <x v="14"/>
    <x v="26"/>
    <n v="391"/>
    <n v="7.6"/>
    <x v="319"/>
  </r>
  <r>
    <n v="19"/>
    <n v="23"/>
    <n v="2"/>
    <n v="21"/>
    <n v="1"/>
    <n v="0"/>
    <x v="8"/>
    <x v="1"/>
    <x v="26"/>
    <n v="660"/>
    <n v="8.3000000000000007"/>
    <x v="1176"/>
  </r>
  <r>
    <n v="11"/>
    <n v="23"/>
    <n v="0"/>
    <n v="21"/>
    <n v="1"/>
    <n v="0"/>
    <x v="10"/>
    <x v="16"/>
    <x v="29"/>
    <n v="629"/>
    <n v="8.1999999999999993"/>
    <x v="1177"/>
  </r>
  <r>
    <n v="15"/>
    <n v="23"/>
    <n v="2"/>
    <n v="8"/>
    <n v="1"/>
    <n v="0"/>
    <x v="12"/>
    <x v="8"/>
    <x v="23"/>
    <n v="384"/>
    <n v="8.4"/>
    <x v="1178"/>
  </r>
  <r>
    <n v="10"/>
    <n v="19"/>
    <n v="3"/>
    <n v="8"/>
    <n v="1"/>
    <n v="0"/>
    <x v="10"/>
    <x v="9"/>
    <x v="28"/>
    <n v="411"/>
    <n v="7.9"/>
    <x v="1179"/>
  </r>
  <r>
    <n v="8"/>
    <n v="23"/>
    <n v="2"/>
    <n v="22"/>
    <n v="1"/>
    <n v="0"/>
    <x v="9"/>
    <x v="4"/>
    <x v="29"/>
    <n v="608"/>
    <n v="8.6999999999999993"/>
    <x v="1180"/>
  </r>
  <r>
    <n v="15"/>
    <n v="23"/>
    <n v="2"/>
    <n v="17"/>
    <n v="1"/>
    <n v="0"/>
    <x v="7"/>
    <x v="16"/>
    <x v="9"/>
    <n v="592"/>
    <n v="8.1999999999999993"/>
    <x v="1181"/>
  </r>
  <r>
    <n v="22"/>
    <n v="23"/>
    <n v="0"/>
    <n v="7"/>
    <n v="12"/>
    <n v="0"/>
    <x v="4"/>
    <x v="6"/>
    <x v="15"/>
    <n v="674"/>
    <n v="9.1"/>
    <x v="1182"/>
  </r>
  <r>
    <n v="10"/>
    <n v="22"/>
    <n v="1"/>
    <n v="19"/>
    <n v="1"/>
    <n v="0"/>
    <x v="2"/>
    <x v="15"/>
    <x v="31"/>
    <n v="653"/>
    <n v="9.3000000000000007"/>
    <x v="1183"/>
  </r>
  <r>
    <n v="11"/>
    <n v="23"/>
    <n v="1"/>
    <n v="6"/>
    <n v="1"/>
    <n v="0"/>
    <x v="4"/>
    <x v="13"/>
    <x v="7"/>
    <n v="572"/>
    <n v="0"/>
    <x v="618"/>
  </r>
  <r>
    <n v="16"/>
    <n v="22"/>
    <n v="1"/>
    <n v="11"/>
    <n v="1"/>
    <n v="0"/>
    <x v="1"/>
    <x v="14"/>
    <x v="27"/>
    <n v="466"/>
    <n v="7.6"/>
    <x v="24"/>
  </r>
  <r>
    <n v="22"/>
    <n v="22"/>
    <n v="0"/>
    <n v="16"/>
    <n v="1"/>
    <n v="0"/>
    <x v="3"/>
    <x v="14"/>
    <x v="16"/>
    <n v="664"/>
    <n v="7.6"/>
    <x v="1184"/>
  </r>
  <r>
    <n v="23"/>
    <n v="22"/>
    <n v="1"/>
    <n v="11"/>
    <n v="1"/>
    <n v="0"/>
    <x v="10"/>
    <x v="1"/>
    <x v="5"/>
    <n v="675"/>
    <n v="8.3000000000000007"/>
    <x v="1185"/>
  </r>
  <r>
    <n v="20"/>
    <n v="22"/>
    <n v="0"/>
    <n v="20"/>
    <n v="1"/>
    <n v="0"/>
    <x v="10"/>
    <x v="17"/>
    <x v="1"/>
    <n v="691"/>
    <n v="8.8000000000000007"/>
    <x v="1186"/>
  </r>
  <r>
    <n v="22"/>
    <n v="23"/>
    <n v="1"/>
    <n v="13"/>
    <n v="12"/>
    <n v="0"/>
    <x v="12"/>
    <x v="13"/>
    <x v="31"/>
    <n v="795"/>
    <n v="9.1999999999999993"/>
    <x v="1187"/>
  </r>
  <r>
    <n v="17"/>
    <n v="23"/>
    <n v="1"/>
    <n v="20"/>
    <n v="1"/>
    <n v="0"/>
    <x v="10"/>
    <x v="4"/>
    <x v="22"/>
    <n v="626"/>
    <n v="8.6999999999999993"/>
    <x v="1188"/>
  </r>
  <r>
    <n v="10"/>
    <n v="18"/>
    <n v="0"/>
    <n v="12"/>
    <n v="1"/>
    <n v="0"/>
    <x v="0"/>
    <x v="13"/>
    <x v="17"/>
    <n v="211"/>
    <n v="9.1999999999999993"/>
    <x v="1189"/>
  </r>
  <r>
    <n v="14"/>
    <n v="22"/>
    <n v="2"/>
    <n v="4"/>
    <n v="1"/>
    <n v="0"/>
    <x v="0"/>
    <x v="1"/>
    <x v="6"/>
    <n v="442"/>
    <n v="8.3000000000000007"/>
    <x v="1190"/>
  </r>
  <r>
    <n v="11"/>
    <n v="22"/>
    <n v="3"/>
    <n v="18"/>
    <n v="1"/>
    <n v="0"/>
    <x v="9"/>
    <x v="0"/>
    <x v="9"/>
    <n v="577"/>
    <n v="8.1"/>
    <x v="1191"/>
  </r>
  <r>
    <n v="12"/>
    <n v="23"/>
    <n v="0"/>
    <n v="17"/>
    <n v="1"/>
    <n v="0"/>
    <x v="0"/>
    <x v="16"/>
    <x v="12"/>
    <n v="419"/>
    <n v="8.1999999999999993"/>
    <x v="1192"/>
  </r>
  <r>
    <n v="12"/>
    <n v="23"/>
    <n v="2"/>
    <n v="3"/>
    <n v="1"/>
    <n v="0"/>
    <x v="9"/>
    <x v="17"/>
    <x v="5"/>
    <n v="469"/>
    <n v="8.8000000000000007"/>
    <x v="1193"/>
  </r>
  <r>
    <n v="20"/>
    <n v="22"/>
    <n v="1"/>
    <n v="10"/>
    <n v="12"/>
    <n v="0"/>
    <x v="1"/>
    <x v="1"/>
    <x v="3"/>
    <n v="688"/>
    <n v="8.3000000000000007"/>
    <x v="1194"/>
  </r>
  <r>
    <n v="12"/>
    <n v="23"/>
    <n v="0"/>
    <n v="18"/>
    <n v="1"/>
    <n v="0"/>
    <x v="0"/>
    <x v="7"/>
    <x v="23"/>
    <n v="465"/>
    <n v="7.8"/>
    <x v="1195"/>
  </r>
  <r>
    <n v="8"/>
    <n v="20"/>
    <n v="2"/>
    <n v="15"/>
    <n v="1"/>
    <n v="0"/>
    <x v="9"/>
    <x v="25"/>
    <x v="9"/>
    <n v="427"/>
    <n v="8.1999999999999993"/>
    <x v="1196"/>
  </r>
  <r>
    <n v="13"/>
    <n v="22"/>
    <n v="1"/>
    <n v="18"/>
    <n v="1"/>
    <n v="0"/>
    <x v="11"/>
    <x v="7"/>
    <x v="2"/>
    <n v="410"/>
    <n v="7.8"/>
    <x v="1197"/>
  </r>
  <r>
    <n v="19"/>
    <n v="23"/>
    <n v="1"/>
    <n v="5"/>
    <n v="1"/>
    <n v="0"/>
    <x v="10"/>
    <x v="20"/>
    <x v="28"/>
    <n v="588"/>
    <n v="0"/>
    <x v="1198"/>
  </r>
  <r>
    <n v="22"/>
    <n v="22"/>
    <n v="0"/>
    <n v="21"/>
    <n v="1"/>
    <n v="0"/>
    <x v="8"/>
    <x v="20"/>
    <x v="29"/>
    <n v="704"/>
    <n v="7.9"/>
    <x v="24"/>
  </r>
  <r>
    <n v="12"/>
    <n v="23"/>
    <n v="2"/>
    <n v="7"/>
    <n v="1"/>
    <n v="0"/>
    <x v="5"/>
    <x v="2"/>
    <x v="13"/>
    <n v="0"/>
    <n v="8.9"/>
    <x v="1199"/>
  </r>
  <r>
    <n v="8"/>
    <n v="21"/>
    <n v="3"/>
    <n v="11"/>
    <n v="1"/>
    <n v="0"/>
    <x v="11"/>
    <x v="15"/>
    <x v="20"/>
    <n v="391"/>
    <n v="9.3000000000000007"/>
    <x v="131"/>
  </r>
  <r>
    <n v="19"/>
    <n v="22"/>
    <n v="3"/>
    <n v="7"/>
    <n v="1"/>
    <n v="0"/>
    <x v="4"/>
    <x v="5"/>
    <x v="27"/>
    <n v="426"/>
    <n v="7.7"/>
    <x v="1200"/>
  </r>
  <r>
    <n v="20"/>
    <n v="22"/>
    <n v="1"/>
    <n v="19"/>
    <n v="1"/>
    <n v="0"/>
    <x v="8"/>
    <x v="8"/>
    <x v="0"/>
    <n v="697"/>
    <n v="8.4"/>
    <x v="1201"/>
  </r>
  <r>
    <n v="5"/>
    <n v="17"/>
    <n v="1"/>
    <n v="3"/>
    <n v="1"/>
    <n v="0"/>
    <x v="0"/>
    <x v="8"/>
    <x v="0"/>
    <n v="275"/>
    <n v="8.4"/>
    <x v="1202"/>
  </r>
  <r>
    <n v="12"/>
    <n v="23"/>
    <n v="3"/>
    <n v="19"/>
    <n v="1"/>
    <n v="0"/>
    <x v="5"/>
    <x v="7"/>
    <x v="13"/>
    <n v="699"/>
    <n v="7.8"/>
    <x v="1203"/>
  </r>
  <r>
    <n v="16"/>
    <n v="23"/>
    <n v="2"/>
    <n v="13"/>
    <n v="1"/>
    <n v="0"/>
    <x v="11"/>
    <x v="8"/>
    <x v="0"/>
    <n v="638"/>
    <n v="8.4"/>
    <x v="1204"/>
  </r>
  <r>
    <n v="17"/>
    <n v="22"/>
    <n v="2"/>
    <n v="22"/>
    <n v="1"/>
    <n v="0"/>
    <x v="6"/>
    <x v="10"/>
    <x v="9"/>
    <n v="612"/>
    <n v="8.5"/>
    <x v="1205"/>
  </r>
  <r>
    <n v="23"/>
    <n v="22"/>
    <n v="1"/>
    <n v="8"/>
    <n v="1"/>
    <n v="0"/>
    <x v="8"/>
    <x v="15"/>
    <x v="13"/>
    <n v="474"/>
    <n v="9.3000000000000007"/>
    <x v="395"/>
  </r>
  <r>
    <n v="17"/>
    <n v="22"/>
    <n v="2"/>
    <n v="13"/>
    <n v="1"/>
    <n v="0"/>
    <x v="7"/>
    <x v="4"/>
    <x v="21"/>
    <n v="663"/>
    <n v="8.6999999999999993"/>
    <x v="1206"/>
  </r>
  <r>
    <n v="5"/>
    <n v="22"/>
    <n v="1"/>
    <n v="13"/>
    <n v="1"/>
    <n v="0"/>
    <x v="10"/>
    <x v="10"/>
    <x v="0"/>
    <n v="314"/>
    <n v="8.5"/>
    <x v="1207"/>
  </r>
  <r>
    <n v="8"/>
    <n v="18"/>
    <n v="2"/>
    <n v="5"/>
    <n v="0"/>
    <n v="0"/>
    <x v="4"/>
    <x v="26"/>
    <x v="26"/>
    <n v="290"/>
    <n v="7.9"/>
    <x v="1208"/>
  </r>
  <r>
    <n v="22"/>
    <n v="23"/>
    <n v="2"/>
    <n v="3"/>
    <n v="1"/>
    <n v="0"/>
    <x v="8"/>
    <x v="5"/>
    <x v="14"/>
    <n v="618"/>
    <n v="7.7"/>
    <x v="1209"/>
  </r>
  <r>
    <n v="15"/>
    <n v="23"/>
    <n v="1"/>
    <n v="22"/>
    <n v="1"/>
    <n v="0"/>
    <x v="3"/>
    <x v="23"/>
    <x v="13"/>
    <n v="0"/>
    <n v="7.8"/>
    <x v="225"/>
  </r>
  <r>
    <n v="16"/>
    <n v="23"/>
    <n v="0"/>
    <n v="13"/>
    <n v="1"/>
    <n v="0"/>
    <x v="3"/>
    <x v="14"/>
    <x v="14"/>
    <n v="523"/>
    <n v="7.6"/>
    <x v="1210"/>
  </r>
  <r>
    <n v="16"/>
    <n v="23"/>
    <n v="3"/>
    <n v="14"/>
    <n v="12"/>
    <n v="0"/>
    <x v="2"/>
    <x v="26"/>
    <x v="31"/>
    <n v="626"/>
    <n v="7.9"/>
    <x v="1211"/>
  </r>
  <r>
    <n v="11"/>
    <n v="23"/>
    <n v="3"/>
    <n v="14"/>
    <n v="1"/>
    <n v="0"/>
    <x v="4"/>
    <x v="1"/>
    <x v="3"/>
    <n v="588"/>
    <n v="8.3000000000000007"/>
    <x v="1212"/>
  </r>
  <r>
    <n v="0"/>
    <n v="23"/>
    <n v="1"/>
    <n v="13"/>
    <n v="1"/>
    <n v="0"/>
    <x v="3"/>
    <x v="8"/>
    <x v="31"/>
    <n v="691"/>
    <n v="8.4"/>
    <x v="24"/>
  </r>
  <r>
    <n v="5"/>
    <n v="21"/>
    <n v="2"/>
    <n v="17"/>
    <n v="1"/>
    <n v="0"/>
    <x v="0"/>
    <x v="8"/>
    <x v="23"/>
    <n v="447"/>
    <n v="8.4"/>
    <x v="1213"/>
  </r>
  <r>
    <n v="6"/>
    <n v="0"/>
    <n v="2"/>
    <n v="7"/>
    <n v="7"/>
    <n v="0"/>
    <x v="6"/>
    <x v="14"/>
    <x v="17"/>
    <n v="523"/>
    <n v="7.6"/>
    <x v="1210"/>
  </r>
  <r>
    <n v="7"/>
    <n v="21"/>
    <n v="3"/>
    <n v="8"/>
    <n v="1"/>
    <n v="0"/>
    <x v="2"/>
    <x v="5"/>
    <x v="17"/>
    <n v="541"/>
    <n v="7.7"/>
    <x v="1214"/>
  </r>
  <r>
    <n v="7"/>
    <n v="18"/>
    <n v="0"/>
    <n v="22"/>
    <n v="1"/>
    <n v="0"/>
    <x v="7"/>
    <x v="7"/>
    <x v="3"/>
    <n v="596"/>
    <n v="7.8"/>
    <x v="841"/>
  </r>
  <r>
    <n v="17"/>
    <n v="22"/>
    <n v="1"/>
    <n v="16"/>
    <n v="1"/>
    <n v="0"/>
    <x v="8"/>
    <x v="10"/>
    <x v="13"/>
    <n v="441"/>
    <n v="8.5"/>
    <x v="1215"/>
  </r>
  <r>
    <n v="7"/>
    <n v="19"/>
    <n v="0"/>
    <n v="15"/>
    <n v="1"/>
    <n v="0"/>
    <x v="11"/>
    <x v="9"/>
    <x v="23"/>
    <n v="442"/>
    <n v="7.9"/>
    <x v="1216"/>
  </r>
  <r>
    <n v="21"/>
    <n v="23"/>
    <n v="0"/>
    <n v="20"/>
    <n v="1"/>
    <n v="0"/>
    <x v="0"/>
    <x v="17"/>
    <x v="28"/>
    <n v="487"/>
    <n v="8.8000000000000007"/>
    <x v="1217"/>
  </r>
  <r>
    <n v="9"/>
    <n v="20"/>
    <n v="0"/>
    <n v="6"/>
    <n v="7"/>
    <n v="0"/>
    <x v="2"/>
    <x v="5"/>
    <x v="10"/>
    <n v="343"/>
    <n v="7.7"/>
    <x v="1218"/>
  </r>
  <r>
    <n v="14"/>
    <n v="23"/>
    <n v="0"/>
    <n v="9"/>
    <n v="12"/>
    <n v="0"/>
    <x v="11"/>
    <x v="8"/>
    <x v="28"/>
    <n v="458"/>
    <n v="8.4"/>
    <x v="987"/>
  </r>
  <r>
    <n v="5"/>
    <n v="19"/>
    <n v="2"/>
    <n v="20"/>
    <n v="1"/>
    <n v="0"/>
    <x v="8"/>
    <x v="13"/>
    <x v="16"/>
    <n v="493"/>
    <n v="9.1999999999999993"/>
    <x v="1219"/>
  </r>
  <r>
    <n v="23"/>
    <n v="22"/>
    <n v="0"/>
    <n v="19"/>
    <n v="1"/>
    <n v="0"/>
    <x v="4"/>
    <x v="19"/>
    <x v="10"/>
    <n v="0"/>
    <n v="7.4"/>
    <x v="1220"/>
  </r>
  <r>
    <n v="8"/>
    <n v="18"/>
    <n v="3"/>
    <n v="19"/>
    <n v="1"/>
    <n v="0"/>
    <x v="3"/>
    <x v="21"/>
    <x v="14"/>
    <n v="424"/>
    <n v="7.4"/>
    <x v="1221"/>
  </r>
  <r>
    <n v="16"/>
    <n v="23"/>
    <n v="3"/>
    <n v="15"/>
    <n v="12"/>
    <n v="0"/>
    <x v="4"/>
    <x v="22"/>
    <x v="14"/>
    <n v="655"/>
    <n v="9.1"/>
    <x v="1222"/>
  </r>
  <r>
    <n v="22"/>
    <n v="23"/>
    <n v="0"/>
    <n v="15"/>
    <n v="1"/>
    <n v="0"/>
    <x v="12"/>
    <x v="6"/>
    <x v="19"/>
    <n v="612"/>
    <n v="9.1"/>
    <x v="597"/>
  </r>
  <r>
    <n v="12"/>
    <n v="22"/>
    <n v="2"/>
    <n v="18"/>
    <n v="1"/>
    <n v="0"/>
    <x v="7"/>
    <x v="16"/>
    <x v="7"/>
    <n v="628"/>
    <n v="8.1999999999999993"/>
    <x v="1223"/>
  </r>
  <r>
    <n v="13"/>
    <n v="22"/>
    <n v="1"/>
    <n v="13"/>
    <n v="0"/>
    <n v="0"/>
    <x v="6"/>
    <x v="7"/>
    <x v="9"/>
    <n v="685"/>
    <n v="7.8"/>
    <x v="1224"/>
  </r>
  <r>
    <n v="12"/>
    <n v="22"/>
    <n v="2"/>
    <n v="10"/>
    <n v="0"/>
    <n v="0"/>
    <x v="11"/>
    <x v="8"/>
    <x v="26"/>
    <n v="558"/>
    <n v="8.4"/>
    <x v="1225"/>
  </r>
  <r>
    <n v="20"/>
    <n v="0"/>
    <n v="2"/>
    <n v="11"/>
    <n v="12"/>
    <n v="0"/>
    <x v="12"/>
    <x v="25"/>
    <x v="21"/>
    <n v="710"/>
    <n v="8.1999999999999993"/>
    <x v="1226"/>
  </r>
  <r>
    <n v="23"/>
    <n v="22"/>
    <n v="0"/>
    <n v="18"/>
    <n v="0"/>
    <n v="0"/>
    <x v="7"/>
    <x v="17"/>
    <x v="21"/>
    <n v="451"/>
    <n v="8.8000000000000007"/>
    <x v="1227"/>
  </r>
  <r>
    <n v="9"/>
    <n v="20"/>
    <n v="0"/>
    <n v="20"/>
    <n v="1"/>
    <n v="0"/>
    <x v="6"/>
    <x v="14"/>
    <x v="20"/>
    <n v="549"/>
    <n v="7.6"/>
    <x v="1228"/>
  </r>
  <r>
    <n v="7"/>
    <n v="17"/>
    <n v="1"/>
    <n v="13"/>
    <n v="1"/>
    <n v="0"/>
    <x v="9"/>
    <x v="13"/>
    <x v="25"/>
    <n v="286"/>
    <n v="9.1999999999999993"/>
    <x v="1229"/>
  </r>
  <r>
    <n v="0"/>
    <n v="23"/>
    <n v="0"/>
    <n v="3"/>
    <n v="1"/>
    <n v="0"/>
    <x v="9"/>
    <x v="26"/>
    <x v="13"/>
    <n v="552"/>
    <n v="7.9"/>
    <x v="24"/>
  </r>
  <r>
    <n v="12"/>
    <n v="23"/>
    <n v="1"/>
    <n v="20"/>
    <n v="1"/>
    <n v="0"/>
    <x v="11"/>
    <x v="0"/>
    <x v="15"/>
    <n v="530"/>
    <n v="8.1"/>
    <x v="1230"/>
  </r>
  <r>
    <n v="12"/>
    <n v="22"/>
    <n v="3"/>
    <n v="5"/>
    <n v="1"/>
    <n v="0"/>
    <x v="7"/>
    <x v="1"/>
    <x v="3"/>
    <n v="370"/>
    <n v="8.3000000000000007"/>
    <x v="1231"/>
  </r>
  <r>
    <n v="14"/>
    <n v="22"/>
    <n v="3"/>
    <n v="20"/>
    <n v="1"/>
    <n v="0"/>
    <x v="9"/>
    <x v="5"/>
    <x v="7"/>
    <n v="658"/>
    <n v="0"/>
    <x v="7"/>
  </r>
  <r>
    <n v="14"/>
    <n v="23"/>
    <n v="1"/>
    <n v="13"/>
    <n v="12"/>
    <n v="0"/>
    <x v="9"/>
    <x v="19"/>
    <x v="30"/>
    <n v="749"/>
    <n v="7.4"/>
    <x v="1232"/>
  </r>
  <r>
    <n v="23"/>
    <n v="23"/>
    <n v="0"/>
    <n v="11"/>
    <n v="1"/>
    <n v="0"/>
    <x v="4"/>
    <x v="14"/>
    <x v="5"/>
    <n v="485"/>
    <n v="7.6"/>
    <x v="1233"/>
  </r>
  <r>
    <n v="22"/>
    <n v="22"/>
    <n v="3"/>
    <n v="5"/>
    <n v="1"/>
    <n v="0"/>
    <x v="4"/>
    <x v="8"/>
    <x v="13"/>
    <n v="585"/>
    <n v="8.4"/>
    <x v="1166"/>
  </r>
  <r>
    <n v="8"/>
    <n v="21"/>
    <n v="3"/>
    <n v="9"/>
    <n v="7"/>
    <n v="0"/>
    <x v="12"/>
    <x v="5"/>
    <x v="13"/>
    <n v="630"/>
    <n v="7.7"/>
    <x v="1234"/>
  </r>
  <r>
    <n v="11"/>
    <n v="22"/>
    <n v="3"/>
    <n v="20"/>
    <n v="1"/>
    <n v="0"/>
    <x v="6"/>
    <x v="18"/>
    <x v="32"/>
    <n v="541"/>
    <n v="8.3000000000000007"/>
    <x v="782"/>
  </r>
  <r>
    <n v="5"/>
    <n v="18"/>
    <n v="1"/>
    <n v="10"/>
    <n v="1"/>
    <n v="0"/>
    <x v="5"/>
    <x v="2"/>
    <x v="22"/>
    <n v="346"/>
    <n v="8.9"/>
    <x v="1235"/>
  </r>
  <r>
    <n v="16"/>
    <n v="22"/>
    <n v="1"/>
    <n v="5"/>
    <n v="12"/>
    <n v="0"/>
    <x v="12"/>
    <x v="0"/>
    <x v="2"/>
    <n v="460"/>
    <n v="8.1"/>
    <x v="0"/>
  </r>
  <r>
    <n v="9"/>
    <n v="23"/>
    <n v="0"/>
    <n v="10"/>
    <n v="1"/>
    <n v="0"/>
    <x v="10"/>
    <x v="8"/>
    <x v="19"/>
    <n v="490"/>
    <n v="8.4"/>
    <x v="707"/>
  </r>
  <r>
    <n v="15"/>
    <n v="23"/>
    <n v="0"/>
    <n v="3"/>
    <n v="1"/>
    <n v="0"/>
    <x v="7"/>
    <x v="1"/>
    <x v="6"/>
    <n v="266"/>
    <n v="8.3000000000000007"/>
    <x v="1236"/>
  </r>
  <r>
    <n v="9"/>
    <n v="20"/>
    <n v="1"/>
    <n v="22"/>
    <n v="1"/>
    <n v="0"/>
    <x v="4"/>
    <x v="3"/>
    <x v="2"/>
    <n v="656"/>
    <n v="8.9"/>
    <x v="1237"/>
  </r>
  <r>
    <n v="18"/>
    <n v="23"/>
    <n v="0"/>
    <n v="0"/>
    <n v="1"/>
    <n v="0"/>
    <x v="6"/>
    <x v="15"/>
    <x v="1"/>
    <n v="582"/>
    <n v="9.3000000000000007"/>
    <x v="1238"/>
  </r>
  <r>
    <n v="11"/>
    <n v="22"/>
    <n v="0"/>
    <n v="17"/>
    <n v="0"/>
    <n v="0"/>
    <x v="0"/>
    <x v="3"/>
    <x v="22"/>
    <n v="386"/>
    <n v="8.9"/>
    <x v="770"/>
  </r>
  <r>
    <n v="15"/>
    <n v="22"/>
    <n v="0"/>
    <n v="5"/>
    <n v="1"/>
    <n v="0"/>
    <x v="0"/>
    <x v="20"/>
    <x v="0"/>
    <n v="416"/>
    <n v="9.1999999999999993"/>
    <x v="1239"/>
  </r>
  <r>
    <n v="22"/>
    <n v="23"/>
    <n v="1"/>
    <n v="5"/>
    <n v="1"/>
    <n v="0"/>
    <x v="3"/>
    <x v="1"/>
    <x v="29"/>
    <n v="597"/>
    <n v="8.3000000000000007"/>
    <x v="543"/>
  </r>
  <r>
    <n v="14"/>
    <n v="22"/>
    <n v="1"/>
    <n v="5"/>
    <n v="1"/>
    <n v="0"/>
    <x v="12"/>
    <x v="17"/>
    <x v="4"/>
    <n v="451"/>
    <n v="8.8000000000000007"/>
    <x v="1227"/>
  </r>
  <r>
    <n v="23"/>
    <n v="22"/>
    <n v="2"/>
    <n v="14"/>
    <n v="1"/>
    <n v="0"/>
    <x v="9"/>
    <x v="0"/>
    <x v="23"/>
    <n v="631"/>
    <n v="8.1"/>
    <x v="1240"/>
  </r>
  <r>
    <n v="10"/>
    <n v="19"/>
    <n v="1"/>
    <n v="9"/>
    <n v="1"/>
    <n v="0"/>
    <x v="1"/>
    <x v="28"/>
    <x v="30"/>
    <n v="493"/>
    <n v="8.8000000000000007"/>
    <x v="1241"/>
  </r>
  <r>
    <n v="22"/>
    <n v="22"/>
    <n v="3"/>
    <n v="6"/>
    <n v="12"/>
    <n v="0"/>
    <x v="3"/>
    <x v="17"/>
    <x v="25"/>
    <n v="680"/>
    <n v="8.8000000000000007"/>
    <x v="995"/>
  </r>
  <r>
    <n v="20"/>
    <n v="23"/>
    <n v="1"/>
    <n v="20"/>
    <n v="1"/>
    <n v="0"/>
    <x v="7"/>
    <x v="24"/>
    <x v="13"/>
    <n v="494"/>
    <n v="7.6"/>
    <x v="550"/>
  </r>
  <r>
    <n v="15"/>
    <n v="22"/>
    <n v="3"/>
    <n v="18"/>
    <n v="1"/>
    <n v="0"/>
    <x v="11"/>
    <x v="5"/>
    <x v="11"/>
    <n v="668"/>
    <n v="7.7"/>
    <x v="1242"/>
  </r>
  <r>
    <n v="23"/>
    <n v="23"/>
    <n v="3"/>
    <n v="8"/>
    <n v="1"/>
    <n v="0"/>
    <x v="7"/>
    <x v="20"/>
    <x v="32"/>
    <n v="445"/>
    <n v="8.9"/>
    <x v="1243"/>
  </r>
  <r>
    <n v="22"/>
    <n v="22"/>
    <n v="2"/>
    <n v="21"/>
    <n v="1"/>
    <n v="0"/>
    <x v="7"/>
    <x v="29"/>
    <x v="13"/>
    <n v="646"/>
    <n v="9.3000000000000007"/>
    <x v="1244"/>
  </r>
  <r>
    <n v="12"/>
    <n v="22"/>
    <n v="0"/>
    <n v="16"/>
    <n v="1"/>
    <n v="0"/>
    <x v="9"/>
    <x v="15"/>
    <x v="1"/>
    <n v="563"/>
    <n v="9.3000000000000007"/>
    <x v="1245"/>
  </r>
  <r>
    <n v="21"/>
    <n v="22"/>
    <n v="1"/>
    <n v="12"/>
    <n v="1"/>
    <n v="0"/>
    <x v="2"/>
    <x v="9"/>
    <x v="1"/>
    <n v="561"/>
    <n v="0"/>
    <x v="1246"/>
  </r>
  <r>
    <n v="10"/>
    <n v="20"/>
    <n v="2"/>
    <n v="10"/>
    <n v="1"/>
    <n v="0"/>
    <x v="0"/>
    <x v="23"/>
    <x v="22"/>
    <n v="278"/>
    <n v="7.8"/>
    <x v="1247"/>
  </r>
  <r>
    <n v="21"/>
    <n v="23"/>
    <n v="0"/>
    <n v="7"/>
    <n v="1"/>
    <n v="0"/>
    <x v="10"/>
    <x v="0"/>
    <x v="22"/>
    <n v="471"/>
    <n v="8.1"/>
    <x v="1248"/>
  </r>
  <r>
    <n v="11"/>
    <n v="23"/>
    <n v="2"/>
    <n v="12"/>
    <n v="1"/>
    <n v="0"/>
    <x v="6"/>
    <x v="14"/>
    <x v="25"/>
    <n v="544"/>
    <n v="7.6"/>
    <x v="1249"/>
  </r>
  <r>
    <n v="11"/>
    <n v="22"/>
    <n v="1"/>
    <n v="14"/>
    <n v="1"/>
    <n v="0"/>
    <x v="6"/>
    <x v="3"/>
    <x v="4"/>
    <n v="583"/>
    <n v="8.9"/>
    <x v="1250"/>
  </r>
  <r>
    <n v="7"/>
    <n v="17"/>
    <n v="2"/>
    <n v="21"/>
    <n v="1"/>
    <n v="0"/>
    <x v="10"/>
    <x v="5"/>
    <x v="3"/>
    <n v="396"/>
    <n v="0"/>
    <x v="1251"/>
  </r>
  <r>
    <n v="11"/>
    <n v="0"/>
    <n v="3"/>
    <n v="8"/>
    <n v="1"/>
    <n v="0"/>
    <x v="2"/>
    <x v="16"/>
    <x v="1"/>
    <n v="560"/>
    <n v="8.1999999999999993"/>
    <x v="1252"/>
  </r>
  <r>
    <n v="17"/>
    <n v="22"/>
    <n v="0"/>
    <n v="19"/>
    <n v="1"/>
    <n v="0"/>
    <x v="8"/>
    <x v="15"/>
    <x v="9"/>
    <n v="525"/>
    <n v="9.3000000000000007"/>
    <x v="1253"/>
  </r>
  <r>
    <n v="23"/>
    <n v="22"/>
    <n v="1"/>
    <n v="6"/>
    <n v="1"/>
    <n v="0"/>
    <x v="9"/>
    <x v="20"/>
    <x v="28"/>
    <n v="547"/>
    <n v="0"/>
    <x v="1254"/>
  </r>
  <r>
    <n v="21"/>
    <n v="23"/>
    <n v="3"/>
    <n v="19"/>
    <n v="1"/>
    <n v="0"/>
    <x v="6"/>
    <x v="12"/>
    <x v="5"/>
    <n v="535"/>
    <n v="8.6999999999999993"/>
    <x v="11"/>
  </r>
  <r>
    <n v="22"/>
    <n v="22"/>
    <n v="1"/>
    <n v="10"/>
    <n v="1"/>
    <n v="0"/>
    <x v="12"/>
    <x v="0"/>
    <x v="4"/>
    <n v="551"/>
    <n v="8.1"/>
    <x v="837"/>
  </r>
  <r>
    <n v="13"/>
    <n v="23"/>
    <n v="2"/>
    <n v="13"/>
    <n v="1"/>
    <n v="0"/>
    <x v="2"/>
    <x v="12"/>
    <x v="8"/>
    <n v="553"/>
    <n v="8.6999999999999993"/>
    <x v="1255"/>
  </r>
  <r>
    <n v="10"/>
    <n v="20"/>
    <n v="0"/>
    <n v="8"/>
    <n v="1"/>
    <n v="0"/>
    <x v="1"/>
    <x v="18"/>
    <x v="12"/>
    <n v="293"/>
    <n v="8.3000000000000007"/>
    <x v="1256"/>
  </r>
  <r>
    <n v="6"/>
    <n v="18"/>
    <n v="0"/>
    <n v="12"/>
    <n v="1"/>
    <n v="0"/>
    <x v="2"/>
    <x v="30"/>
    <x v="22"/>
    <n v="344"/>
    <n v="7.7"/>
    <x v="1257"/>
  </r>
  <r>
    <n v="12"/>
    <n v="22"/>
    <n v="0"/>
    <n v="13"/>
    <n v="1"/>
    <n v="0"/>
    <x v="9"/>
    <x v="7"/>
    <x v="20"/>
    <n v="497"/>
    <n v="7.8"/>
    <x v="1258"/>
  </r>
  <r>
    <n v="10"/>
    <n v="20"/>
    <n v="0"/>
    <n v="7"/>
    <n v="0"/>
    <n v="0"/>
    <x v="8"/>
    <x v="7"/>
    <x v="22"/>
    <n v="299"/>
    <n v="7.8"/>
    <x v="1259"/>
  </r>
  <r>
    <n v="6"/>
    <n v="20"/>
    <n v="1"/>
    <n v="8"/>
    <n v="1"/>
    <n v="0"/>
    <x v="9"/>
    <x v="0"/>
    <x v="3"/>
    <n v="255"/>
    <n v="8.1"/>
    <x v="1260"/>
  </r>
  <r>
    <n v="19"/>
    <n v="23"/>
    <n v="3"/>
    <n v="19"/>
    <n v="1"/>
    <n v="0"/>
    <x v="12"/>
    <x v="8"/>
    <x v="26"/>
    <n v="557"/>
    <n v="8.4"/>
    <x v="1261"/>
  </r>
  <r>
    <n v="8"/>
    <n v="19"/>
    <n v="1"/>
    <n v="12"/>
    <n v="1"/>
    <n v="0"/>
    <x v="1"/>
    <x v="10"/>
    <x v="11"/>
    <n v="365"/>
    <n v="8.5"/>
    <x v="210"/>
  </r>
  <r>
    <n v="20"/>
    <n v="23"/>
    <n v="1"/>
    <n v="6"/>
    <n v="1"/>
    <n v="0"/>
    <x v="3"/>
    <x v="31"/>
    <x v="31"/>
    <n v="422"/>
    <n v="8.5"/>
    <x v="1262"/>
  </r>
  <r>
    <n v="14"/>
    <n v="22"/>
    <n v="3"/>
    <n v="3"/>
    <n v="12"/>
    <n v="0"/>
    <x v="9"/>
    <x v="5"/>
    <x v="21"/>
    <n v="639"/>
    <n v="7.7"/>
    <x v="1263"/>
  </r>
  <r>
    <n v="20"/>
    <n v="22"/>
    <n v="1"/>
    <n v="22"/>
    <n v="12"/>
    <n v="0"/>
    <x v="2"/>
    <x v="4"/>
    <x v="29"/>
    <n v="690"/>
    <n v="8.6999999999999993"/>
    <x v="1264"/>
  </r>
  <r>
    <n v="14"/>
    <n v="22"/>
    <n v="2"/>
    <n v="6"/>
    <n v="1"/>
    <n v="0"/>
    <x v="2"/>
    <x v="6"/>
    <x v="6"/>
    <n v="320"/>
    <n v="9.1"/>
    <x v="1265"/>
  </r>
  <r>
    <n v="5"/>
    <n v="22"/>
    <n v="3"/>
    <n v="20"/>
    <n v="1"/>
    <n v="0"/>
    <x v="11"/>
    <x v="8"/>
    <x v="22"/>
    <n v="438"/>
    <n v="8.4"/>
    <x v="1266"/>
  </r>
  <r>
    <n v="9"/>
    <n v="18"/>
    <n v="2"/>
    <n v="21"/>
    <n v="7"/>
    <n v="0"/>
    <x v="0"/>
    <x v="10"/>
    <x v="26"/>
    <n v="424"/>
    <n v="8.5"/>
    <x v="1067"/>
  </r>
  <r>
    <n v="20"/>
    <n v="23"/>
    <n v="2"/>
    <n v="19"/>
    <n v="1"/>
    <n v="0"/>
    <x v="1"/>
    <x v="1"/>
    <x v="2"/>
    <n v="635"/>
    <n v="8.3000000000000007"/>
    <x v="1267"/>
  </r>
  <r>
    <n v="10"/>
    <n v="17"/>
    <n v="0"/>
    <n v="18"/>
    <n v="7"/>
    <n v="0"/>
    <x v="2"/>
    <x v="8"/>
    <x v="10"/>
    <n v="561"/>
    <n v="8.4"/>
    <x v="1268"/>
  </r>
  <r>
    <n v="11"/>
    <n v="23"/>
    <n v="3"/>
    <n v="4"/>
    <n v="1"/>
    <n v="0"/>
    <x v="2"/>
    <x v="13"/>
    <x v="10"/>
    <n v="443"/>
    <n v="9.1999999999999993"/>
    <x v="24"/>
  </r>
  <r>
    <n v="21"/>
    <n v="23"/>
    <n v="0"/>
    <n v="13"/>
    <n v="1"/>
    <n v="0"/>
    <x v="1"/>
    <x v="9"/>
    <x v="18"/>
    <n v="0"/>
    <n v="7.9"/>
    <x v="1269"/>
  </r>
  <r>
    <n v="17"/>
    <n v="22"/>
    <n v="1"/>
    <n v="0"/>
    <n v="1"/>
    <n v="0"/>
    <x v="1"/>
    <x v="10"/>
    <x v="1"/>
    <n v="471"/>
    <n v="8.5"/>
    <x v="1270"/>
  </r>
  <r>
    <n v="23"/>
    <n v="0"/>
    <n v="0"/>
    <n v="18"/>
    <n v="12"/>
    <n v="0"/>
    <x v="8"/>
    <x v="5"/>
    <x v="31"/>
    <n v="673"/>
    <n v="7.7"/>
    <x v="1271"/>
  </r>
  <r>
    <n v="14"/>
    <n v="0"/>
    <n v="0"/>
    <n v="17"/>
    <n v="0"/>
    <n v="0"/>
    <x v="5"/>
    <x v="15"/>
    <x v="10"/>
    <n v="580"/>
    <n v="9.3000000000000007"/>
    <x v="1272"/>
  </r>
  <r>
    <n v="10"/>
    <n v="18"/>
    <n v="0"/>
    <n v="7"/>
    <n v="1"/>
    <n v="0"/>
    <x v="1"/>
    <x v="6"/>
    <x v="9"/>
    <n v="274"/>
    <s v="nan "/>
    <x v="1273"/>
  </r>
  <r>
    <n v="6"/>
    <n v="22"/>
    <n v="3"/>
    <n v="21"/>
    <n v="1"/>
    <n v="0"/>
    <x v="12"/>
    <x v="22"/>
    <x v="5"/>
    <n v="716"/>
    <n v="7.4"/>
    <x v="1274"/>
  </r>
  <r>
    <n v="10"/>
    <n v="20"/>
    <n v="2"/>
    <n v="22"/>
    <n v="1"/>
    <n v="0"/>
    <x v="0"/>
    <x v="30"/>
    <x v="10"/>
    <n v="373"/>
    <n v="7.7"/>
    <x v="1275"/>
  </r>
  <r>
    <n v="0"/>
    <n v="22"/>
    <n v="0"/>
    <n v="9"/>
    <n v="1"/>
    <n v="0"/>
    <x v="8"/>
    <x v="22"/>
    <x v="32"/>
    <n v="485"/>
    <n v="8.9"/>
    <x v="1276"/>
  </r>
  <r>
    <n v="8"/>
    <n v="17"/>
    <n v="3"/>
    <n v="6"/>
    <n v="1"/>
    <n v="0"/>
    <x v="9"/>
    <x v="5"/>
    <x v="10"/>
    <n v="268"/>
    <n v="7.7"/>
    <x v="1277"/>
  </r>
  <r>
    <n v="9"/>
    <n v="22"/>
    <n v="1"/>
    <n v="20"/>
    <n v="1"/>
    <n v="0"/>
    <x v="8"/>
    <x v="15"/>
    <x v="32"/>
    <n v="649"/>
    <n v="9.3000000000000007"/>
    <x v="1278"/>
  </r>
  <r>
    <n v="23"/>
    <n v="22"/>
    <n v="3"/>
    <n v="20"/>
    <n v="1"/>
    <n v="0"/>
    <x v="5"/>
    <x v="5"/>
    <x v="20"/>
    <n v="675"/>
    <n v="7.7"/>
    <x v="1279"/>
  </r>
  <r>
    <n v="11"/>
    <n v="22"/>
    <n v="1"/>
    <n v="17"/>
    <n v="12"/>
    <n v="0"/>
    <x v="9"/>
    <x v="17"/>
    <x v="29"/>
    <n v="753"/>
    <n v="8.8000000000000007"/>
    <x v="1280"/>
  </r>
  <r>
    <n v="14"/>
    <n v="0"/>
    <n v="1"/>
    <n v="0"/>
    <n v="1"/>
    <n v="0"/>
    <x v="1"/>
    <x v="4"/>
    <x v="19"/>
    <n v="628"/>
    <n v="8.6999999999999993"/>
    <x v="1281"/>
  </r>
  <r>
    <n v="15"/>
    <n v="22"/>
    <n v="1"/>
    <n v="11"/>
    <n v="1"/>
    <n v="0"/>
    <x v="7"/>
    <x v="3"/>
    <x v="20"/>
    <n v="0"/>
    <n v="8.9"/>
    <x v="1282"/>
  </r>
  <r>
    <n v="19"/>
    <n v="23"/>
    <n v="2"/>
    <n v="8"/>
    <n v="1"/>
    <n v="0"/>
    <x v="8"/>
    <x v="18"/>
    <x v="11"/>
    <n v="590"/>
    <n v="8.3000000000000007"/>
    <x v="1283"/>
  </r>
  <r>
    <n v="10"/>
    <n v="21"/>
    <n v="1"/>
    <n v="13"/>
    <n v="1"/>
    <n v="0"/>
    <x v="4"/>
    <x v="7"/>
    <x v="4"/>
    <n v="479"/>
    <n v="7.8"/>
    <x v="21"/>
  </r>
  <r>
    <n v="23"/>
    <n v="22"/>
    <n v="2"/>
    <n v="12"/>
    <n v="12"/>
    <n v="0"/>
    <x v="6"/>
    <x v="7"/>
    <x v="0"/>
    <n v="735"/>
    <n v="7.8"/>
    <x v="1284"/>
  </r>
  <r>
    <n v="17"/>
    <n v="22"/>
    <n v="0"/>
    <n v="20"/>
    <n v="1"/>
    <n v="0"/>
    <x v="5"/>
    <x v="10"/>
    <x v="24"/>
    <n v="489"/>
    <n v="8.5"/>
    <x v="1285"/>
  </r>
  <r>
    <n v="11"/>
    <n v="22"/>
    <n v="0"/>
    <n v="4"/>
    <n v="1"/>
    <n v="0"/>
    <x v="2"/>
    <x v="8"/>
    <x v="25"/>
    <n v="321"/>
    <n v="0"/>
    <x v="1286"/>
  </r>
  <r>
    <n v="10"/>
    <n v="17"/>
    <n v="1"/>
    <n v="6"/>
    <n v="1"/>
    <n v="0"/>
    <x v="3"/>
    <x v="0"/>
    <x v="29"/>
    <n v="404"/>
    <n v="8.1"/>
    <x v="1287"/>
  </r>
  <r>
    <n v="16"/>
    <n v="23"/>
    <n v="2"/>
    <n v="16"/>
    <n v="1"/>
    <n v="0"/>
    <x v="11"/>
    <x v="13"/>
    <x v="6"/>
    <n v="470"/>
    <n v="9.1999999999999993"/>
    <x v="1288"/>
  </r>
  <r>
    <n v="15"/>
    <n v="23"/>
    <n v="0"/>
    <n v="17"/>
    <n v="1"/>
    <n v="0"/>
    <x v="12"/>
    <x v="17"/>
    <x v="22"/>
    <n v="528"/>
    <n v="8.8000000000000007"/>
    <x v="1289"/>
  </r>
  <r>
    <n v="22"/>
    <n v="23"/>
    <n v="2"/>
    <n v="0"/>
    <n v="1"/>
    <n v="0"/>
    <x v="2"/>
    <x v="9"/>
    <x v="1"/>
    <n v="517"/>
    <n v="7.9"/>
    <x v="728"/>
  </r>
  <r>
    <n v="22"/>
    <n v="0"/>
    <n v="1"/>
    <n v="5"/>
    <n v="1"/>
    <n v="0"/>
    <x v="12"/>
    <x v="0"/>
    <x v="26"/>
    <n v="460"/>
    <n v="8.1"/>
    <x v="0"/>
  </r>
  <r>
    <n v="23"/>
    <n v="23"/>
    <n v="0"/>
    <n v="14"/>
    <n v="1"/>
    <n v="0"/>
    <x v="0"/>
    <x v="19"/>
    <x v="11"/>
    <n v="596"/>
    <n v="7.4"/>
    <x v="94"/>
  </r>
  <r>
    <n v="5"/>
    <n v="19"/>
    <n v="0"/>
    <n v="13"/>
    <n v="1"/>
    <n v="0"/>
    <x v="8"/>
    <x v="14"/>
    <x v="16"/>
    <n v="257"/>
    <n v="7.6"/>
    <x v="1290"/>
  </r>
  <r>
    <n v="19"/>
    <n v="22"/>
    <n v="0"/>
    <n v="10"/>
    <n v="12"/>
    <n v="0"/>
    <x v="0"/>
    <x v="4"/>
    <x v="14"/>
    <n v="401"/>
    <n v="8.6999999999999993"/>
    <x v="1291"/>
  </r>
  <r>
    <n v="23"/>
    <n v="22"/>
    <n v="0"/>
    <n v="7"/>
    <n v="1"/>
    <n v="0"/>
    <x v="8"/>
    <x v="4"/>
    <x v="20"/>
    <n v="575"/>
    <n v="8.6999999999999993"/>
    <x v="24"/>
  </r>
  <r>
    <n v="19"/>
    <n v="22"/>
    <n v="0"/>
    <n v="9"/>
    <n v="12"/>
    <n v="0"/>
    <x v="5"/>
    <x v="3"/>
    <x v="9"/>
    <n v="683"/>
    <n v="8.9"/>
    <x v="1292"/>
  </r>
  <r>
    <n v="21"/>
    <n v="23"/>
    <n v="3"/>
    <n v="8"/>
    <n v="1"/>
    <n v="0"/>
    <x v="8"/>
    <x v="12"/>
    <x v="26"/>
    <n v="505"/>
    <n v="8.6999999999999993"/>
    <x v="1293"/>
  </r>
  <r>
    <n v="14"/>
    <n v="23"/>
    <n v="2"/>
    <n v="16"/>
    <n v="1"/>
    <n v="0"/>
    <x v="5"/>
    <x v="4"/>
    <x v="0"/>
    <n v="709"/>
    <n v="8.6999999999999993"/>
    <x v="1294"/>
  </r>
  <r>
    <n v="15"/>
    <n v="22"/>
    <n v="1"/>
    <n v="3"/>
    <n v="12"/>
    <n v="0"/>
    <x v="5"/>
    <x v="7"/>
    <x v="30"/>
    <n v="501"/>
    <n v="7.8"/>
    <x v="1295"/>
  </r>
  <r>
    <n v="9"/>
    <n v="20"/>
    <n v="2"/>
    <n v="0"/>
    <n v="7"/>
    <n v="0"/>
    <x v="6"/>
    <x v="5"/>
    <x v="20"/>
    <n v="607"/>
    <n v="7.7"/>
    <x v="1296"/>
  </r>
  <r>
    <n v="11"/>
    <n v="22"/>
    <n v="3"/>
    <n v="14"/>
    <n v="1"/>
    <n v="0"/>
    <x v="7"/>
    <x v="8"/>
    <x v="16"/>
    <n v="528"/>
    <n v="8.4"/>
    <x v="238"/>
  </r>
  <r>
    <n v="11"/>
    <n v="23"/>
    <n v="2"/>
    <n v="11"/>
    <n v="1"/>
    <n v="0"/>
    <x v="0"/>
    <x v="32"/>
    <x v="32"/>
    <n v="457"/>
    <n v="9.1999999999999993"/>
    <x v="1297"/>
  </r>
  <r>
    <n v="16"/>
    <n v="23"/>
    <n v="2"/>
    <n v="4"/>
    <n v="1"/>
    <n v="0"/>
    <x v="3"/>
    <x v="7"/>
    <x v="2"/>
    <n v="459"/>
    <n v="7.8"/>
    <x v="1018"/>
  </r>
  <r>
    <n v="9"/>
    <n v="19"/>
    <n v="3"/>
    <n v="17"/>
    <n v="1"/>
    <n v="0"/>
    <x v="9"/>
    <x v="6"/>
    <x v="27"/>
    <n v="396"/>
    <n v="9.1"/>
    <x v="24"/>
  </r>
  <r>
    <n v="23"/>
    <n v="23"/>
    <n v="3"/>
    <n v="13"/>
    <n v="1"/>
    <n v="0"/>
    <x v="4"/>
    <x v="24"/>
    <x v="27"/>
    <n v="689"/>
    <n v="7.6"/>
    <x v="1298"/>
  </r>
  <r>
    <n v="11"/>
    <n v="0"/>
    <n v="3"/>
    <n v="7"/>
    <n v="1"/>
    <n v="0"/>
    <x v="5"/>
    <x v="1"/>
    <x v="23"/>
    <n v="623"/>
    <n v="8.3000000000000007"/>
    <x v="1299"/>
  </r>
  <r>
    <n v="16"/>
    <n v="23"/>
    <n v="1"/>
    <n v="3"/>
    <n v="0"/>
    <n v="0"/>
    <x v="7"/>
    <x v="9"/>
    <x v="24"/>
    <n v="626"/>
    <n v="7.9"/>
    <x v="1211"/>
  </r>
  <r>
    <n v="20"/>
    <n v="23"/>
    <n v="2"/>
    <n v="22"/>
    <n v="1"/>
    <n v="0"/>
    <x v="2"/>
    <x v="14"/>
    <x v="24"/>
    <n v="528"/>
    <n v="7.6"/>
    <x v="24"/>
  </r>
  <r>
    <n v="11"/>
    <n v="22"/>
    <n v="0"/>
    <n v="5"/>
    <n v="12"/>
    <n v="0"/>
    <x v="5"/>
    <x v="9"/>
    <x v="13"/>
    <n v="611"/>
    <n v="7.9"/>
    <x v="1300"/>
  </r>
  <r>
    <n v="6"/>
    <n v="23"/>
    <n v="1"/>
    <n v="18"/>
    <n v="1"/>
    <n v="0"/>
    <x v="11"/>
    <x v="14"/>
    <x v="29"/>
    <n v="432"/>
    <n v="7.6"/>
    <x v="1301"/>
  </r>
  <r>
    <n v="11"/>
    <n v="23"/>
    <n v="0"/>
    <n v="7"/>
    <n v="1"/>
    <n v="0"/>
    <x v="7"/>
    <x v="8"/>
    <x v="3"/>
    <n v="394"/>
    <n v="8.4"/>
    <x v="1302"/>
  </r>
  <r>
    <n v="21"/>
    <n v="23"/>
    <n v="2"/>
    <n v="18"/>
    <n v="1"/>
    <n v="0"/>
    <x v="9"/>
    <x v="28"/>
    <x v="25"/>
    <n v="0"/>
    <n v="8.8000000000000007"/>
    <x v="1303"/>
  </r>
  <r>
    <n v="7"/>
    <n v="19"/>
    <n v="3"/>
    <n v="5"/>
    <n v="1"/>
    <n v="0"/>
    <x v="1"/>
    <x v="19"/>
    <x v="18"/>
    <n v="470"/>
    <n v="7.4"/>
    <x v="1304"/>
  </r>
  <r>
    <n v="21"/>
    <n v="22"/>
    <n v="0"/>
    <n v="4"/>
    <n v="1"/>
    <n v="0"/>
    <x v="9"/>
    <x v="17"/>
    <x v="8"/>
    <n v="452"/>
    <n v="8.8000000000000007"/>
    <x v="1305"/>
  </r>
  <r>
    <n v="18"/>
    <n v="22"/>
    <n v="3"/>
    <n v="11"/>
    <n v="1"/>
    <n v="0"/>
    <x v="3"/>
    <x v="5"/>
    <x v="1"/>
    <n v="538"/>
    <n v="7.7"/>
    <x v="1306"/>
  </r>
  <r>
    <n v="12"/>
    <n v="22"/>
    <n v="1"/>
    <n v="19"/>
    <n v="12"/>
    <n v="0"/>
    <x v="12"/>
    <x v="17"/>
    <x v="1"/>
    <n v="706"/>
    <n v="0"/>
    <x v="1307"/>
  </r>
  <r>
    <n v="23"/>
    <n v="22"/>
    <n v="2"/>
    <n v="11"/>
    <n v="0"/>
    <n v="0"/>
    <x v="11"/>
    <x v="6"/>
    <x v="0"/>
    <n v="419"/>
    <n v="9.1"/>
    <x v="1308"/>
  </r>
  <r>
    <n v="6"/>
    <n v="22"/>
    <n v="1"/>
    <n v="16"/>
    <n v="1"/>
    <n v="0"/>
    <x v="1"/>
    <x v="15"/>
    <x v="24"/>
    <n v="437"/>
    <n v="9.3000000000000007"/>
    <x v="1309"/>
  </r>
  <r>
    <n v="23"/>
    <n v="23"/>
    <n v="3"/>
    <n v="10"/>
    <n v="1"/>
    <n v="0"/>
    <x v="2"/>
    <x v="1"/>
    <x v="0"/>
    <n v="530"/>
    <n v="8.3000000000000007"/>
    <x v="1310"/>
  </r>
  <r>
    <n v="14"/>
    <n v="22"/>
    <n v="3"/>
    <n v="22"/>
    <n v="1"/>
    <n v="0"/>
    <x v="4"/>
    <x v="7"/>
    <x v="4"/>
    <n v="733"/>
    <n v="7.8"/>
    <x v="1311"/>
  </r>
  <r>
    <n v="5"/>
    <n v="23"/>
    <n v="3"/>
    <n v="15"/>
    <n v="1"/>
    <n v="0"/>
    <x v="5"/>
    <x v="10"/>
    <x v="30"/>
    <n v="673"/>
    <n v="8.5"/>
    <x v="1312"/>
  </r>
  <r>
    <n v="9"/>
    <n v="22"/>
    <n v="3"/>
    <n v="14"/>
    <n v="1"/>
    <n v="0"/>
    <x v="10"/>
    <x v="14"/>
    <x v="7"/>
    <n v="671"/>
    <n v="7.6"/>
    <x v="1313"/>
  </r>
  <r>
    <n v="23"/>
    <n v="23"/>
    <n v="3"/>
    <n v="7"/>
    <n v="1"/>
    <n v="0"/>
    <x v="2"/>
    <x v="5"/>
    <x v="5"/>
    <n v="500"/>
    <n v="7.7"/>
    <x v="1314"/>
  </r>
  <r>
    <n v="7"/>
    <n v="20"/>
    <n v="3"/>
    <n v="16"/>
    <n v="1"/>
    <n v="0"/>
    <x v="8"/>
    <x v="0"/>
    <x v="29"/>
    <n v="578"/>
    <n v="8.1"/>
    <x v="1315"/>
  </r>
  <r>
    <n v="13"/>
    <n v="22"/>
    <n v="2"/>
    <n v="9"/>
    <n v="12"/>
    <n v="0"/>
    <x v="9"/>
    <x v="13"/>
    <x v="29"/>
    <n v="534"/>
    <n v="9.1999999999999993"/>
    <x v="343"/>
  </r>
  <r>
    <n v="19"/>
    <n v="22"/>
    <n v="1"/>
    <n v="5"/>
    <n v="12"/>
    <n v="0"/>
    <x v="0"/>
    <x v="15"/>
    <x v="29"/>
    <n v="0"/>
    <n v="9.3000000000000007"/>
    <x v="1316"/>
  </r>
  <r>
    <n v="16"/>
    <n v="22"/>
    <n v="2"/>
    <n v="21"/>
    <n v="12"/>
    <n v="0"/>
    <x v="9"/>
    <x v="13"/>
    <x v="0"/>
    <n v="814"/>
    <n v="9.1999999999999993"/>
    <x v="1317"/>
  </r>
  <r>
    <n v="13"/>
    <n v="23"/>
    <n v="0"/>
    <n v="16"/>
    <n v="1"/>
    <n v="0"/>
    <x v="8"/>
    <x v="28"/>
    <x v="4"/>
    <n v="567"/>
    <n v="8.8000000000000007"/>
    <x v="895"/>
  </r>
  <r>
    <n v="13"/>
    <n v="23"/>
    <n v="3"/>
    <n v="16"/>
    <n v="1"/>
    <n v="0"/>
    <x v="8"/>
    <x v="6"/>
    <x v="18"/>
    <n v="699"/>
    <n v="9.1"/>
    <x v="394"/>
  </r>
  <r>
    <n v="19"/>
    <n v="22"/>
    <n v="2"/>
    <n v="3"/>
    <n v="1"/>
    <n v="0"/>
    <x v="8"/>
    <x v="16"/>
    <x v="2"/>
    <n v="489"/>
    <n v="8.1999999999999993"/>
    <x v="1318"/>
  </r>
  <r>
    <n v="13"/>
    <n v="22"/>
    <n v="0"/>
    <n v="9"/>
    <n v="1"/>
    <n v="0"/>
    <x v="1"/>
    <x v="14"/>
    <x v="4"/>
    <n v="363"/>
    <n v="7.6"/>
    <x v="1088"/>
  </r>
  <r>
    <n v="16"/>
    <n v="22"/>
    <n v="2"/>
    <n v="7"/>
    <n v="1"/>
    <n v="0"/>
    <x v="6"/>
    <x v="8"/>
    <x v="16"/>
    <n v="482"/>
    <n v="8.4"/>
    <x v="1319"/>
  </r>
  <r>
    <n v="10"/>
    <n v="19"/>
    <n v="2"/>
    <n v="10"/>
    <n v="1"/>
    <n v="0"/>
    <x v="3"/>
    <x v="5"/>
    <x v="0"/>
    <n v="542"/>
    <n v="7.7"/>
    <x v="1320"/>
  </r>
  <r>
    <n v="13"/>
    <n v="22"/>
    <n v="1"/>
    <n v="21"/>
    <n v="12"/>
    <n v="0"/>
    <x v="2"/>
    <x v="10"/>
    <x v="0"/>
    <n v="646"/>
    <n v="8.5"/>
    <x v="1321"/>
  </r>
  <r>
    <n v="11"/>
    <n v="22"/>
    <n v="0"/>
    <n v="12"/>
    <n v="1"/>
    <n v="0"/>
    <x v="2"/>
    <x v="10"/>
    <x v="17"/>
    <n v="479"/>
    <n v="8.5"/>
    <x v="1322"/>
  </r>
  <r>
    <n v="13"/>
    <n v="22"/>
    <n v="0"/>
    <n v="6"/>
    <n v="1"/>
    <n v="0"/>
    <x v="12"/>
    <x v="10"/>
    <x v="16"/>
    <n v="361"/>
    <n v="0"/>
    <x v="1323"/>
  </r>
  <r>
    <n v="19"/>
    <n v="22"/>
    <n v="0"/>
    <n v="7"/>
    <n v="12"/>
    <n v="0"/>
    <x v="5"/>
    <x v="14"/>
    <x v="0"/>
    <n v="636"/>
    <n v="7.6"/>
    <x v="1324"/>
  </r>
  <r>
    <n v="10"/>
    <n v="23"/>
    <n v="2"/>
    <n v="19"/>
    <n v="1"/>
    <n v="0"/>
    <x v="11"/>
    <x v="5"/>
    <x v="19"/>
    <n v="472"/>
    <n v="7.7"/>
    <x v="1325"/>
  </r>
  <r>
    <n v="17"/>
    <n v="23"/>
    <n v="3"/>
    <n v="3"/>
    <n v="1"/>
    <n v="0"/>
    <x v="3"/>
    <x v="17"/>
    <x v="4"/>
    <n v="513"/>
    <n v="8.8000000000000007"/>
    <x v="1326"/>
  </r>
  <r>
    <n v="0"/>
    <n v="22"/>
    <n v="2"/>
    <n v="9"/>
    <n v="1"/>
    <n v="0"/>
    <x v="0"/>
    <x v="3"/>
    <x v="1"/>
    <n v="531"/>
    <n v="8.9"/>
    <x v="1327"/>
  </r>
  <r>
    <n v="23"/>
    <n v="22"/>
    <n v="1"/>
    <n v="18"/>
    <n v="1"/>
    <n v="0"/>
    <x v="10"/>
    <x v="1"/>
    <x v="20"/>
    <n v="454"/>
    <n v="8.3000000000000007"/>
    <x v="1328"/>
  </r>
  <r>
    <n v="19"/>
    <n v="22"/>
    <n v="2"/>
    <n v="12"/>
    <n v="1"/>
    <n v="0"/>
    <x v="1"/>
    <x v="5"/>
    <x v="28"/>
    <n v="524"/>
    <n v="0"/>
    <x v="759"/>
  </r>
  <r>
    <n v="5"/>
    <n v="23"/>
    <n v="1"/>
    <n v="10"/>
    <n v="1"/>
    <n v="0"/>
    <x v="4"/>
    <x v="8"/>
    <x v="3"/>
    <n v="389"/>
    <n v="8.4"/>
    <x v="973"/>
  </r>
  <r>
    <n v="19"/>
    <n v="23"/>
    <n v="1"/>
    <n v="17"/>
    <n v="1"/>
    <n v="0"/>
    <x v="8"/>
    <x v="9"/>
    <x v="0"/>
    <n v="560"/>
    <n v="7.9"/>
    <x v="1329"/>
  </r>
  <r>
    <n v="23"/>
    <n v="22"/>
    <n v="0"/>
    <n v="6"/>
    <n v="1"/>
    <n v="0"/>
    <x v="10"/>
    <x v="16"/>
    <x v="5"/>
    <n v="584"/>
    <n v="8.1999999999999993"/>
    <x v="1330"/>
  </r>
  <r>
    <n v="5"/>
    <n v="18"/>
    <n v="2"/>
    <n v="22"/>
    <n v="1"/>
    <n v="0"/>
    <x v="3"/>
    <x v="16"/>
    <x v="7"/>
    <n v="363"/>
    <n v="8.1999999999999993"/>
    <x v="1331"/>
  </r>
  <r>
    <n v="6"/>
    <n v="17"/>
    <n v="1"/>
    <n v="5"/>
    <n v="7"/>
    <n v="0"/>
    <x v="3"/>
    <x v="19"/>
    <x v="15"/>
    <n v="364"/>
    <n v="7.4"/>
    <x v="1124"/>
  </r>
  <r>
    <n v="15"/>
    <n v="22"/>
    <n v="2"/>
    <n v="10"/>
    <n v="12"/>
    <n v="0"/>
    <x v="11"/>
    <x v="10"/>
    <x v="13"/>
    <n v="514"/>
    <n v="8.5"/>
    <x v="1332"/>
  </r>
  <r>
    <n v="22"/>
    <n v="22"/>
    <n v="2"/>
    <n v="18"/>
    <n v="1"/>
    <n v="0"/>
    <x v="11"/>
    <x v="20"/>
    <x v="23"/>
    <n v="660"/>
    <n v="8.9"/>
    <x v="1333"/>
  </r>
  <r>
    <n v="12"/>
    <n v="23"/>
    <n v="2"/>
    <n v="18"/>
    <n v="12"/>
    <n v="0"/>
    <x v="1"/>
    <x v="5"/>
    <x v="17"/>
    <n v="746"/>
    <n v="7.7"/>
    <x v="1334"/>
  </r>
  <r>
    <n v="9"/>
    <n v="19"/>
    <n v="1"/>
    <n v="21"/>
    <n v="1"/>
    <n v="0"/>
    <x v="5"/>
    <x v="10"/>
    <x v="12"/>
    <n v="490"/>
    <n v="8.5"/>
    <x v="205"/>
  </r>
  <r>
    <n v="19"/>
    <n v="22"/>
    <n v="3"/>
    <n v="16"/>
    <n v="1"/>
    <n v="0"/>
    <x v="2"/>
    <x v="5"/>
    <x v="25"/>
    <n v="710"/>
    <n v="7.7"/>
    <x v="1335"/>
  </r>
  <r>
    <n v="0"/>
    <n v="0"/>
    <n v="2"/>
    <n v="9"/>
    <n v="1"/>
    <n v="0"/>
    <x v="11"/>
    <x v="9"/>
    <x v="15"/>
    <n v="501"/>
    <n v="7.9"/>
    <x v="59"/>
  </r>
  <r>
    <n v="17"/>
    <n v="22"/>
    <n v="3"/>
    <n v="18"/>
    <n v="1"/>
    <n v="0"/>
    <x v="9"/>
    <x v="16"/>
    <x v="26"/>
    <n v="537"/>
    <n v="8.1999999999999993"/>
    <x v="1336"/>
  </r>
  <r>
    <n v="14"/>
    <n v="23"/>
    <n v="0"/>
    <n v="17"/>
    <n v="1"/>
    <n v="0"/>
    <x v="9"/>
    <x v="7"/>
    <x v="28"/>
    <n v="553"/>
    <n v="7.8"/>
    <x v="1337"/>
  </r>
  <r>
    <n v="15"/>
    <n v="23"/>
    <n v="1"/>
    <n v="17"/>
    <n v="0"/>
    <n v="0"/>
    <x v="5"/>
    <x v="2"/>
    <x v="0"/>
    <n v="537"/>
    <n v="8.9"/>
    <x v="332"/>
  </r>
  <r>
    <n v="8"/>
    <n v="20"/>
    <n v="1"/>
    <n v="7"/>
    <n v="7"/>
    <n v="0"/>
    <x v="7"/>
    <x v="10"/>
    <x v="1"/>
    <n v="495"/>
    <n v="8.5"/>
    <x v="1338"/>
  </r>
  <r>
    <n v="16"/>
    <n v="23"/>
    <n v="0"/>
    <n v="9"/>
    <n v="1"/>
    <n v="0"/>
    <x v="8"/>
    <x v="4"/>
    <x v="4"/>
    <n v="640"/>
    <n v="8.6999999999999993"/>
    <x v="1339"/>
  </r>
  <r>
    <n v="20"/>
    <n v="23"/>
    <n v="3"/>
    <n v="4"/>
    <n v="1"/>
    <n v="0"/>
    <x v="2"/>
    <x v="15"/>
    <x v="13"/>
    <n v="523"/>
    <n v="9.3000000000000007"/>
    <x v="1340"/>
  </r>
  <r>
    <n v="10"/>
    <n v="23"/>
    <n v="0"/>
    <n v="22"/>
    <n v="1"/>
    <n v="0"/>
    <x v="12"/>
    <x v="9"/>
    <x v="9"/>
    <n v="657"/>
    <n v="7.9"/>
    <x v="1341"/>
  </r>
  <r>
    <n v="21"/>
    <n v="23"/>
    <n v="3"/>
    <n v="12"/>
    <n v="1"/>
    <n v="0"/>
    <x v="2"/>
    <x v="19"/>
    <x v="11"/>
    <n v="511"/>
    <n v="7.4"/>
    <x v="136"/>
  </r>
  <r>
    <n v="11"/>
    <n v="22"/>
    <n v="3"/>
    <n v="8"/>
    <n v="1"/>
    <n v="0"/>
    <x v="9"/>
    <x v="3"/>
    <x v="13"/>
    <n v="529"/>
    <n v="8.9"/>
    <x v="1342"/>
  </r>
  <r>
    <n v="17"/>
    <n v="22"/>
    <n v="0"/>
    <n v="3"/>
    <n v="1"/>
    <n v="0"/>
    <x v="11"/>
    <x v="14"/>
    <x v="7"/>
    <n v="355"/>
    <n v="7.6"/>
    <x v="1343"/>
  </r>
  <r>
    <n v="6"/>
    <n v="22"/>
    <n v="1"/>
    <n v="20"/>
    <n v="1"/>
    <n v="0"/>
    <x v="11"/>
    <x v="17"/>
    <x v="27"/>
    <n v="407"/>
    <n v="8.8000000000000007"/>
    <x v="356"/>
  </r>
  <r>
    <n v="10"/>
    <n v="21"/>
    <n v="0"/>
    <n v="20"/>
    <n v="1"/>
    <n v="0"/>
    <x v="4"/>
    <x v="25"/>
    <x v="26"/>
    <n v="425"/>
    <n v="8.1999999999999993"/>
    <x v="1344"/>
  </r>
  <r>
    <n v="21"/>
    <n v="22"/>
    <n v="3"/>
    <n v="20"/>
    <n v="1"/>
    <n v="0"/>
    <x v="6"/>
    <x v="9"/>
    <x v="1"/>
    <n v="522"/>
    <n v="7.9"/>
    <x v="1345"/>
  </r>
  <r>
    <n v="11"/>
    <n v="23"/>
    <n v="2"/>
    <n v="0"/>
    <n v="1"/>
    <n v="0"/>
    <x v="0"/>
    <x v="8"/>
    <x v="17"/>
    <n v="397"/>
    <n v="8.4"/>
    <x v="1346"/>
  </r>
  <r>
    <n v="21"/>
    <n v="23"/>
    <n v="3"/>
    <n v="21"/>
    <n v="1"/>
    <n v="0"/>
    <x v="11"/>
    <x v="8"/>
    <x v="27"/>
    <n v="671"/>
    <n v="8.4"/>
    <x v="781"/>
  </r>
  <r>
    <n v="13"/>
    <n v="23"/>
    <n v="2"/>
    <n v="21"/>
    <n v="0"/>
    <n v="0"/>
    <x v="2"/>
    <x v="6"/>
    <x v="2"/>
    <n v="577"/>
    <n v="9.1"/>
    <x v="1347"/>
  </r>
  <r>
    <n v="13"/>
    <n v="22"/>
    <n v="0"/>
    <n v="21"/>
    <n v="12"/>
    <n v="0"/>
    <x v="12"/>
    <x v="14"/>
    <x v="18"/>
    <n v="744"/>
    <n v="7.6"/>
    <x v="1348"/>
  </r>
  <r>
    <n v="17"/>
    <n v="22"/>
    <n v="1"/>
    <n v="20"/>
    <n v="1"/>
    <n v="0"/>
    <x v="6"/>
    <x v="14"/>
    <x v="13"/>
    <n v="568"/>
    <n v="7.6"/>
    <x v="1349"/>
  </r>
  <r>
    <n v="9"/>
    <n v="21"/>
    <n v="0"/>
    <n v="20"/>
    <n v="1"/>
    <n v="0"/>
    <x v="9"/>
    <x v="8"/>
    <x v="14"/>
    <n v="627"/>
    <n v="8.4"/>
    <x v="1350"/>
  </r>
  <r>
    <n v="10"/>
    <n v="23"/>
    <n v="3"/>
    <n v="14"/>
    <n v="1"/>
    <n v="0"/>
    <x v="5"/>
    <x v="3"/>
    <x v="18"/>
    <n v="494"/>
    <n v="8.9"/>
    <x v="1351"/>
  </r>
  <r>
    <n v="21"/>
    <n v="0"/>
    <n v="2"/>
    <n v="4"/>
    <n v="1"/>
    <n v="0"/>
    <x v="0"/>
    <x v="10"/>
    <x v="0"/>
    <n v="430"/>
    <n v="8.5"/>
    <x v="1352"/>
  </r>
  <r>
    <n v="16"/>
    <n v="22"/>
    <n v="0"/>
    <n v="14"/>
    <n v="12"/>
    <n v="0"/>
    <x v="9"/>
    <x v="20"/>
    <x v="3"/>
    <n v="603"/>
    <n v="8.9"/>
    <x v="1353"/>
  </r>
  <r>
    <n v="9"/>
    <n v="23"/>
    <n v="2"/>
    <n v="7"/>
    <n v="1"/>
    <n v="0"/>
    <x v="4"/>
    <x v="26"/>
    <x v="29"/>
    <n v="601"/>
    <n v="7.9"/>
    <x v="912"/>
  </r>
  <r>
    <n v="14"/>
    <n v="23"/>
    <n v="0"/>
    <n v="0"/>
    <n v="0"/>
    <n v="0"/>
    <x v="9"/>
    <x v="16"/>
    <x v="25"/>
    <n v="585"/>
    <n v="8.1999999999999993"/>
    <x v="1354"/>
  </r>
  <r>
    <n v="8"/>
    <n v="20"/>
    <n v="3"/>
    <n v="22"/>
    <n v="1"/>
    <n v="0"/>
    <x v="10"/>
    <x v="14"/>
    <x v="5"/>
    <n v="715"/>
    <n v="7.6"/>
    <x v="1355"/>
  </r>
  <r>
    <n v="5"/>
    <n v="17"/>
    <n v="0"/>
    <n v="10"/>
    <n v="1"/>
    <n v="0"/>
    <x v="11"/>
    <x v="10"/>
    <x v="17"/>
    <n v="404"/>
    <n v="8.5"/>
    <x v="1356"/>
  </r>
  <r>
    <n v="23"/>
    <n v="22"/>
    <n v="0"/>
    <n v="19"/>
    <n v="1"/>
    <n v="0"/>
    <x v="5"/>
    <x v="6"/>
    <x v="14"/>
    <n v="640"/>
    <n v="9.1"/>
    <x v="1357"/>
  </r>
  <r>
    <n v="0"/>
    <n v="23"/>
    <n v="3"/>
    <n v="17"/>
    <n v="1"/>
    <n v="0"/>
    <x v="11"/>
    <x v="9"/>
    <x v="32"/>
    <n v="592"/>
    <n v="7.9"/>
    <x v="915"/>
  </r>
  <r>
    <n v="21"/>
    <n v="23"/>
    <n v="1"/>
    <n v="9"/>
    <n v="1"/>
    <n v="0"/>
    <x v="2"/>
    <x v="6"/>
    <x v="16"/>
    <n v="418"/>
    <n v="9.1"/>
    <x v="1358"/>
  </r>
  <r>
    <n v="9"/>
    <n v="22"/>
    <n v="0"/>
    <n v="8"/>
    <n v="1"/>
    <n v="0"/>
    <x v="6"/>
    <x v="9"/>
    <x v="15"/>
    <n v="493"/>
    <n v="7.9"/>
    <x v="107"/>
  </r>
  <r>
    <n v="12"/>
    <n v="23"/>
    <n v="3"/>
    <n v="9"/>
    <n v="1"/>
    <n v="0"/>
    <x v="8"/>
    <x v="17"/>
    <x v="9"/>
    <n v="404"/>
    <n v="8.8000000000000007"/>
    <x v="1359"/>
  </r>
  <r>
    <n v="21"/>
    <n v="23"/>
    <n v="3"/>
    <n v="5"/>
    <n v="1"/>
    <n v="0"/>
    <x v="9"/>
    <x v="16"/>
    <x v="18"/>
    <n v="546"/>
    <n v="8.1999999999999993"/>
    <x v="1360"/>
  </r>
  <r>
    <n v="20"/>
    <n v="22"/>
    <n v="2"/>
    <n v="4"/>
    <n v="1"/>
    <n v="0"/>
    <x v="1"/>
    <x v="33"/>
    <x v="21"/>
    <n v="508"/>
    <n v="8.1"/>
    <x v="1361"/>
  </r>
  <r>
    <n v="13"/>
    <n v="23"/>
    <n v="3"/>
    <n v="21"/>
    <n v="1"/>
    <n v="0"/>
    <x v="3"/>
    <x v="5"/>
    <x v="5"/>
    <n v="618"/>
    <n v="7.7"/>
    <x v="1209"/>
  </r>
  <r>
    <n v="9"/>
    <n v="0"/>
    <n v="2"/>
    <n v="4"/>
    <n v="1"/>
    <n v="0"/>
    <x v="5"/>
    <x v="4"/>
    <x v="2"/>
    <n v="403"/>
    <n v="8.6999999999999993"/>
    <x v="1362"/>
  </r>
  <r>
    <n v="19"/>
    <n v="22"/>
    <n v="3"/>
    <n v="15"/>
    <n v="1"/>
    <n v="0"/>
    <x v="6"/>
    <x v="31"/>
    <x v="12"/>
    <n v="661"/>
    <n v="8.5"/>
    <x v="24"/>
  </r>
  <r>
    <n v="9"/>
    <n v="21"/>
    <n v="3"/>
    <n v="6"/>
    <n v="1"/>
    <n v="0"/>
    <x v="0"/>
    <x v="17"/>
    <x v="12"/>
    <n v="349"/>
    <n v="8.8000000000000007"/>
    <x v="871"/>
  </r>
  <r>
    <n v="19"/>
    <n v="22"/>
    <n v="2"/>
    <n v="5"/>
    <n v="1"/>
    <n v="0"/>
    <x v="0"/>
    <x v="8"/>
    <x v="14"/>
    <n v="564"/>
    <n v="0"/>
    <x v="342"/>
  </r>
  <r>
    <n v="21"/>
    <n v="22"/>
    <n v="0"/>
    <n v="5"/>
    <n v="12"/>
    <n v="0"/>
    <x v="5"/>
    <x v="9"/>
    <x v="10"/>
    <n v="593"/>
    <n v="7.9"/>
    <x v="1363"/>
  </r>
  <r>
    <n v="16"/>
    <n v="22"/>
    <n v="0"/>
    <n v="4"/>
    <n v="1"/>
    <n v="0"/>
    <x v="1"/>
    <x v="0"/>
    <x v="3"/>
    <n v="388"/>
    <n v="8.1"/>
    <x v="778"/>
  </r>
  <r>
    <n v="18"/>
    <n v="23"/>
    <n v="0"/>
    <n v="14"/>
    <n v="1"/>
    <n v="0"/>
    <x v="1"/>
    <x v="9"/>
    <x v="11"/>
    <n v="652"/>
    <n v="7.9"/>
    <x v="1364"/>
  </r>
  <r>
    <n v="13"/>
    <n v="22"/>
    <n v="0"/>
    <n v="13"/>
    <n v="12"/>
    <n v="0"/>
    <x v="8"/>
    <x v="4"/>
    <x v="18"/>
    <n v="505"/>
    <n v="8.6999999999999993"/>
    <x v="1293"/>
  </r>
  <r>
    <n v="16"/>
    <n v="23"/>
    <n v="3"/>
    <n v="6"/>
    <n v="1"/>
    <n v="0"/>
    <x v="12"/>
    <x v="3"/>
    <x v="31"/>
    <n v="412"/>
    <n v="8.9"/>
    <x v="1365"/>
  </r>
  <r>
    <n v="13"/>
    <n v="22"/>
    <n v="0"/>
    <n v="8"/>
    <n v="1"/>
    <n v="0"/>
    <x v="9"/>
    <x v="20"/>
    <x v="28"/>
    <n v="459"/>
    <n v="7.4"/>
    <x v="1366"/>
  </r>
  <r>
    <n v="0"/>
    <n v="23"/>
    <n v="0"/>
    <n v="21"/>
    <n v="1"/>
    <n v="0"/>
    <x v="7"/>
    <x v="7"/>
    <x v="32"/>
    <n v="545"/>
    <n v="7.8"/>
    <x v="1043"/>
  </r>
  <r>
    <n v="23"/>
    <n v="0"/>
    <n v="2"/>
    <n v="7"/>
    <n v="1"/>
    <n v="0"/>
    <x v="7"/>
    <x v="32"/>
    <x v="8"/>
    <n v="520"/>
    <n v="9.1999999999999993"/>
    <x v="1367"/>
  </r>
  <r>
    <n v="11"/>
    <n v="23"/>
    <n v="1"/>
    <n v="3"/>
    <n v="1"/>
    <n v="0"/>
    <x v="4"/>
    <x v="4"/>
    <x v="28"/>
    <n v="345"/>
    <n v="8.6999999999999993"/>
    <x v="1368"/>
  </r>
  <r>
    <n v="21"/>
    <n v="0"/>
    <n v="3"/>
    <n v="7"/>
    <n v="1"/>
    <n v="0"/>
    <x v="9"/>
    <x v="22"/>
    <x v="27"/>
    <n v="668"/>
    <n v="8.5"/>
    <x v="24"/>
  </r>
  <r>
    <n v="15"/>
    <n v="23"/>
    <n v="3"/>
    <n v="19"/>
    <n v="1"/>
    <n v="0"/>
    <x v="1"/>
    <x v="6"/>
    <x v="27"/>
    <n v="515"/>
    <n v="9.1"/>
    <x v="1369"/>
  </r>
  <r>
    <n v="21"/>
    <n v="0"/>
    <n v="2"/>
    <n v="14"/>
    <n v="0"/>
    <n v="0"/>
    <x v="7"/>
    <x v="7"/>
    <x v="2"/>
    <n v="643"/>
    <n v="0"/>
    <x v="1370"/>
  </r>
  <r>
    <n v="13"/>
    <n v="22"/>
    <n v="0"/>
    <n v="19"/>
    <n v="1"/>
    <n v="0"/>
    <x v="7"/>
    <x v="15"/>
    <x v="17"/>
    <n v="588"/>
    <n v="9.3000000000000007"/>
    <x v="1371"/>
  </r>
  <r>
    <n v="16"/>
    <n v="22"/>
    <n v="2"/>
    <n v="8"/>
    <n v="12"/>
    <n v="0"/>
    <x v="11"/>
    <x v="17"/>
    <x v="10"/>
    <n v="488"/>
    <n v="8.8000000000000007"/>
    <x v="1372"/>
  </r>
  <r>
    <n v="7"/>
    <n v="23"/>
    <n v="0"/>
    <n v="19"/>
    <n v="1"/>
    <n v="0"/>
    <x v="1"/>
    <x v="5"/>
    <x v="17"/>
    <n v="0"/>
    <n v="7.7"/>
    <x v="24"/>
  </r>
  <r>
    <n v="22"/>
    <n v="23"/>
    <n v="2"/>
    <n v="11"/>
    <n v="1"/>
    <n v="0"/>
    <x v="1"/>
    <x v="0"/>
    <x v="25"/>
    <n v="664"/>
    <n v="8.1"/>
    <x v="1373"/>
  </r>
  <r>
    <n v="0"/>
    <n v="23"/>
    <n v="0"/>
    <n v="21"/>
    <n v="1"/>
    <n v="0"/>
    <x v="2"/>
    <x v="13"/>
    <x v="11"/>
    <n v="607"/>
    <n v="9.1999999999999993"/>
    <x v="244"/>
  </r>
  <r>
    <n v="16"/>
    <n v="22"/>
    <n v="2"/>
    <n v="16"/>
    <n v="1"/>
    <n v="0"/>
    <x v="5"/>
    <x v="5"/>
    <x v="29"/>
    <n v="465"/>
    <n v="7.7"/>
    <x v="1374"/>
  </r>
  <r>
    <n v="21"/>
    <n v="22"/>
    <n v="2"/>
    <n v="19"/>
    <n v="12"/>
    <n v="0"/>
    <x v="10"/>
    <x v="28"/>
    <x v="30"/>
    <n v="756"/>
    <n v="8.8000000000000007"/>
    <x v="1158"/>
  </r>
  <r>
    <n v="6"/>
    <n v="23"/>
    <n v="2"/>
    <n v="3"/>
    <n v="1"/>
    <n v="0"/>
    <x v="9"/>
    <x v="1"/>
    <x v="17"/>
    <n v="316"/>
    <n v="8.3000000000000007"/>
    <x v="1375"/>
  </r>
  <r>
    <n v="22"/>
    <n v="22"/>
    <n v="2"/>
    <n v="20"/>
    <n v="1"/>
    <n v="0"/>
    <x v="8"/>
    <x v="9"/>
    <x v="5"/>
    <n v="614"/>
    <n v="7.9"/>
    <x v="1376"/>
  </r>
  <r>
    <n v="7"/>
    <n v="20"/>
    <n v="0"/>
    <n v="18"/>
    <n v="1"/>
    <n v="0"/>
    <x v="3"/>
    <x v="16"/>
    <x v="4"/>
    <n v="307"/>
    <n v="8.1999999999999993"/>
    <x v="1377"/>
  </r>
  <r>
    <n v="5"/>
    <n v="23"/>
    <n v="2"/>
    <n v="20"/>
    <n v="1"/>
    <n v="0"/>
    <x v="5"/>
    <x v="7"/>
    <x v="30"/>
    <n v="575"/>
    <n v="7.8"/>
    <x v="1378"/>
  </r>
  <r>
    <n v="18"/>
    <n v="22"/>
    <n v="0"/>
    <n v="3"/>
    <n v="12"/>
    <n v="0"/>
    <x v="11"/>
    <x v="19"/>
    <x v="21"/>
    <n v="524"/>
    <n v="7.4"/>
    <x v="1379"/>
  </r>
  <r>
    <n v="18"/>
    <n v="22"/>
    <n v="0"/>
    <n v="3"/>
    <n v="1"/>
    <n v="0"/>
    <x v="3"/>
    <x v="19"/>
    <x v="24"/>
    <n v="306"/>
    <n v="7.4"/>
    <x v="1380"/>
  </r>
  <r>
    <n v="16"/>
    <n v="23"/>
    <n v="0"/>
    <n v="15"/>
    <n v="1"/>
    <n v="0"/>
    <x v="8"/>
    <x v="8"/>
    <x v="12"/>
    <n v="684"/>
    <n v="8.4"/>
    <x v="1381"/>
  </r>
  <r>
    <n v="11"/>
    <n v="23"/>
    <n v="0"/>
    <n v="9"/>
    <n v="1"/>
    <n v="0"/>
    <x v="6"/>
    <x v="1"/>
    <x v="11"/>
    <n v="442"/>
    <n v="8.3000000000000007"/>
    <x v="1190"/>
  </r>
  <r>
    <n v="19"/>
    <n v="22"/>
    <n v="3"/>
    <n v="14"/>
    <n v="12"/>
    <n v="0"/>
    <x v="12"/>
    <x v="29"/>
    <x v="3"/>
    <n v="692"/>
    <n v="9.3000000000000007"/>
    <x v="1009"/>
  </r>
  <r>
    <n v="14"/>
    <n v="22"/>
    <n v="0"/>
    <n v="4"/>
    <n v="1"/>
    <n v="0"/>
    <x v="11"/>
    <x v="15"/>
    <x v="6"/>
    <n v="0"/>
    <n v="9.3000000000000007"/>
    <x v="1382"/>
  </r>
  <r>
    <n v="16"/>
    <n v="22"/>
    <n v="3"/>
    <n v="20"/>
    <n v="1"/>
    <n v="0"/>
    <x v="11"/>
    <x v="4"/>
    <x v="26"/>
    <n v="626"/>
    <n v="8.6999999999999993"/>
    <x v="1188"/>
  </r>
  <r>
    <n v="22"/>
    <n v="23"/>
    <n v="2"/>
    <n v="13"/>
    <n v="1"/>
    <n v="0"/>
    <x v="8"/>
    <x v="4"/>
    <x v="32"/>
    <n v="727"/>
    <n v="8.6999999999999993"/>
    <x v="1383"/>
  </r>
  <r>
    <n v="22"/>
    <n v="22"/>
    <n v="0"/>
    <n v="11"/>
    <n v="1"/>
    <n v="0"/>
    <x v="12"/>
    <x v="10"/>
    <x v="15"/>
    <n v="607"/>
    <n v="8.5"/>
    <x v="1384"/>
  </r>
  <r>
    <n v="13"/>
    <n v="22"/>
    <n v="2"/>
    <n v="0"/>
    <n v="1"/>
    <n v="0"/>
    <x v="6"/>
    <x v="3"/>
    <x v="22"/>
    <n v="680"/>
    <n v="8.9"/>
    <x v="817"/>
  </r>
  <r>
    <n v="5"/>
    <n v="22"/>
    <n v="0"/>
    <n v="19"/>
    <n v="1"/>
    <n v="0"/>
    <x v="3"/>
    <x v="3"/>
    <x v="11"/>
    <n v="651"/>
    <n v="8.9"/>
    <x v="24"/>
  </r>
  <r>
    <n v="11"/>
    <n v="22"/>
    <n v="3"/>
    <n v="4"/>
    <n v="1"/>
    <n v="0"/>
    <x v="7"/>
    <x v="6"/>
    <x v="26"/>
    <n v="340"/>
    <n v="9.1"/>
    <x v="842"/>
  </r>
  <r>
    <n v="14"/>
    <n v="22"/>
    <n v="1"/>
    <n v="0"/>
    <n v="12"/>
    <n v="0"/>
    <x v="0"/>
    <x v="4"/>
    <x v="24"/>
    <n v="633"/>
    <n v="8.6999999999999993"/>
    <x v="1083"/>
  </r>
  <r>
    <n v="8"/>
    <n v="20"/>
    <n v="3"/>
    <n v="16"/>
    <n v="1"/>
    <n v="0"/>
    <x v="12"/>
    <x v="26"/>
    <x v="29"/>
    <n v="535"/>
    <n v="7.9"/>
    <x v="1385"/>
  </r>
  <r>
    <n v="6"/>
    <n v="17"/>
    <n v="0"/>
    <n v="21"/>
    <n v="1"/>
    <n v="0"/>
    <x v="12"/>
    <x v="1"/>
    <x v="8"/>
    <n v="0"/>
    <n v="8.3000000000000007"/>
    <x v="32"/>
  </r>
  <r>
    <n v="5"/>
    <n v="0"/>
    <n v="2"/>
    <n v="6"/>
    <n v="1"/>
    <n v="0"/>
    <x v="12"/>
    <x v="8"/>
    <x v="22"/>
    <n v="419"/>
    <n v="8.4"/>
    <x v="1386"/>
  </r>
  <r>
    <n v="6"/>
    <n v="21"/>
    <n v="0"/>
    <n v="3"/>
    <n v="7"/>
    <n v="0"/>
    <x v="1"/>
    <x v="9"/>
    <x v="0"/>
    <n v="298"/>
    <n v="7.9"/>
    <x v="1387"/>
  </r>
  <r>
    <n v="15"/>
    <n v="22"/>
    <n v="2"/>
    <n v="6"/>
    <n v="1"/>
    <n v="0"/>
    <x v="9"/>
    <x v="8"/>
    <x v="17"/>
    <n v="569"/>
    <n v="8.4"/>
    <x v="1388"/>
  </r>
  <r>
    <n v="19"/>
    <n v="23"/>
    <n v="2"/>
    <n v="6"/>
    <n v="1"/>
    <n v="0"/>
    <x v="4"/>
    <x v="17"/>
    <x v="11"/>
    <n v="578"/>
    <n v="8.8000000000000007"/>
    <x v="992"/>
  </r>
  <r>
    <n v="18"/>
    <n v="23"/>
    <n v="0"/>
    <n v="6"/>
    <n v="12"/>
    <n v="0"/>
    <x v="8"/>
    <x v="19"/>
    <x v="29"/>
    <n v="682"/>
    <n v="7.4"/>
    <x v="1389"/>
  </r>
  <r>
    <n v="16"/>
    <n v="23"/>
    <n v="0"/>
    <n v="10"/>
    <n v="1"/>
    <n v="0"/>
    <x v="6"/>
    <x v="14"/>
    <x v="17"/>
    <n v="366"/>
    <n v="7.6"/>
    <x v="1390"/>
  </r>
  <r>
    <n v="16"/>
    <n v="0"/>
    <n v="2"/>
    <n v="13"/>
    <n v="12"/>
    <n v="0"/>
    <x v="11"/>
    <x v="0"/>
    <x v="11"/>
    <n v="556"/>
    <n v="8.1"/>
    <x v="24"/>
  </r>
  <r>
    <n v="18"/>
    <n v="22"/>
    <n v="3"/>
    <n v="14"/>
    <n v="1"/>
    <n v="0"/>
    <x v="10"/>
    <x v="19"/>
    <x v="26"/>
    <n v="0"/>
    <n v="7.4"/>
    <x v="1391"/>
  </r>
  <r>
    <n v="7"/>
    <n v="18"/>
    <n v="0"/>
    <n v="8"/>
    <n v="1"/>
    <n v="0"/>
    <x v="11"/>
    <x v="17"/>
    <x v="8"/>
    <n v="217"/>
    <n v="8.8000000000000007"/>
    <x v="24"/>
  </r>
  <r>
    <n v="18"/>
    <n v="23"/>
    <n v="3"/>
    <n v="0"/>
    <n v="1"/>
    <n v="0"/>
    <x v="6"/>
    <x v="19"/>
    <x v="16"/>
    <n v="650"/>
    <n v="7.4"/>
    <x v="1392"/>
  </r>
  <r>
    <n v="20"/>
    <n v="22"/>
    <n v="3"/>
    <n v="9"/>
    <n v="1"/>
    <n v="0"/>
    <x v="9"/>
    <x v="19"/>
    <x v="19"/>
    <n v="584"/>
    <n v="0"/>
    <x v="44"/>
  </r>
  <r>
    <n v="0"/>
    <n v="23"/>
    <n v="3"/>
    <n v="3"/>
    <n v="1"/>
    <n v="0"/>
    <x v="11"/>
    <x v="4"/>
    <x v="27"/>
    <n v="508"/>
    <n v="8.6999999999999993"/>
    <x v="762"/>
  </r>
  <r>
    <n v="8"/>
    <n v="0"/>
    <n v="0"/>
    <n v="20"/>
    <n v="7"/>
    <n v="0"/>
    <x v="1"/>
    <x v="24"/>
    <x v="10"/>
    <n v="395"/>
    <n v="7.6"/>
    <x v="1393"/>
  </r>
  <r>
    <n v="19"/>
    <n v="23"/>
    <n v="0"/>
    <n v="15"/>
    <n v="12"/>
    <n v="0"/>
    <x v="2"/>
    <x v="7"/>
    <x v="7"/>
    <n v="657"/>
    <n v="7.8"/>
    <x v="165"/>
  </r>
  <r>
    <n v="9"/>
    <n v="17"/>
    <n v="0"/>
    <n v="16"/>
    <n v="1"/>
    <n v="0"/>
    <x v="7"/>
    <x v="5"/>
    <x v="32"/>
    <n v="398"/>
    <n v="7.7"/>
    <x v="1394"/>
  </r>
  <r>
    <n v="19"/>
    <n v="22"/>
    <n v="2"/>
    <n v="21"/>
    <n v="12"/>
    <n v="0"/>
    <x v="4"/>
    <x v="5"/>
    <x v="13"/>
    <n v="829"/>
    <n v="7.7"/>
    <x v="1395"/>
  </r>
  <r>
    <n v="9"/>
    <n v="20"/>
    <n v="2"/>
    <n v="16"/>
    <n v="1"/>
    <n v="0"/>
    <x v="2"/>
    <x v="8"/>
    <x v="3"/>
    <n v="529"/>
    <n v="8.4"/>
    <x v="537"/>
  </r>
  <r>
    <n v="22"/>
    <n v="22"/>
    <n v="0"/>
    <n v="7"/>
    <n v="12"/>
    <n v="0"/>
    <x v="11"/>
    <x v="8"/>
    <x v="22"/>
    <n v="673"/>
    <n v="8.4"/>
    <x v="1396"/>
  </r>
  <r>
    <n v="18"/>
    <n v="23"/>
    <n v="2"/>
    <n v="13"/>
    <n v="1"/>
    <n v="0"/>
    <x v="1"/>
    <x v="15"/>
    <x v="32"/>
    <n v="0"/>
    <n v="9.3000000000000007"/>
    <x v="1371"/>
  </r>
  <r>
    <n v="18"/>
    <n v="23"/>
    <n v="1"/>
    <n v="18"/>
    <n v="12"/>
    <n v="0"/>
    <x v="10"/>
    <x v="20"/>
    <x v="9"/>
    <n v="0"/>
    <n v="7.6"/>
    <x v="1397"/>
  </r>
  <r>
    <n v="11"/>
    <n v="23"/>
    <n v="0"/>
    <n v="21"/>
    <n v="12"/>
    <n v="0"/>
    <x v="2"/>
    <x v="12"/>
    <x v="9"/>
    <n v="574"/>
    <n v="8.6999999999999993"/>
    <x v="263"/>
  </r>
  <r>
    <n v="9"/>
    <n v="18"/>
    <n v="0"/>
    <n v="0"/>
    <n v="1"/>
    <n v="0"/>
    <x v="1"/>
    <x v="16"/>
    <x v="14"/>
    <n v="327"/>
    <n v="8.1999999999999993"/>
    <x v="1398"/>
  </r>
  <r>
    <n v="13"/>
    <n v="22"/>
    <n v="0"/>
    <n v="10"/>
    <n v="12"/>
    <n v="0"/>
    <x v="8"/>
    <x v="5"/>
    <x v="31"/>
    <n v="547"/>
    <n v="7.7"/>
    <x v="1399"/>
  </r>
  <r>
    <n v="17"/>
    <n v="22"/>
    <n v="0"/>
    <n v="15"/>
    <n v="1"/>
    <n v="0"/>
    <x v="0"/>
    <x v="19"/>
    <x v="32"/>
    <n v="0"/>
    <n v="7.4"/>
    <x v="1400"/>
  </r>
  <r>
    <n v="6"/>
    <n v="23"/>
    <n v="1"/>
    <n v="5"/>
    <n v="1"/>
    <n v="0"/>
    <x v="7"/>
    <x v="29"/>
    <x v="7"/>
    <n v="327"/>
    <n v="9.3000000000000007"/>
    <x v="1401"/>
  </r>
  <r>
    <n v="20"/>
    <n v="23"/>
    <n v="3"/>
    <n v="6"/>
    <n v="1"/>
    <n v="0"/>
    <x v="4"/>
    <x v="15"/>
    <x v="21"/>
    <n v="545"/>
    <n v="9.3000000000000007"/>
    <x v="1402"/>
  </r>
  <r>
    <n v="13"/>
    <n v="22"/>
    <n v="0"/>
    <n v="4"/>
    <n v="12"/>
    <n v="0"/>
    <x v="3"/>
    <x v="15"/>
    <x v="11"/>
    <n v="653"/>
    <n v="9.3000000000000007"/>
    <x v="1183"/>
  </r>
  <r>
    <n v="12"/>
    <n v="23"/>
    <n v="3"/>
    <n v="16"/>
    <n v="1"/>
    <n v="0"/>
    <x v="9"/>
    <x v="14"/>
    <x v="32"/>
    <n v="0"/>
    <n v="7.6"/>
    <x v="1403"/>
  </r>
  <r>
    <n v="12"/>
    <n v="22"/>
    <n v="3"/>
    <n v="12"/>
    <n v="1"/>
    <n v="0"/>
    <x v="9"/>
    <x v="3"/>
    <x v="20"/>
    <n v="432"/>
    <n v="8.9"/>
    <x v="1404"/>
  </r>
  <r>
    <n v="5"/>
    <n v="19"/>
    <n v="2"/>
    <n v="16"/>
    <n v="1"/>
    <n v="0"/>
    <x v="10"/>
    <x v="1"/>
    <x v="23"/>
    <n v="455"/>
    <n v="8.3000000000000007"/>
    <x v="1405"/>
  </r>
  <r>
    <n v="10"/>
    <n v="18"/>
    <n v="2"/>
    <n v="8"/>
    <n v="7"/>
    <n v="0"/>
    <x v="7"/>
    <x v="16"/>
    <x v="15"/>
    <n v="559"/>
    <n v="8.1999999999999993"/>
    <x v="1406"/>
  </r>
  <r>
    <n v="22"/>
    <n v="23"/>
    <n v="3"/>
    <n v="0"/>
    <n v="1"/>
    <n v="0"/>
    <x v="3"/>
    <x v="6"/>
    <x v="7"/>
    <n v="700"/>
    <n v="9.1"/>
    <x v="1407"/>
  </r>
  <r>
    <n v="11"/>
    <n v="22"/>
    <n v="2"/>
    <n v="0"/>
    <n v="1"/>
    <n v="0"/>
    <x v="10"/>
    <x v="17"/>
    <x v="30"/>
    <n v="589"/>
    <n v="8.8000000000000007"/>
    <x v="1408"/>
  </r>
  <r>
    <n v="16"/>
    <n v="22"/>
    <n v="3"/>
    <n v="14"/>
    <n v="1"/>
    <n v="0"/>
    <x v="12"/>
    <x v="6"/>
    <x v="6"/>
    <n v="470"/>
    <n v="9.1"/>
    <x v="1409"/>
  </r>
  <r>
    <n v="8"/>
    <n v="0"/>
    <n v="2"/>
    <n v="8"/>
    <n v="1"/>
    <n v="0"/>
    <x v="1"/>
    <x v="10"/>
    <x v="17"/>
    <n v="546"/>
    <n v="8.5"/>
    <x v="1410"/>
  </r>
  <r>
    <n v="18"/>
    <n v="23"/>
    <n v="0"/>
    <n v="11"/>
    <n v="1"/>
    <n v="0"/>
    <x v="7"/>
    <x v="5"/>
    <x v="8"/>
    <n v="491"/>
    <n v="7.7"/>
    <x v="1411"/>
  </r>
  <r>
    <n v="22"/>
    <n v="22"/>
    <n v="3"/>
    <n v="5"/>
    <n v="1"/>
    <n v="0"/>
    <x v="5"/>
    <x v="10"/>
    <x v="28"/>
    <n v="593"/>
    <n v="8.5"/>
    <x v="700"/>
  </r>
  <r>
    <n v="6"/>
    <n v="19"/>
    <n v="3"/>
    <n v="10"/>
    <n v="1"/>
    <n v="0"/>
    <x v="0"/>
    <x v="8"/>
    <x v="24"/>
    <n v="445"/>
    <n v="8.4"/>
    <x v="243"/>
  </r>
  <r>
    <n v="19"/>
    <n v="22"/>
    <n v="2"/>
    <n v="9"/>
    <n v="1"/>
    <n v="0"/>
    <x v="4"/>
    <x v="10"/>
    <x v="20"/>
    <n v="666"/>
    <n v="0"/>
    <x v="24"/>
  </r>
  <r>
    <n v="0"/>
    <n v="23"/>
    <n v="1"/>
    <n v="17"/>
    <n v="7"/>
    <n v="0"/>
    <x v="6"/>
    <x v="15"/>
    <x v="6"/>
    <n v="541"/>
    <n v="9.3000000000000007"/>
    <x v="1412"/>
  </r>
  <r>
    <n v="15"/>
    <n v="22"/>
    <n v="1"/>
    <n v="14"/>
    <n v="1"/>
    <n v="0"/>
    <x v="12"/>
    <x v="6"/>
    <x v="25"/>
    <n v="397"/>
    <n v="9.1"/>
    <x v="1413"/>
  </r>
  <r>
    <n v="18"/>
    <n v="23"/>
    <n v="0"/>
    <n v="13"/>
    <n v="1"/>
    <n v="0"/>
    <x v="7"/>
    <x v="13"/>
    <x v="7"/>
    <n v="458"/>
    <n v="9.1999999999999993"/>
    <x v="1414"/>
  </r>
  <r>
    <n v="17"/>
    <n v="22"/>
    <n v="3"/>
    <n v="5"/>
    <n v="12"/>
    <n v="0"/>
    <x v="12"/>
    <x v="5"/>
    <x v="25"/>
    <n v="735"/>
    <n v="7.7"/>
    <x v="1415"/>
  </r>
  <r>
    <n v="15"/>
    <n v="22"/>
    <n v="2"/>
    <n v="10"/>
    <n v="1"/>
    <n v="0"/>
    <x v="5"/>
    <x v="1"/>
    <x v="27"/>
    <n v="543"/>
    <n v="8.3000000000000007"/>
    <x v="1416"/>
  </r>
  <r>
    <n v="16"/>
    <n v="22"/>
    <n v="0"/>
    <n v="15"/>
    <n v="1"/>
    <n v="0"/>
    <x v="4"/>
    <x v="6"/>
    <x v="3"/>
    <n v="628"/>
    <n v="9.1"/>
    <x v="1417"/>
  </r>
  <r>
    <n v="18"/>
    <n v="22"/>
    <n v="0"/>
    <n v="8"/>
    <n v="1"/>
    <n v="0"/>
    <x v="2"/>
    <x v="28"/>
    <x v="0"/>
    <n v="379"/>
    <n v="8.8000000000000007"/>
    <x v="1418"/>
  </r>
  <r>
    <n v="20"/>
    <n v="22"/>
    <n v="0"/>
    <n v="19"/>
    <n v="1"/>
    <n v="0"/>
    <x v="6"/>
    <x v="13"/>
    <x v="32"/>
    <n v="638"/>
    <n v="9.1999999999999993"/>
    <x v="1419"/>
  </r>
  <r>
    <n v="6"/>
    <n v="21"/>
    <n v="3"/>
    <n v="16"/>
    <n v="1"/>
    <n v="0"/>
    <x v="5"/>
    <x v="9"/>
    <x v="19"/>
    <n v="653"/>
    <n v="7.9"/>
    <x v="1420"/>
  </r>
  <r>
    <n v="14"/>
    <n v="23"/>
    <n v="1"/>
    <n v="14"/>
    <n v="12"/>
    <n v="0"/>
    <x v="0"/>
    <x v="20"/>
    <x v="15"/>
    <n v="512"/>
    <n v="8.1"/>
    <x v="1421"/>
  </r>
  <r>
    <n v="10"/>
    <n v="20"/>
    <n v="3"/>
    <n v="11"/>
    <n v="0"/>
    <n v="0"/>
    <x v="3"/>
    <x v="34"/>
    <x v="17"/>
    <n v="672"/>
    <n v="9.1"/>
    <x v="1422"/>
  </r>
  <r>
    <n v="18"/>
    <n v="23"/>
    <n v="1"/>
    <n v="11"/>
    <n v="1"/>
    <n v="0"/>
    <x v="7"/>
    <x v="20"/>
    <x v="2"/>
    <n v="589"/>
    <n v="8.1999999999999993"/>
    <x v="1423"/>
  </r>
  <r>
    <n v="7"/>
    <n v="21"/>
    <n v="1"/>
    <n v="16"/>
    <n v="7"/>
    <n v="0"/>
    <x v="2"/>
    <x v="17"/>
    <x v="18"/>
    <n v="423"/>
    <n v="8.8000000000000007"/>
    <x v="1424"/>
  </r>
  <r>
    <n v="17"/>
    <n v="22"/>
    <n v="0"/>
    <n v="8"/>
    <n v="1"/>
    <n v="0"/>
    <x v="4"/>
    <x v="7"/>
    <x v="24"/>
    <n v="445"/>
    <n v="7.8"/>
    <x v="88"/>
  </r>
  <r>
    <n v="9"/>
    <n v="23"/>
    <n v="3"/>
    <n v="15"/>
    <n v="1"/>
    <n v="0"/>
    <x v="11"/>
    <x v="15"/>
    <x v="9"/>
    <n v="665"/>
    <n v="9.3000000000000007"/>
    <x v="1425"/>
  </r>
  <r>
    <n v="5"/>
    <n v="23"/>
    <n v="0"/>
    <n v="4"/>
    <n v="1"/>
    <n v="0"/>
    <x v="9"/>
    <x v="7"/>
    <x v="31"/>
    <n v="478"/>
    <n v="7.8"/>
    <x v="1426"/>
  </r>
  <r>
    <n v="6"/>
    <n v="17"/>
    <n v="2"/>
    <n v="0"/>
    <n v="7"/>
    <n v="0"/>
    <x v="11"/>
    <x v="14"/>
    <x v="26"/>
    <n v="539"/>
    <n v="7.6"/>
    <x v="1427"/>
  </r>
  <r>
    <n v="0"/>
    <n v="23"/>
    <n v="2"/>
    <n v="13"/>
    <n v="12"/>
    <n v="0"/>
    <x v="5"/>
    <x v="15"/>
    <x v="4"/>
    <n v="788"/>
    <n v="9.3000000000000007"/>
    <x v="1428"/>
  </r>
  <r>
    <n v="15"/>
    <n v="23"/>
    <n v="3"/>
    <n v="8"/>
    <n v="12"/>
    <n v="0"/>
    <x v="10"/>
    <x v="2"/>
    <x v="24"/>
    <n v="554"/>
    <n v="8.9"/>
    <x v="542"/>
  </r>
  <r>
    <n v="9"/>
    <n v="22"/>
    <n v="3"/>
    <n v="11"/>
    <n v="7"/>
    <n v="0"/>
    <x v="9"/>
    <x v="19"/>
    <x v="12"/>
    <n v="545"/>
    <n v="7.4"/>
    <x v="1429"/>
  </r>
  <r>
    <n v="18"/>
    <n v="23"/>
    <n v="0"/>
    <n v="11"/>
    <n v="1"/>
    <n v="0"/>
    <x v="6"/>
    <x v="25"/>
    <x v="5"/>
    <n v="611"/>
    <n v="8.1999999999999993"/>
    <x v="1430"/>
  </r>
  <r>
    <n v="11"/>
    <n v="22"/>
    <n v="2"/>
    <n v="7"/>
    <n v="12"/>
    <n v="0"/>
    <x v="6"/>
    <x v="17"/>
    <x v="6"/>
    <n v="584"/>
    <n v="8.8000000000000007"/>
    <x v="1431"/>
  </r>
  <r>
    <n v="16"/>
    <n v="22"/>
    <n v="1"/>
    <n v="22"/>
    <n v="12"/>
    <n v="0"/>
    <x v="10"/>
    <x v="9"/>
    <x v="1"/>
    <n v="749"/>
    <n v="7.9"/>
    <x v="1432"/>
  </r>
  <r>
    <n v="23"/>
    <n v="22"/>
    <n v="3"/>
    <n v="9"/>
    <n v="1"/>
    <n v="0"/>
    <x v="8"/>
    <x v="10"/>
    <x v="8"/>
    <n v="672"/>
    <n v="8.5"/>
    <x v="1433"/>
  </r>
  <r>
    <n v="12"/>
    <n v="23"/>
    <n v="1"/>
    <n v="20"/>
    <n v="12"/>
    <n v="0"/>
    <x v="4"/>
    <x v="5"/>
    <x v="6"/>
    <n v="739"/>
    <n v="7.7"/>
    <x v="1434"/>
  </r>
  <r>
    <n v="23"/>
    <n v="22"/>
    <n v="2"/>
    <n v="9"/>
    <n v="1"/>
    <n v="0"/>
    <x v="7"/>
    <x v="7"/>
    <x v="11"/>
    <n v="614"/>
    <n v="7.8"/>
    <x v="1435"/>
  </r>
  <r>
    <n v="0"/>
    <n v="23"/>
    <n v="1"/>
    <n v="6"/>
    <n v="1"/>
    <n v="0"/>
    <x v="11"/>
    <x v="1"/>
    <x v="20"/>
    <n v="371"/>
    <n v="8.3000000000000007"/>
    <x v="1436"/>
  </r>
  <r>
    <n v="20"/>
    <n v="22"/>
    <n v="1"/>
    <n v="6"/>
    <n v="0"/>
    <n v="0"/>
    <x v="8"/>
    <x v="1"/>
    <x v="2"/>
    <n v="357"/>
    <n v="8.3000000000000007"/>
    <x v="1437"/>
  </r>
  <r>
    <n v="7"/>
    <n v="20"/>
    <n v="0"/>
    <n v="19"/>
    <n v="1"/>
    <n v="0"/>
    <x v="5"/>
    <x v="16"/>
    <x v="28"/>
    <n v="349"/>
    <n v="8.1999999999999993"/>
    <x v="1438"/>
  </r>
  <r>
    <n v="9"/>
    <n v="18"/>
    <n v="2"/>
    <n v="14"/>
    <n v="7"/>
    <n v="0"/>
    <x v="7"/>
    <x v="15"/>
    <x v="28"/>
    <n v="477"/>
    <n v="9.3000000000000007"/>
    <x v="267"/>
  </r>
  <r>
    <n v="6"/>
    <n v="17"/>
    <n v="1"/>
    <n v="4"/>
    <n v="1"/>
    <n v="0"/>
    <x v="7"/>
    <x v="1"/>
    <x v="10"/>
    <n v="225"/>
    <n v="8.3000000000000007"/>
    <x v="1439"/>
  </r>
  <r>
    <n v="8"/>
    <n v="18"/>
    <n v="2"/>
    <n v="11"/>
    <n v="1"/>
    <n v="0"/>
    <x v="5"/>
    <x v="31"/>
    <x v="0"/>
    <n v="435"/>
    <n v="8.5"/>
    <x v="1440"/>
  </r>
  <r>
    <n v="10"/>
    <n v="17"/>
    <n v="1"/>
    <n v="20"/>
    <n v="7"/>
    <n v="0"/>
    <x v="6"/>
    <x v="5"/>
    <x v="16"/>
    <n v="404"/>
    <n v="7.7"/>
    <x v="487"/>
  </r>
  <r>
    <n v="8"/>
    <n v="22"/>
    <n v="1"/>
    <n v="13"/>
    <n v="1"/>
    <n v="0"/>
    <x v="9"/>
    <x v="16"/>
    <x v="17"/>
    <n v="434"/>
    <n v="8.1999999999999993"/>
    <x v="38"/>
  </r>
  <r>
    <n v="9"/>
    <n v="19"/>
    <n v="3"/>
    <n v="17"/>
    <n v="1"/>
    <n v="0"/>
    <x v="4"/>
    <x v="14"/>
    <x v="9"/>
    <n v="476"/>
    <n v="7.6"/>
    <x v="1441"/>
  </r>
  <r>
    <n v="0"/>
    <n v="23"/>
    <n v="2"/>
    <n v="5"/>
    <n v="1"/>
    <n v="0"/>
    <x v="9"/>
    <x v="6"/>
    <x v="26"/>
    <n v="451"/>
    <n v="9.1"/>
    <x v="1442"/>
  </r>
  <r>
    <n v="18"/>
    <n v="0"/>
    <n v="3"/>
    <n v="12"/>
    <n v="1"/>
    <n v="0"/>
    <x v="1"/>
    <x v="3"/>
    <x v="24"/>
    <n v="726"/>
    <n v="8.9"/>
    <x v="1443"/>
  </r>
  <r>
    <n v="21"/>
    <n v="23"/>
    <n v="1"/>
    <n v="12"/>
    <n v="1"/>
    <n v="0"/>
    <x v="6"/>
    <x v="10"/>
    <x v="25"/>
    <n v="438"/>
    <n v="8.5"/>
    <x v="665"/>
  </r>
  <r>
    <n v="8"/>
    <n v="17"/>
    <n v="0"/>
    <n v="15"/>
    <n v="1"/>
    <n v="0"/>
    <x v="0"/>
    <x v="3"/>
    <x v="17"/>
    <n v="415"/>
    <n v="8.9"/>
    <x v="1444"/>
  </r>
  <r>
    <n v="17"/>
    <n v="22"/>
    <n v="0"/>
    <n v="3"/>
    <n v="12"/>
    <n v="0"/>
    <x v="7"/>
    <x v="11"/>
    <x v="15"/>
    <n v="470"/>
    <n v="8.4"/>
    <x v="1445"/>
  </r>
  <r>
    <n v="17"/>
    <n v="0"/>
    <n v="3"/>
    <n v="0"/>
    <n v="1"/>
    <n v="0"/>
    <x v="9"/>
    <x v="16"/>
    <x v="7"/>
    <n v="776"/>
    <n v="8.1999999999999993"/>
    <x v="1446"/>
  </r>
  <r>
    <n v="9"/>
    <n v="18"/>
    <n v="0"/>
    <n v="22"/>
    <n v="1"/>
    <n v="0"/>
    <x v="12"/>
    <x v="16"/>
    <x v="9"/>
    <n v="572"/>
    <n v="8.1999999999999993"/>
    <x v="430"/>
  </r>
  <r>
    <n v="17"/>
    <n v="23"/>
    <n v="0"/>
    <n v="18"/>
    <n v="12"/>
    <n v="0"/>
    <x v="4"/>
    <x v="9"/>
    <x v="13"/>
    <n v="644"/>
    <n v="7.9"/>
    <x v="1447"/>
  </r>
  <r>
    <n v="7"/>
    <n v="19"/>
    <n v="0"/>
    <n v="21"/>
    <n v="1"/>
    <n v="0"/>
    <x v="0"/>
    <x v="13"/>
    <x v="32"/>
    <n v="287"/>
    <n v="9.1999999999999993"/>
    <x v="1448"/>
  </r>
  <r>
    <n v="7"/>
    <n v="17"/>
    <n v="3"/>
    <n v="0"/>
    <n v="1"/>
    <n v="0"/>
    <x v="12"/>
    <x v="9"/>
    <x v="2"/>
    <n v="526"/>
    <n v="7.9"/>
    <x v="1449"/>
  </r>
  <r>
    <n v="15"/>
    <n v="23"/>
    <n v="2"/>
    <n v="15"/>
    <n v="12"/>
    <n v="0"/>
    <x v="9"/>
    <x v="9"/>
    <x v="27"/>
    <n v="0"/>
    <n v="7.9"/>
    <x v="1450"/>
  </r>
  <r>
    <n v="15"/>
    <n v="0"/>
    <n v="0"/>
    <n v="6"/>
    <n v="1"/>
    <n v="0"/>
    <x v="3"/>
    <x v="9"/>
    <x v="2"/>
    <n v="526"/>
    <n v="7.9"/>
    <x v="1449"/>
  </r>
  <r>
    <n v="9"/>
    <n v="17"/>
    <n v="3"/>
    <n v="5"/>
    <n v="7"/>
    <n v="0"/>
    <x v="6"/>
    <x v="10"/>
    <x v="22"/>
    <n v="383"/>
    <n v="8.5"/>
    <x v="1451"/>
  </r>
  <r>
    <n v="22"/>
    <n v="23"/>
    <n v="0"/>
    <n v="21"/>
    <n v="1"/>
    <n v="0"/>
    <x v="2"/>
    <x v="20"/>
    <x v="6"/>
    <n v="717"/>
    <n v="9.1"/>
    <x v="1452"/>
  </r>
  <r>
    <n v="14"/>
    <n v="22"/>
    <n v="1"/>
    <n v="5"/>
    <n v="1"/>
    <n v="0"/>
    <x v="8"/>
    <x v="5"/>
    <x v="4"/>
    <n v="411"/>
    <n v="7.7"/>
    <x v="1453"/>
  </r>
  <r>
    <n v="23"/>
    <n v="22"/>
    <n v="2"/>
    <n v="8"/>
    <n v="1"/>
    <n v="0"/>
    <x v="0"/>
    <x v="1"/>
    <x v="20"/>
    <n v="396"/>
    <n v="8.3000000000000007"/>
    <x v="1454"/>
  </r>
  <r>
    <n v="23"/>
    <n v="22"/>
    <n v="2"/>
    <n v="18"/>
    <n v="1"/>
    <n v="0"/>
    <x v="9"/>
    <x v="19"/>
    <x v="7"/>
    <n v="756"/>
    <n v="7.4"/>
    <x v="1455"/>
  </r>
  <r>
    <n v="20"/>
    <n v="23"/>
    <n v="1"/>
    <n v="9"/>
    <n v="12"/>
    <n v="0"/>
    <x v="3"/>
    <x v="8"/>
    <x v="28"/>
    <n v="712"/>
    <n v="8.4"/>
    <x v="408"/>
  </r>
  <r>
    <n v="11"/>
    <n v="23"/>
    <n v="0"/>
    <n v="4"/>
    <n v="1"/>
    <n v="0"/>
    <x v="2"/>
    <x v="4"/>
    <x v="9"/>
    <n v="0"/>
    <n v="8.6999999999999993"/>
    <x v="1456"/>
  </r>
  <r>
    <n v="21"/>
    <n v="22"/>
    <n v="1"/>
    <n v="11"/>
    <n v="1"/>
    <n v="0"/>
    <x v="9"/>
    <x v="6"/>
    <x v="5"/>
    <n v="419"/>
    <n v="9.1"/>
    <x v="1308"/>
  </r>
  <r>
    <n v="6"/>
    <n v="19"/>
    <n v="3"/>
    <n v="17"/>
    <n v="1"/>
    <n v="0"/>
    <x v="9"/>
    <x v="3"/>
    <x v="26"/>
    <n v="604"/>
    <n v="8.9"/>
    <x v="1457"/>
  </r>
  <r>
    <n v="23"/>
    <n v="23"/>
    <n v="0"/>
    <n v="20"/>
    <n v="1"/>
    <n v="0"/>
    <x v="5"/>
    <x v="14"/>
    <x v="3"/>
    <n v="741"/>
    <n v="7.6"/>
    <x v="1458"/>
  </r>
  <r>
    <n v="21"/>
    <n v="22"/>
    <n v="0"/>
    <n v="19"/>
    <n v="1"/>
    <n v="0"/>
    <x v="4"/>
    <x v="14"/>
    <x v="11"/>
    <n v="674"/>
    <n v="7.6"/>
    <x v="24"/>
  </r>
  <r>
    <n v="22"/>
    <n v="23"/>
    <n v="2"/>
    <n v="14"/>
    <n v="0"/>
    <n v="0"/>
    <x v="1"/>
    <x v="0"/>
    <x v="1"/>
    <n v="624"/>
    <n v="8.1"/>
    <x v="1459"/>
  </r>
  <r>
    <n v="16"/>
    <n v="22"/>
    <n v="1"/>
    <n v="10"/>
    <n v="1"/>
    <n v="0"/>
    <x v="5"/>
    <x v="14"/>
    <x v="7"/>
    <n v="441"/>
    <n v="7.6"/>
    <x v="874"/>
  </r>
  <r>
    <n v="16"/>
    <n v="22"/>
    <n v="0"/>
    <n v="8"/>
    <n v="1"/>
    <n v="0"/>
    <x v="0"/>
    <x v="5"/>
    <x v="13"/>
    <n v="421"/>
    <n v="7.7"/>
    <x v="1460"/>
  </r>
  <r>
    <n v="7"/>
    <n v="22"/>
    <n v="0"/>
    <n v="11"/>
    <n v="1"/>
    <n v="0"/>
    <x v="5"/>
    <x v="8"/>
    <x v="5"/>
    <n v="366"/>
    <n v="8.4"/>
    <x v="1461"/>
  </r>
  <r>
    <n v="19"/>
    <n v="0"/>
    <n v="0"/>
    <n v="3"/>
    <n v="1"/>
    <n v="0"/>
    <x v="8"/>
    <x v="0"/>
    <x v="7"/>
    <n v="386"/>
    <n v="8.1"/>
    <x v="550"/>
  </r>
  <r>
    <n v="5"/>
    <n v="18"/>
    <n v="0"/>
    <n v="20"/>
    <n v="1"/>
    <n v="0"/>
    <x v="3"/>
    <x v="32"/>
    <x v="8"/>
    <n v="0"/>
    <n v="9.1999999999999993"/>
    <x v="1462"/>
  </r>
  <r>
    <n v="14"/>
    <n v="22"/>
    <n v="1"/>
    <n v="16"/>
    <n v="1"/>
    <n v="0"/>
    <x v="5"/>
    <x v="0"/>
    <x v="15"/>
    <n v="492"/>
    <n v="8.1"/>
    <x v="791"/>
  </r>
  <r>
    <n v="17"/>
    <n v="23"/>
    <n v="3"/>
    <n v="18"/>
    <n v="12"/>
    <n v="0"/>
    <x v="4"/>
    <x v="32"/>
    <x v="8"/>
    <n v="746"/>
    <n v="9.1999999999999993"/>
    <x v="1463"/>
  </r>
  <r>
    <n v="23"/>
    <n v="22"/>
    <n v="2"/>
    <n v="4"/>
    <n v="1"/>
    <n v="0"/>
    <x v="1"/>
    <x v="10"/>
    <x v="12"/>
    <n v="478"/>
    <n v="8.5"/>
    <x v="1464"/>
  </r>
  <r>
    <n v="0"/>
    <n v="23"/>
    <n v="2"/>
    <n v="5"/>
    <n v="1"/>
    <n v="0"/>
    <x v="6"/>
    <x v="3"/>
    <x v="30"/>
    <n v="467"/>
    <n v="0"/>
    <x v="1465"/>
  </r>
  <r>
    <n v="15"/>
    <n v="23"/>
    <n v="3"/>
    <n v="7"/>
    <n v="1"/>
    <n v="0"/>
    <x v="9"/>
    <x v="10"/>
    <x v="12"/>
    <n v="651"/>
    <n v="8.5"/>
    <x v="1466"/>
  </r>
  <r>
    <n v="18"/>
    <n v="22"/>
    <n v="3"/>
    <n v="7"/>
    <n v="1"/>
    <n v="0"/>
    <x v="8"/>
    <x v="10"/>
    <x v="23"/>
    <n v="560"/>
    <n v="8.5"/>
    <x v="1467"/>
  </r>
  <r>
    <n v="14"/>
    <n v="23"/>
    <n v="0"/>
    <n v="22"/>
    <n v="0"/>
    <n v="0"/>
    <x v="3"/>
    <x v="22"/>
    <x v="11"/>
    <n v="449"/>
    <n v="7.4"/>
    <x v="1468"/>
  </r>
  <r>
    <n v="7"/>
    <n v="18"/>
    <n v="1"/>
    <n v="15"/>
    <n v="1"/>
    <n v="0"/>
    <x v="1"/>
    <x v="19"/>
    <x v="3"/>
    <n v="535"/>
    <n v="7.4"/>
    <x v="406"/>
  </r>
  <r>
    <n v="23"/>
    <n v="22"/>
    <n v="0"/>
    <n v="6"/>
    <n v="0"/>
    <n v="0"/>
    <x v="11"/>
    <x v="4"/>
    <x v="22"/>
    <n v="589"/>
    <n v="8.6999999999999993"/>
    <x v="531"/>
  </r>
  <r>
    <n v="19"/>
    <n v="22"/>
    <n v="2"/>
    <n v="3"/>
    <n v="1"/>
    <n v="0"/>
    <x v="5"/>
    <x v="7"/>
    <x v="22"/>
    <n v="488"/>
    <n v="7.8"/>
    <x v="1469"/>
  </r>
  <r>
    <n v="15"/>
    <n v="22"/>
    <n v="1"/>
    <n v="14"/>
    <n v="0"/>
    <n v="0"/>
    <x v="12"/>
    <x v="28"/>
    <x v="13"/>
    <n v="381"/>
    <n v="8.8000000000000007"/>
    <x v="1470"/>
  </r>
  <r>
    <n v="19"/>
    <n v="22"/>
    <n v="2"/>
    <n v="6"/>
    <n v="1"/>
    <n v="0"/>
    <x v="2"/>
    <x v="8"/>
    <x v="7"/>
    <n v="496"/>
    <n v="8.4"/>
    <x v="1471"/>
  </r>
  <r>
    <n v="10"/>
    <n v="21"/>
    <n v="2"/>
    <n v="7"/>
    <n v="1"/>
    <n v="0"/>
    <x v="9"/>
    <x v="0"/>
    <x v="33"/>
    <n v="410"/>
    <n v="8.1"/>
    <x v="1472"/>
  </r>
  <r>
    <n v="0"/>
    <n v="19"/>
    <n v="2"/>
    <n v="12"/>
    <n v="7"/>
    <n v="0"/>
    <x v="3"/>
    <x v="17"/>
    <x v="26"/>
    <n v="457"/>
    <n v="8.8000000000000007"/>
    <x v="1473"/>
  </r>
  <r>
    <n v="21"/>
    <n v="22"/>
    <n v="2"/>
    <n v="22"/>
    <n v="1"/>
    <n v="0"/>
    <x v="4"/>
    <x v="10"/>
    <x v="12"/>
    <n v="775"/>
    <s v="nan "/>
    <x v="1474"/>
  </r>
  <r>
    <n v="18"/>
    <n v="22"/>
    <n v="1"/>
    <n v="14"/>
    <n v="1"/>
    <n v="0"/>
    <x v="7"/>
    <x v="24"/>
    <x v="18"/>
    <n v="539"/>
    <n v="7.6"/>
    <x v="1427"/>
  </r>
  <r>
    <n v="16"/>
    <n v="22"/>
    <n v="0"/>
    <n v="14"/>
    <n v="1"/>
    <n v="0"/>
    <x v="3"/>
    <x v="9"/>
    <x v="31"/>
    <n v="0"/>
    <n v="7.9"/>
    <x v="1118"/>
  </r>
  <r>
    <n v="13"/>
    <n v="22"/>
    <n v="1"/>
    <n v="6"/>
    <n v="12"/>
    <n v="0"/>
    <x v="11"/>
    <x v="17"/>
    <x v="12"/>
    <n v="582"/>
    <n v="8.8000000000000007"/>
    <x v="1475"/>
  </r>
  <r>
    <n v="19"/>
    <n v="22"/>
    <n v="2"/>
    <n v="5"/>
    <n v="12"/>
    <n v="0"/>
    <x v="7"/>
    <x v="9"/>
    <x v="10"/>
    <n v="518"/>
    <n v="7.9"/>
    <x v="1476"/>
  </r>
  <r>
    <n v="23"/>
    <n v="22"/>
    <n v="2"/>
    <n v="7"/>
    <n v="1"/>
    <n v="0"/>
    <x v="2"/>
    <x v="1"/>
    <x v="2"/>
    <n v="479"/>
    <n v="8.3000000000000007"/>
    <x v="24"/>
  </r>
  <r>
    <n v="9"/>
    <n v="23"/>
    <n v="0"/>
    <n v="17"/>
    <n v="1"/>
    <n v="0"/>
    <x v="12"/>
    <x v="4"/>
    <x v="26"/>
    <n v="407"/>
    <n v="8.6999999999999993"/>
    <x v="1477"/>
  </r>
  <r>
    <n v="22"/>
    <n v="23"/>
    <n v="2"/>
    <n v="8"/>
    <n v="1"/>
    <n v="0"/>
    <x v="11"/>
    <x v="5"/>
    <x v="17"/>
    <n v="507"/>
    <n v="7.7"/>
    <x v="882"/>
  </r>
  <r>
    <n v="8"/>
    <n v="19"/>
    <n v="0"/>
    <n v="0"/>
    <n v="7"/>
    <n v="0"/>
    <x v="5"/>
    <x v="9"/>
    <x v="0"/>
    <n v="465"/>
    <n v="0"/>
    <x v="1060"/>
  </r>
  <r>
    <n v="10"/>
    <n v="20"/>
    <n v="3"/>
    <n v="11"/>
    <n v="1"/>
    <n v="0"/>
    <x v="11"/>
    <x v="19"/>
    <x v="27"/>
    <n v="478"/>
    <n v="7.4"/>
    <x v="1478"/>
  </r>
  <r>
    <n v="10"/>
    <n v="19"/>
    <n v="1"/>
    <n v="0"/>
    <n v="1"/>
    <n v="0"/>
    <x v="2"/>
    <x v="3"/>
    <x v="24"/>
    <n v="409"/>
    <n v="8.9"/>
    <x v="24"/>
  </r>
  <r>
    <n v="16"/>
    <n v="0"/>
    <n v="2"/>
    <n v="3"/>
    <n v="12"/>
    <n v="0"/>
    <x v="11"/>
    <x v="0"/>
    <x v="28"/>
    <n v="546"/>
    <n v="8.1"/>
    <x v="1479"/>
  </r>
  <r>
    <n v="23"/>
    <n v="23"/>
    <n v="0"/>
    <n v="9"/>
    <n v="1"/>
    <n v="0"/>
    <x v="8"/>
    <x v="2"/>
    <x v="23"/>
    <n v="397"/>
    <n v="8.9"/>
    <x v="1480"/>
  </r>
  <r>
    <n v="13"/>
    <n v="23"/>
    <n v="0"/>
    <n v="16"/>
    <n v="1"/>
    <n v="0"/>
    <x v="6"/>
    <x v="26"/>
    <x v="24"/>
    <n v="542"/>
    <n v="7.9"/>
    <x v="1481"/>
  </r>
  <r>
    <n v="14"/>
    <n v="23"/>
    <n v="3"/>
    <n v="15"/>
    <n v="1"/>
    <n v="0"/>
    <x v="3"/>
    <x v="14"/>
    <x v="28"/>
    <n v="564"/>
    <n v="7.6"/>
    <x v="1157"/>
  </r>
  <r>
    <n v="15"/>
    <n v="23"/>
    <n v="0"/>
    <n v="0"/>
    <n v="12"/>
    <n v="0"/>
    <x v="5"/>
    <x v="3"/>
    <x v="29"/>
    <n v="584"/>
    <n v="8.9"/>
    <x v="1482"/>
  </r>
  <r>
    <n v="16"/>
    <n v="22"/>
    <n v="0"/>
    <n v="0"/>
    <n v="1"/>
    <n v="0"/>
    <x v="7"/>
    <x v="19"/>
    <x v="15"/>
    <n v="349"/>
    <n v="7.4"/>
    <x v="1483"/>
  </r>
  <r>
    <n v="5"/>
    <n v="23"/>
    <n v="1"/>
    <n v="20"/>
    <n v="7"/>
    <n v="0"/>
    <x v="9"/>
    <x v="10"/>
    <x v="11"/>
    <n v="699"/>
    <n v="8.5"/>
    <x v="1484"/>
  </r>
  <r>
    <n v="9"/>
    <n v="23"/>
    <n v="3"/>
    <n v="12"/>
    <n v="0"/>
    <n v="0"/>
    <x v="2"/>
    <x v="28"/>
    <x v="28"/>
    <n v="536"/>
    <n v="0"/>
    <x v="1485"/>
  </r>
  <r>
    <n v="5"/>
    <n v="18"/>
    <n v="3"/>
    <n v="14"/>
    <n v="1"/>
    <n v="0"/>
    <x v="12"/>
    <x v="16"/>
    <x v="9"/>
    <n v="403"/>
    <n v="8.1999999999999993"/>
    <x v="1486"/>
  </r>
  <r>
    <n v="8"/>
    <n v="21"/>
    <n v="0"/>
    <n v="4"/>
    <n v="1"/>
    <n v="0"/>
    <x v="2"/>
    <x v="3"/>
    <x v="8"/>
    <n v="448"/>
    <n v="8.9"/>
    <x v="1487"/>
  </r>
  <r>
    <n v="12"/>
    <n v="22"/>
    <n v="2"/>
    <n v="4"/>
    <n v="1"/>
    <n v="0"/>
    <x v="10"/>
    <x v="20"/>
    <x v="31"/>
    <n v="357"/>
    <n v="7.7"/>
    <x v="1488"/>
  </r>
  <r>
    <n v="9"/>
    <n v="18"/>
    <n v="3"/>
    <n v="14"/>
    <n v="0"/>
    <n v="0"/>
    <x v="2"/>
    <x v="20"/>
    <x v="27"/>
    <n v="604"/>
    <n v="8.9"/>
    <x v="1457"/>
  </r>
  <r>
    <n v="19"/>
    <n v="23"/>
    <n v="0"/>
    <n v="16"/>
    <n v="0"/>
    <n v="0"/>
    <x v="2"/>
    <x v="10"/>
    <x v="23"/>
    <n v="572"/>
    <n v="8.5"/>
    <x v="1489"/>
  </r>
  <r>
    <n v="15"/>
    <n v="22"/>
    <n v="1"/>
    <n v="9"/>
    <n v="1"/>
    <n v="0"/>
    <x v="4"/>
    <x v="10"/>
    <x v="32"/>
    <n v="415"/>
    <n v="8.5"/>
    <x v="1490"/>
  </r>
  <r>
    <n v="15"/>
    <n v="0"/>
    <n v="3"/>
    <n v="19"/>
    <n v="1"/>
    <n v="0"/>
    <x v="7"/>
    <x v="9"/>
    <x v="4"/>
    <n v="0"/>
    <n v="7.9"/>
    <x v="1491"/>
  </r>
  <r>
    <n v="0"/>
    <n v="22"/>
    <n v="3"/>
    <n v="20"/>
    <n v="1"/>
    <n v="0"/>
    <x v="9"/>
    <x v="15"/>
    <x v="9"/>
    <n v="0"/>
    <n v="9.3000000000000007"/>
    <x v="1492"/>
  </r>
  <r>
    <n v="20"/>
    <n v="23"/>
    <n v="2"/>
    <n v="11"/>
    <n v="12"/>
    <n v="0"/>
    <x v="6"/>
    <x v="17"/>
    <x v="17"/>
    <n v="721"/>
    <n v="8.8000000000000007"/>
    <x v="1493"/>
  </r>
  <r>
    <n v="12"/>
    <n v="23"/>
    <n v="1"/>
    <n v="7"/>
    <n v="12"/>
    <n v="0"/>
    <x v="0"/>
    <x v="14"/>
    <x v="11"/>
    <n v="587"/>
    <n v="7.6"/>
    <x v="1494"/>
  </r>
  <r>
    <n v="23"/>
    <n v="23"/>
    <n v="2"/>
    <n v="18"/>
    <n v="1"/>
    <n v="0"/>
    <x v="5"/>
    <x v="7"/>
    <x v="1"/>
    <n v="706"/>
    <n v="7.8"/>
    <x v="1495"/>
  </r>
  <r>
    <n v="17"/>
    <n v="22"/>
    <n v="1"/>
    <n v="11"/>
    <n v="1"/>
    <n v="0"/>
    <x v="5"/>
    <x v="0"/>
    <x v="19"/>
    <n v="573"/>
    <n v="8.1"/>
    <x v="1496"/>
  </r>
  <r>
    <n v="0"/>
    <n v="22"/>
    <n v="2"/>
    <n v="20"/>
    <n v="1"/>
    <n v="0"/>
    <x v="0"/>
    <x v="6"/>
    <x v="19"/>
    <n v="705"/>
    <n v="9.1"/>
    <x v="1497"/>
  </r>
  <r>
    <n v="5"/>
    <n v="22"/>
    <n v="2"/>
    <n v="15"/>
    <n v="1"/>
    <n v="0"/>
    <x v="2"/>
    <x v="11"/>
    <x v="15"/>
    <n v="481"/>
    <n v="8.4"/>
    <x v="1022"/>
  </r>
  <r>
    <n v="14"/>
    <n v="22"/>
    <n v="0"/>
    <n v="10"/>
    <n v="12"/>
    <n v="0"/>
    <x v="7"/>
    <x v="5"/>
    <x v="9"/>
    <n v="693"/>
    <n v="7.7"/>
    <x v="1498"/>
  </r>
  <r>
    <n v="0"/>
    <n v="22"/>
    <n v="0"/>
    <n v="15"/>
    <n v="1"/>
    <n v="0"/>
    <x v="10"/>
    <x v="31"/>
    <x v="29"/>
    <n v="525"/>
    <n v="8.5"/>
    <x v="1499"/>
  </r>
  <r>
    <n v="19"/>
    <n v="23"/>
    <n v="3"/>
    <n v="0"/>
    <n v="1"/>
    <n v="0"/>
    <x v="7"/>
    <x v="30"/>
    <x v="17"/>
    <n v="512"/>
    <n v="7.7"/>
    <x v="1500"/>
  </r>
  <r>
    <n v="19"/>
    <n v="23"/>
    <n v="1"/>
    <n v="19"/>
    <n v="1"/>
    <n v="0"/>
    <x v="11"/>
    <x v="9"/>
    <x v="1"/>
    <n v="705"/>
    <n v="7.9"/>
    <x v="1501"/>
  </r>
  <r>
    <n v="23"/>
    <n v="22"/>
    <n v="3"/>
    <n v="4"/>
    <n v="1"/>
    <n v="0"/>
    <x v="3"/>
    <x v="19"/>
    <x v="17"/>
    <n v="410"/>
    <n v="7.4"/>
    <x v="1502"/>
  </r>
  <r>
    <n v="13"/>
    <n v="23"/>
    <n v="2"/>
    <n v="17"/>
    <n v="1"/>
    <n v="0"/>
    <x v="11"/>
    <x v="16"/>
    <x v="0"/>
    <n v="532"/>
    <n v="8.1999999999999993"/>
    <x v="104"/>
  </r>
  <r>
    <n v="21"/>
    <n v="22"/>
    <n v="0"/>
    <n v="7"/>
    <n v="1"/>
    <n v="0"/>
    <x v="3"/>
    <x v="10"/>
    <x v="6"/>
    <n v="363"/>
    <n v="8.5"/>
    <x v="1503"/>
  </r>
  <r>
    <n v="21"/>
    <n v="22"/>
    <n v="1"/>
    <n v="20"/>
    <n v="12"/>
    <n v="0"/>
    <x v="2"/>
    <x v="3"/>
    <x v="11"/>
    <n v="557"/>
    <n v="8.9"/>
    <x v="364"/>
  </r>
  <r>
    <n v="7"/>
    <n v="21"/>
    <n v="2"/>
    <n v="3"/>
    <n v="1"/>
    <n v="0"/>
    <x v="3"/>
    <x v="20"/>
    <x v="20"/>
    <n v="428"/>
    <n v="8.1"/>
    <x v="1504"/>
  </r>
  <r>
    <n v="23"/>
    <n v="22"/>
    <n v="1"/>
    <n v="8"/>
    <n v="1"/>
    <n v="0"/>
    <x v="5"/>
    <x v="20"/>
    <x v="11"/>
    <n v="483"/>
    <n v="9.1"/>
    <x v="577"/>
  </r>
  <r>
    <n v="21"/>
    <n v="22"/>
    <n v="2"/>
    <n v="11"/>
    <n v="1"/>
    <n v="0"/>
    <x v="10"/>
    <x v="4"/>
    <x v="27"/>
    <n v="666"/>
    <n v="8.6999999999999993"/>
    <x v="1505"/>
  </r>
  <r>
    <n v="6"/>
    <n v="23"/>
    <n v="1"/>
    <n v="16"/>
    <n v="1"/>
    <n v="0"/>
    <x v="3"/>
    <x v="22"/>
    <x v="12"/>
    <n v="594"/>
    <n v="7.6"/>
    <x v="1326"/>
  </r>
  <r>
    <n v="14"/>
    <n v="23"/>
    <n v="0"/>
    <n v="20"/>
    <n v="1"/>
    <n v="0"/>
    <x v="6"/>
    <x v="23"/>
    <x v="2"/>
    <n v="547"/>
    <n v="7.8"/>
    <x v="1254"/>
  </r>
  <r>
    <n v="16"/>
    <n v="23"/>
    <n v="2"/>
    <n v="13"/>
    <n v="1"/>
    <n v="0"/>
    <x v="11"/>
    <x v="11"/>
    <x v="0"/>
    <n v="638"/>
    <n v="8.4"/>
    <x v="1204"/>
  </r>
  <r>
    <n v="14"/>
    <n v="22"/>
    <n v="1"/>
    <n v="7"/>
    <n v="1"/>
    <n v="0"/>
    <x v="6"/>
    <x v="13"/>
    <x v="9"/>
    <n v="369"/>
    <n v="9.1999999999999993"/>
    <x v="1506"/>
  </r>
  <r>
    <n v="5"/>
    <n v="22"/>
    <n v="1"/>
    <n v="14"/>
    <n v="1"/>
    <n v="0"/>
    <x v="12"/>
    <x v="15"/>
    <x v="15"/>
    <n v="510"/>
    <n v="9.3000000000000007"/>
    <x v="1507"/>
  </r>
  <r>
    <n v="12"/>
    <n v="23"/>
    <n v="1"/>
    <n v="22"/>
    <n v="1"/>
    <n v="0"/>
    <x v="2"/>
    <x v="0"/>
    <x v="11"/>
    <n v="459"/>
    <n v="8.1"/>
    <x v="1508"/>
  </r>
  <r>
    <n v="19"/>
    <n v="22"/>
    <n v="3"/>
    <n v="13"/>
    <n v="1"/>
    <n v="0"/>
    <x v="2"/>
    <x v="20"/>
    <x v="3"/>
    <n v="706"/>
    <n v="7.8"/>
    <x v="1495"/>
  </r>
  <r>
    <n v="23"/>
    <n v="23"/>
    <n v="3"/>
    <n v="18"/>
    <n v="1"/>
    <n v="0"/>
    <x v="0"/>
    <x v="15"/>
    <x v="22"/>
    <n v="608"/>
    <n v="9.3000000000000007"/>
    <x v="1348"/>
  </r>
  <r>
    <n v="22"/>
    <n v="23"/>
    <n v="0"/>
    <n v="21"/>
    <n v="1"/>
    <n v="0"/>
    <x v="3"/>
    <x v="6"/>
    <x v="0"/>
    <n v="576"/>
    <n v="9.1"/>
    <x v="1509"/>
  </r>
  <r>
    <n v="17"/>
    <n v="22"/>
    <n v="3"/>
    <n v="4"/>
    <n v="1"/>
    <n v="0"/>
    <x v="8"/>
    <x v="10"/>
    <x v="24"/>
    <n v="593"/>
    <n v="8.5"/>
    <x v="700"/>
  </r>
  <r>
    <n v="13"/>
    <n v="22"/>
    <n v="2"/>
    <n v="13"/>
    <n v="1"/>
    <n v="0"/>
    <x v="5"/>
    <x v="15"/>
    <x v="12"/>
    <n v="451"/>
    <n v="9.3000000000000007"/>
    <x v="1092"/>
  </r>
  <r>
    <n v="23"/>
    <n v="23"/>
    <n v="3"/>
    <n v="9"/>
    <n v="1"/>
    <n v="0"/>
    <x v="1"/>
    <x v="11"/>
    <x v="5"/>
    <n v="537"/>
    <n v="8.4"/>
    <x v="1510"/>
  </r>
  <r>
    <n v="20"/>
    <n v="22"/>
    <n v="0"/>
    <n v="15"/>
    <n v="0"/>
    <n v="0"/>
    <x v="2"/>
    <x v="13"/>
    <x v="22"/>
    <n v="441"/>
    <n v="9.1999999999999993"/>
    <x v="1511"/>
  </r>
  <r>
    <n v="6"/>
    <n v="17"/>
    <n v="0"/>
    <n v="15"/>
    <n v="1"/>
    <n v="0"/>
    <x v="8"/>
    <x v="6"/>
    <x v="1"/>
    <n v="445"/>
    <n v="9.1"/>
    <x v="896"/>
  </r>
  <r>
    <n v="19"/>
    <n v="0"/>
    <n v="2"/>
    <n v="19"/>
    <n v="1"/>
    <n v="0"/>
    <x v="6"/>
    <x v="17"/>
    <x v="2"/>
    <n v="678"/>
    <n v="8.8000000000000007"/>
    <x v="1512"/>
  </r>
  <r>
    <n v="18"/>
    <n v="23"/>
    <n v="3"/>
    <n v="16"/>
    <n v="1"/>
    <n v="0"/>
    <x v="11"/>
    <x v="14"/>
    <x v="28"/>
    <n v="670"/>
    <n v="7.6"/>
    <x v="1513"/>
  </r>
  <r>
    <n v="19"/>
    <n v="22"/>
    <n v="3"/>
    <n v="11"/>
    <n v="1"/>
    <n v="0"/>
    <x v="8"/>
    <x v="15"/>
    <x v="5"/>
    <n v="632"/>
    <n v="9.3000000000000007"/>
    <x v="24"/>
  </r>
  <r>
    <n v="23"/>
    <n v="22"/>
    <n v="1"/>
    <n v="9"/>
    <n v="12"/>
    <n v="0"/>
    <x v="3"/>
    <x v="6"/>
    <x v="31"/>
    <n v="531"/>
    <n v="9.1"/>
    <x v="1514"/>
  </r>
  <r>
    <n v="9"/>
    <n v="20"/>
    <n v="3"/>
    <n v="9"/>
    <n v="1"/>
    <n v="0"/>
    <x v="4"/>
    <x v="15"/>
    <x v="28"/>
    <n v="588"/>
    <n v="9.3000000000000007"/>
    <x v="1371"/>
  </r>
  <r>
    <n v="18"/>
    <n v="0"/>
    <n v="0"/>
    <n v="17"/>
    <n v="1"/>
    <n v="0"/>
    <x v="0"/>
    <x v="0"/>
    <x v="26"/>
    <n v="411"/>
    <n v="8.1"/>
    <x v="1515"/>
  </r>
  <r>
    <n v="8"/>
    <n v="20"/>
    <n v="2"/>
    <n v="7"/>
    <n v="1"/>
    <n v="0"/>
    <x v="0"/>
    <x v="7"/>
    <x v="26"/>
    <n v="280"/>
    <n v="7.8"/>
    <x v="1516"/>
  </r>
  <r>
    <n v="11"/>
    <n v="23"/>
    <n v="1"/>
    <n v="20"/>
    <n v="1"/>
    <n v="0"/>
    <x v="7"/>
    <x v="14"/>
    <x v="17"/>
    <n v="0"/>
    <n v="0"/>
    <x v="1517"/>
  </r>
  <r>
    <n v="19"/>
    <n v="22"/>
    <n v="3"/>
    <n v="9"/>
    <n v="1"/>
    <n v="0"/>
    <x v="11"/>
    <x v="16"/>
    <x v="30"/>
    <n v="527"/>
    <n v="8.1999999999999993"/>
    <x v="787"/>
  </r>
  <r>
    <n v="13"/>
    <n v="0"/>
    <n v="2"/>
    <n v="17"/>
    <n v="1"/>
    <n v="0"/>
    <x v="5"/>
    <x v="13"/>
    <x v="22"/>
    <n v="686"/>
    <n v="9.1999999999999993"/>
    <x v="1518"/>
  </r>
  <r>
    <n v="14"/>
    <n v="22"/>
    <n v="2"/>
    <n v="0"/>
    <n v="1"/>
    <n v="0"/>
    <x v="2"/>
    <x v="14"/>
    <x v="23"/>
    <n v="593"/>
    <n v="7.6"/>
    <x v="1519"/>
  </r>
  <r>
    <n v="15"/>
    <n v="23"/>
    <n v="1"/>
    <n v="21"/>
    <n v="1"/>
    <n v="0"/>
    <x v="0"/>
    <x v="1"/>
    <x v="14"/>
    <n v="592"/>
    <n v="8.3000000000000007"/>
    <x v="1220"/>
  </r>
  <r>
    <n v="11"/>
    <n v="0"/>
    <n v="2"/>
    <n v="9"/>
    <n v="1"/>
    <n v="0"/>
    <x v="0"/>
    <x v="16"/>
    <x v="25"/>
    <n v="356"/>
    <n v="8.1999999999999993"/>
    <x v="1520"/>
  </r>
  <r>
    <n v="15"/>
    <n v="22"/>
    <n v="2"/>
    <n v="12"/>
    <n v="1"/>
    <n v="0"/>
    <x v="7"/>
    <x v="12"/>
    <x v="30"/>
    <n v="483"/>
    <n v="8.6999999999999993"/>
    <x v="1521"/>
  </r>
  <r>
    <n v="7"/>
    <n v="20"/>
    <n v="2"/>
    <n v="4"/>
    <n v="1"/>
    <n v="0"/>
    <x v="7"/>
    <x v="3"/>
    <x v="5"/>
    <n v="314"/>
    <n v="8.9"/>
    <x v="1522"/>
  </r>
  <r>
    <n v="14"/>
    <n v="22"/>
    <n v="2"/>
    <n v="14"/>
    <n v="12"/>
    <n v="0"/>
    <x v="0"/>
    <x v="7"/>
    <x v="20"/>
    <n v="632"/>
    <n v="7.8"/>
    <x v="1523"/>
  </r>
  <r>
    <n v="8"/>
    <n v="22"/>
    <n v="1"/>
    <n v="11"/>
    <n v="1"/>
    <n v="0"/>
    <x v="7"/>
    <x v="8"/>
    <x v="3"/>
    <n v="447"/>
    <n v="8.4"/>
    <x v="24"/>
  </r>
  <r>
    <n v="9"/>
    <n v="22"/>
    <n v="2"/>
    <n v="16"/>
    <n v="7"/>
    <n v="0"/>
    <x v="6"/>
    <x v="2"/>
    <x v="11"/>
    <n v="493"/>
    <n v="8.9"/>
    <x v="1524"/>
  </r>
  <r>
    <n v="5"/>
    <n v="20"/>
    <n v="1"/>
    <n v="3"/>
    <n v="7"/>
    <n v="0"/>
    <x v="11"/>
    <x v="19"/>
    <x v="33"/>
    <n v="239"/>
    <n v="7.4"/>
    <x v="1525"/>
  </r>
  <r>
    <n v="9"/>
    <n v="23"/>
    <n v="2"/>
    <n v="7"/>
    <n v="1"/>
    <n v="0"/>
    <x v="11"/>
    <x v="16"/>
    <x v="19"/>
    <n v="412"/>
    <n v="8.1999999999999993"/>
    <x v="1526"/>
  </r>
  <r>
    <n v="15"/>
    <n v="23"/>
    <n v="3"/>
    <n v="15"/>
    <n v="1"/>
    <n v="0"/>
    <x v="8"/>
    <x v="14"/>
    <x v="2"/>
    <n v="514"/>
    <n v="7.6"/>
    <x v="1015"/>
  </r>
  <r>
    <n v="23"/>
    <n v="22"/>
    <n v="3"/>
    <n v="18"/>
    <n v="1"/>
    <n v="0"/>
    <x v="11"/>
    <x v="0"/>
    <x v="16"/>
    <n v="653"/>
    <n v="8.1"/>
    <x v="1527"/>
  </r>
  <r>
    <n v="22"/>
    <n v="23"/>
    <n v="0"/>
    <n v="10"/>
    <n v="1"/>
    <n v="0"/>
    <x v="7"/>
    <x v="8"/>
    <x v="21"/>
    <n v="417"/>
    <n v="8.4"/>
    <x v="39"/>
  </r>
  <r>
    <n v="12"/>
    <n v="23"/>
    <n v="3"/>
    <n v="9"/>
    <n v="1"/>
    <n v="0"/>
    <x v="4"/>
    <x v="16"/>
    <x v="5"/>
    <n v="498"/>
    <n v="8.1999999999999993"/>
    <x v="1528"/>
  </r>
  <r>
    <n v="5"/>
    <n v="18"/>
    <n v="0"/>
    <n v="11"/>
    <n v="1"/>
    <n v="0"/>
    <x v="2"/>
    <x v="17"/>
    <x v="27"/>
    <n v="187"/>
    <n v="8.8000000000000007"/>
    <x v="1529"/>
  </r>
  <r>
    <n v="15"/>
    <n v="0"/>
    <n v="2"/>
    <n v="13"/>
    <n v="1"/>
    <n v="0"/>
    <x v="0"/>
    <x v="3"/>
    <x v="17"/>
    <n v="581"/>
    <n v="8.9"/>
    <x v="1299"/>
  </r>
  <r>
    <n v="13"/>
    <n v="22"/>
    <n v="1"/>
    <n v="5"/>
    <n v="12"/>
    <n v="0"/>
    <x v="7"/>
    <x v="9"/>
    <x v="24"/>
    <n v="536"/>
    <n v="7.9"/>
    <x v="24"/>
  </r>
  <r>
    <n v="10"/>
    <n v="22"/>
    <n v="1"/>
    <n v="14"/>
    <n v="1"/>
    <n v="0"/>
    <x v="5"/>
    <x v="14"/>
    <x v="0"/>
    <n v="621"/>
    <n v="7.6"/>
    <x v="1530"/>
  </r>
  <r>
    <n v="6"/>
    <n v="21"/>
    <n v="2"/>
    <n v="4"/>
    <n v="7"/>
    <n v="0"/>
    <x v="6"/>
    <x v="7"/>
    <x v="5"/>
    <n v="502"/>
    <n v="7.8"/>
    <x v="1531"/>
  </r>
  <r>
    <n v="16"/>
    <n v="22"/>
    <n v="2"/>
    <n v="8"/>
    <n v="1"/>
    <n v="0"/>
    <x v="1"/>
    <x v="5"/>
    <x v="5"/>
    <n v="361"/>
    <n v="7.7"/>
    <x v="1532"/>
  </r>
  <r>
    <n v="21"/>
    <n v="22"/>
    <n v="0"/>
    <n v="22"/>
    <n v="1"/>
    <n v="0"/>
    <x v="2"/>
    <x v="13"/>
    <x v="6"/>
    <n v="600"/>
    <n v="9.1999999999999993"/>
    <x v="1533"/>
  </r>
  <r>
    <n v="22"/>
    <n v="22"/>
    <n v="2"/>
    <n v="18"/>
    <n v="1"/>
    <n v="0"/>
    <x v="4"/>
    <x v="27"/>
    <x v="26"/>
    <n v="656"/>
    <n v="7.7"/>
    <x v="529"/>
  </r>
  <r>
    <n v="9"/>
    <n v="21"/>
    <n v="3"/>
    <n v="5"/>
    <n v="1"/>
    <n v="0"/>
    <x v="11"/>
    <x v="13"/>
    <x v="2"/>
    <n v="384"/>
    <n v="9.1999999999999993"/>
    <x v="1534"/>
  </r>
  <r>
    <n v="15"/>
    <n v="23"/>
    <n v="1"/>
    <n v="14"/>
    <n v="1"/>
    <n v="0"/>
    <x v="3"/>
    <x v="17"/>
    <x v="4"/>
    <n v="672"/>
    <n v="8.8000000000000007"/>
    <x v="1535"/>
  </r>
  <r>
    <n v="12"/>
    <n v="22"/>
    <n v="0"/>
    <n v="8"/>
    <n v="0"/>
    <n v="0"/>
    <x v="2"/>
    <x v="17"/>
    <x v="18"/>
    <n v="332"/>
    <n v="8.8000000000000007"/>
    <x v="1536"/>
  </r>
  <r>
    <n v="12"/>
    <n v="23"/>
    <n v="3"/>
    <n v="4"/>
    <n v="12"/>
    <n v="0"/>
    <x v="5"/>
    <x v="13"/>
    <x v="2"/>
    <n v="662"/>
    <n v="9.1999999999999993"/>
    <x v="1537"/>
  </r>
  <r>
    <n v="13"/>
    <n v="23"/>
    <n v="1"/>
    <n v="15"/>
    <n v="1"/>
    <n v="0"/>
    <x v="9"/>
    <x v="10"/>
    <x v="4"/>
    <n v="481"/>
    <n v="8.5"/>
    <x v="1538"/>
  </r>
  <r>
    <n v="21"/>
    <n v="22"/>
    <n v="3"/>
    <n v="6"/>
    <n v="1"/>
    <n v="0"/>
    <x v="11"/>
    <x v="5"/>
    <x v="20"/>
    <s v="nan "/>
    <n v="7.7"/>
    <x v="1539"/>
  </r>
  <r>
    <n v="6"/>
    <n v="22"/>
    <n v="3"/>
    <n v="8"/>
    <n v="1"/>
    <n v="0"/>
    <x v="6"/>
    <x v="26"/>
    <x v="33"/>
    <n v="457"/>
    <n v="7.9"/>
    <x v="1540"/>
  </r>
  <r>
    <n v="9"/>
    <n v="20"/>
    <n v="1"/>
    <n v="12"/>
    <n v="1"/>
    <n v="0"/>
    <x v="9"/>
    <x v="28"/>
    <x v="5"/>
    <n v="389"/>
    <n v="8.8000000000000007"/>
    <x v="1541"/>
  </r>
  <r>
    <n v="7"/>
    <n v="18"/>
    <n v="1"/>
    <n v="15"/>
    <n v="1"/>
    <n v="0"/>
    <x v="5"/>
    <x v="15"/>
    <x v="23"/>
    <n v="499"/>
    <n v="9.3000000000000007"/>
    <x v="1542"/>
  </r>
  <r>
    <n v="7"/>
    <n v="19"/>
    <n v="3"/>
    <n v="22"/>
    <n v="1"/>
    <n v="0"/>
    <x v="12"/>
    <x v="0"/>
    <x v="19"/>
    <n v="666"/>
    <n v="8.1"/>
    <x v="1543"/>
  </r>
  <r>
    <n v="20"/>
    <n v="22"/>
    <n v="2"/>
    <n v="5"/>
    <n v="1"/>
    <n v="0"/>
    <x v="5"/>
    <x v="22"/>
    <x v="32"/>
    <n v="414"/>
    <n v="9.3000000000000007"/>
    <x v="1544"/>
  </r>
  <r>
    <n v="13"/>
    <n v="23"/>
    <n v="1"/>
    <n v="16"/>
    <n v="1"/>
    <n v="0"/>
    <x v="1"/>
    <x v="5"/>
    <x v="15"/>
    <n v="483"/>
    <n v="7.7"/>
    <x v="1545"/>
  </r>
  <r>
    <n v="9"/>
    <n v="18"/>
    <n v="3"/>
    <n v="16"/>
    <n v="1"/>
    <n v="0"/>
    <x v="5"/>
    <x v="13"/>
    <x v="15"/>
    <n v="551"/>
    <n v="0"/>
    <x v="1546"/>
  </r>
  <r>
    <n v="16"/>
    <n v="22"/>
    <n v="0"/>
    <n v="12"/>
    <n v="0"/>
    <n v="0"/>
    <x v="6"/>
    <x v="14"/>
    <x v="25"/>
    <n v="590"/>
    <n v="7.6"/>
    <x v="279"/>
  </r>
  <r>
    <n v="10"/>
    <n v="23"/>
    <n v="2"/>
    <n v="3"/>
    <n v="1"/>
    <n v="0"/>
    <x v="9"/>
    <x v="7"/>
    <x v="18"/>
    <n v="474"/>
    <n v="7.8"/>
    <x v="1547"/>
  </r>
  <r>
    <n v="6"/>
    <n v="21"/>
    <n v="3"/>
    <n v="19"/>
    <n v="1"/>
    <n v="0"/>
    <x v="0"/>
    <x v="3"/>
    <x v="8"/>
    <n v="576"/>
    <n v="8.9"/>
    <x v="853"/>
  </r>
  <r>
    <n v="15"/>
    <n v="23"/>
    <n v="1"/>
    <n v="14"/>
    <n v="12"/>
    <n v="0"/>
    <x v="9"/>
    <x v="13"/>
    <x v="2"/>
    <n v="594"/>
    <n v="9.1999999999999993"/>
    <x v="1548"/>
  </r>
  <r>
    <n v="8"/>
    <n v="20"/>
    <n v="1"/>
    <n v="5"/>
    <n v="1"/>
    <n v="0"/>
    <x v="2"/>
    <x v="5"/>
    <x v="19"/>
    <n v="216"/>
    <n v="7.7"/>
    <x v="1549"/>
  </r>
  <r>
    <n v="15"/>
    <n v="23"/>
    <n v="1"/>
    <n v="18"/>
    <n v="12"/>
    <n v="0"/>
    <x v="6"/>
    <x v="3"/>
    <x v="15"/>
    <n v="736"/>
    <n v="8.9"/>
    <x v="1550"/>
  </r>
  <r>
    <n v="12"/>
    <n v="22"/>
    <n v="3"/>
    <n v="13"/>
    <n v="1"/>
    <n v="0"/>
    <x v="3"/>
    <x v="6"/>
    <x v="23"/>
    <n v="494"/>
    <n v="9.1"/>
    <x v="1075"/>
  </r>
  <r>
    <n v="0"/>
    <n v="23"/>
    <n v="2"/>
    <n v="19"/>
    <n v="12"/>
    <n v="0"/>
    <x v="11"/>
    <x v="8"/>
    <x v="31"/>
    <n v="549"/>
    <n v="8.4"/>
    <x v="1551"/>
  </r>
  <r>
    <n v="16"/>
    <n v="23"/>
    <n v="2"/>
    <n v="5"/>
    <n v="12"/>
    <n v="0"/>
    <x v="12"/>
    <x v="17"/>
    <x v="1"/>
    <n v="705"/>
    <n v="8.8000000000000007"/>
    <x v="1552"/>
  </r>
  <r>
    <n v="21"/>
    <n v="23"/>
    <n v="2"/>
    <n v="11"/>
    <n v="12"/>
    <n v="0"/>
    <x v="5"/>
    <x v="17"/>
    <x v="15"/>
    <n v="555"/>
    <n v="8.8000000000000007"/>
    <x v="1553"/>
  </r>
  <r>
    <n v="15"/>
    <n v="23"/>
    <n v="0"/>
    <n v="9"/>
    <n v="1"/>
    <n v="0"/>
    <x v="11"/>
    <x v="30"/>
    <x v="14"/>
    <n v="393"/>
    <n v="7.7"/>
    <x v="1554"/>
  </r>
  <r>
    <n v="0"/>
    <n v="18"/>
    <n v="3"/>
    <n v="14"/>
    <n v="1"/>
    <n v="0"/>
    <x v="2"/>
    <x v="15"/>
    <x v="18"/>
    <n v="400"/>
    <n v="9.3000000000000007"/>
    <x v="1555"/>
  </r>
  <r>
    <n v="21"/>
    <n v="23"/>
    <n v="0"/>
    <n v="6"/>
    <n v="1"/>
    <n v="0"/>
    <x v="2"/>
    <x v="0"/>
    <x v="16"/>
    <n v="548"/>
    <n v="0"/>
    <x v="24"/>
  </r>
  <r>
    <n v="17"/>
    <n v="23"/>
    <n v="3"/>
    <n v="21"/>
    <n v="1"/>
    <n v="0"/>
    <x v="10"/>
    <x v="3"/>
    <x v="27"/>
    <n v="724"/>
    <n v="8.9"/>
    <x v="1556"/>
  </r>
  <r>
    <n v="12"/>
    <n v="22"/>
    <n v="1"/>
    <n v="22"/>
    <n v="1"/>
    <n v="0"/>
    <x v="4"/>
    <x v="3"/>
    <x v="30"/>
    <n v="506"/>
    <n v="8.9"/>
    <x v="1557"/>
  </r>
  <r>
    <n v="23"/>
    <n v="22"/>
    <n v="3"/>
    <n v="17"/>
    <n v="12"/>
    <n v="0"/>
    <x v="11"/>
    <x v="9"/>
    <x v="24"/>
    <n v="730"/>
    <n v="7.9"/>
    <x v="1558"/>
  </r>
  <r>
    <n v="6"/>
    <n v="23"/>
    <n v="2"/>
    <n v="16"/>
    <n v="1"/>
    <n v="0"/>
    <x v="7"/>
    <x v="5"/>
    <x v="0"/>
    <n v="549"/>
    <n v="7.7"/>
    <x v="1559"/>
  </r>
  <r>
    <n v="20"/>
    <n v="23"/>
    <n v="0"/>
    <n v="15"/>
    <n v="1"/>
    <n v="0"/>
    <x v="2"/>
    <x v="3"/>
    <x v="3"/>
    <n v="661"/>
    <n v="8.9"/>
    <x v="1560"/>
  </r>
  <r>
    <n v="21"/>
    <n v="23"/>
    <n v="3"/>
    <n v="13"/>
    <n v="0"/>
    <n v="0"/>
    <x v="2"/>
    <x v="21"/>
    <x v="11"/>
    <n v="556"/>
    <n v="7.4"/>
    <x v="1561"/>
  </r>
  <r>
    <n v="21"/>
    <n v="23"/>
    <n v="1"/>
    <n v="21"/>
    <n v="1"/>
    <n v="0"/>
    <x v="3"/>
    <x v="17"/>
    <x v="11"/>
    <n v="748"/>
    <n v="8.8000000000000007"/>
    <x v="1562"/>
  </r>
  <r>
    <n v="13"/>
    <n v="0"/>
    <n v="1"/>
    <n v="15"/>
    <n v="12"/>
    <n v="0"/>
    <x v="2"/>
    <x v="4"/>
    <x v="9"/>
    <n v="546"/>
    <n v="8.6999999999999993"/>
    <x v="164"/>
  </r>
  <r>
    <n v="7"/>
    <n v="19"/>
    <n v="3"/>
    <n v="8"/>
    <n v="7"/>
    <n v="0"/>
    <x v="9"/>
    <x v="19"/>
    <x v="24"/>
    <n v="548"/>
    <n v="7.4"/>
    <x v="1563"/>
  </r>
  <r>
    <n v="18"/>
    <n v="22"/>
    <n v="2"/>
    <n v="15"/>
    <n v="1"/>
    <n v="0"/>
    <x v="10"/>
    <x v="7"/>
    <x v="27"/>
    <n v="474"/>
    <n v="7.8"/>
    <x v="1547"/>
  </r>
  <r>
    <n v="0"/>
    <n v="23"/>
    <n v="0"/>
    <n v="22"/>
    <n v="1"/>
    <n v="0"/>
    <x v="8"/>
    <x v="4"/>
    <x v="9"/>
    <n v="741"/>
    <n v="8.6999999999999993"/>
    <x v="1564"/>
  </r>
  <r>
    <n v="21"/>
    <n v="23"/>
    <n v="0"/>
    <n v="10"/>
    <n v="12"/>
    <n v="0"/>
    <x v="11"/>
    <x v="4"/>
    <x v="24"/>
    <n v="605"/>
    <n v="8.6999999999999993"/>
    <x v="1565"/>
  </r>
  <r>
    <n v="7"/>
    <n v="19"/>
    <n v="2"/>
    <n v="13"/>
    <n v="1"/>
    <n v="0"/>
    <x v="7"/>
    <x v="1"/>
    <x v="22"/>
    <n v="424"/>
    <n v="8.3000000000000007"/>
    <x v="1566"/>
  </r>
  <r>
    <n v="12"/>
    <n v="22"/>
    <n v="1"/>
    <n v="4"/>
    <n v="1"/>
    <n v="0"/>
    <x v="10"/>
    <x v="14"/>
    <x v="14"/>
    <n v="308"/>
    <n v="7.6"/>
    <x v="1567"/>
  </r>
  <r>
    <n v="8"/>
    <n v="23"/>
    <n v="1"/>
    <n v="19"/>
    <n v="1"/>
    <n v="0"/>
    <x v="7"/>
    <x v="0"/>
    <x v="1"/>
    <n v="487"/>
    <n v="8.1"/>
    <x v="223"/>
  </r>
  <r>
    <n v="5"/>
    <n v="18"/>
    <n v="3"/>
    <n v="18"/>
    <n v="7"/>
    <n v="0"/>
    <x v="8"/>
    <x v="19"/>
    <x v="32"/>
    <n v="535"/>
    <n v="7.4"/>
    <x v="1568"/>
  </r>
  <r>
    <n v="13"/>
    <n v="23"/>
    <n v="0"/>
    <n v="4"/>
    <n v="1"/>
    <n v="0"/>
    <x v="0"/>
    <x v="9"/>
    <x v="5"/>
    <n v="252"/>
    <n v="7.9"/>
    <x v="1569"/>
  </r>
  <r>
    <n v="16"/>
    <n v="22"/>
    <n v="0"/>
    <n v="10"/>
    <n v="1"/>
    <n v="0"/>
    <x v="8"/>
    <x v="16"/>
    <x v="31"/>
    <n v="376"/>
    <n v="0"/>
    <x v="1570"/>
  </r>
  <r>
    <n v="9"/>
    <n v="20"/>
    <n v="2"/>
    <n v="5"/>
    <n v="1"/>
    <n v="0"/>
    <x v="5"/>
    <x v="4"/>
    <x v="6"/>
    <n v="344"/>
    <n v="8.6999999999999993"/>
    <x v="1571"/>
  </r>
  <r>
    <n v="22"/>
    <n v="0"/>
    <n v="2"/>
    <n v="7"/>
    <n v="1"/>
    <n v="0"/>
    <x v="8"/>
    <x v="13"/>
    <x v="17"/>
    <n v="676"/>
    <n v="9.1999999999999993"/>
    <x v="1572"/>
  </r>
  <r>
    <n v="13"/>
    <n v="22"/>
    <n v="2"/>
    <n v="16"/>
    <n v="1"/>
    <n v="0"/>
    <x v="8"/>
    <x v="0"/>
    <x v="13"/>
    <n v="545"/>
    <n v="8.1"/>
    <x v="472"/>
  </r>
  <r>
    <n v="7"/>
    <n v="20"/>
    <n v="0"/>
    <n v="5"/>
    <n v="1"/>
    <n v="0"/>
    <x v="1"/>
    <x v="16"/>
    <x v="5"/>
    <n v="356"/>
    <n v="8.1999999999999993"/>
    <x v="1520"/>
  </r>
  <r>
    <n v="11"/>
    <n v="22"/>
    <n v="1"/>
    <n v="11"/>
    <n v="1"/>
    <n v="0"/>
    <x v="4"/>
    <x v="13"/>
    <x v="22"/>
    <n v="400"/>
    <n v="9.1999999999999993"/>
    <x v="1573"/>
  </r>
  <r>
    <n v="9"/>
    <n v="18"/>
    <n v="3"/>
    <n v="13"/>
    <n v="7"/>
    <n v="0"/>
    <x v="12"/>
    <x v="4"/>
    <x v="19"/>
    <n v="659"/>
    <n v="8.6999999999999993"/>
    <x v="1574"/>
  </r>
  <r>
    <n v="8"/>
    <n v="22"/>
    <n v="1"/>
    <n v="5"/>
    <n v="1"/>
    <n v="0"/>
    <x v="12"/>
    <x v="16"/>
    <x v="18"/>
    <n v="263"/>
    <n v="8.1999999999999993"/>
    <x v="1575"/>
  </r>
  <r>
    <n v="12"/>
    <n v="22"/>
    <n v="0"/>
    <n v="6"/>
    <n v="1"/>
    <n v="0"/>
    <x v="3"/>
    <x v="4"/>
    <x v="32"/>
    <n v="386"/>
    <n v="8.6999999999999993"/>
    <x v="24"/>
  </r>
  <r>
    <n v="18"/>
    <n v="22"/>
    <n v="1"/>
    <n v="3"/>
    <n v="12"/>
    <n v="0"/>
    <x v="9"/>
    <x v="16"/>
    <x v="20"/>
    <n v="414"/>
    <n v="8.1999999999999993"/>
    <x v="1506"/>
  </r>
  <r>
    <n v="18"/>
    <n v="22"/>
    <n v="1"/>
    <n v="19"/>
    <n v="1"/>
    <n v="0"/>
    <x v="2"/>
    <x v="13"/>
    <x v="13"/>
    <n v="476"/>
    <n v="9.1999999999999993"/>
    <x v="1576"/>
  </r>
  <r>
    <n v="6"/>
    <n v="18"/>
    <n v="0"/>
    <n v="0"/>
    <n v="1"/>
    <n v="0"/>
    <x v="7"/>
    <x v="20"/>
    <x v="19"/>
    <n v="341"/>
    <n v="9.3000000000000007"/>
    <x v="1577"/>
  </r>
  <r>
    <n v="9"/>
    <n v="21"/>
    <n v="1"/>
    <n v="9"/>
    <n v="1"/>
    <n v="0"/>
    <x v="10"/>
    <x v="29"/>
    <x v="1"/>
    <n v="474"/>
    <n v="0"/>
    <x v="395"/>
  </r>
  <r>
    <n v="6"/>
    <n v="22"/>
    <n v="1"/>
    <n v="7"/>
    <n v="1"/>
    <n v="0"/>
    <x v="9"/>
    <x v="8"/>
    <x v="12"/>
    <n v="411"/>
    <n v="8.4"/>
    <x v="1578"/>
  </r>
  <r>
    <n v="7"/>
    <n v="20"/>
    <n v="1"/>
    <n v="16"/>
    <n v="1"/>
    <n v="0"/>
    <x v="8"/>
    <x v="17"/>
    <x v="13"/>
    <n v="412"/>
    <n v="8.8000000000000007"/>
    <x v="110"/>
  </r>
  <r>
    <n v="21"/>
    <n v="23"/>
    <n v="2"/>
    <n v="8"/>
    <n v="1"/>
    <n v="0"/>
    <x v="2"/>
    <x v="3"/>
    <x v="25"/>
    <n v="521"/>
    <n v="8.9"/>
    <x v="1579"/>
  </r>
  <r>
    <n v="0"/>
    <n v="18"/>
    <n v="0"/>
    <n v="14"/>
    <n v="1"/>
    <n v="0"/>
    <x v="7"/>
    <x v="1"/>
    <x v="3"/>
    <n v="371"/>
    <n v="8.3000000000000007"/>
    <x v="1436"/>
  </r>
  <r>
    <n v="9"/>
    <n v="21"/>
    <n v="3"/>
    <n v="15"/>
    <n v="1"/>
    <n v="0"/>
    <x v="7"/>
    <x v="13"/>
    <x v="4"/>
    <n v="399"/>
    <n v="9.1999999999999993"/>
    <x v="1580"/>
  </r>
  <r>
    <n v="9"/>
    <n v="18"/>
    <n v="3"/>
    <n v="0"/>
    <n v="0"/>
    <n v="0"/>
    <x v="9"/>
    <x v="13"/>
    <x v="31"/>
    <n v="353"/>
    <n v="9.1999999999999993"/>
    <x v="83"/>
  </r>
  <r>
    <n v="14"/>
    <n v="23"/>
    <n v="0"/>
    <n v="21"/>
    <n v="1"/>
    <n v="0"/>
    <x v="8"/>
    <x v="13"/>
    <x v="3"/>
    <n v="0"/>
    <n v="9.1999999999999993"/>
    <x v="52"/>
  </r>
  <r>
    <n v="19"/>
    <n v="23"/>
    <n v="0"/>
    <n v="7"/>
    <n v="1"/>
    <n v="0"/>
    <x v="6"/>
    <x v="0"/>
    <x v="6"/>
    <n v="350"/>
    <n v="8.1"/>
    <x v="1581"/>
  </r>
  <r>
    <n v="13"/>
    <n v="23"/>
    <n v="3"/>
    <n v="7"/>
    <n v="1"/>
    <n v="0"/>
    <x v="8"/>
    <x v="6"/>
    <x v="7"/>
    <n v="605"/>
    <n v="9.1"/>
    <x v="730"/>
  </r>
  <r>
    <n v="0"/>
    <n v="22"/>
    <n v="2"/>
    <n v="14"/>
    <n v="1"/>
    <n v="0"/>
    <x v="7"/>
    <x v="9"/>
    <x v="9"/>
    <n v="593"/>
    <n v="7.9"/>
    <x v="1363"/>
  </r>
  <r>
    <n v="11"/>
    <n v="22"/>
    <n v="3"/>
    <n v="3"/>
    <n v="1"/>
    <n v="0"/>
    <x v="8"/>
    <x v="17"/>
    <x v="13"/>
    <n v="409"/>
    <n v="8.8000000000000007"/>
    <x v="1582"/>
  </r>
  <r>
    <n v="6"/>
    <n v="23"/>
    <n v="3"/>
    <n v="13"/>
    <n v="1"/>
    <n v="0"/>
    <x v="5"/>
    <x v="17"/>
    <x v="7"/>
    <n v="477"/>
    <n v="8.8000000000000007"/>
    <x v="600"/>
  </r>
  <r>
    <n v="23"/>
    <n v="23"/>
    <n v="0"/>
    <n v="13"/>
    <n v="1"/>
    <n v="0"/>
    <x v="7"/>
    <x v="0"/>
    <x v="7"/>
    <n v="662"/>
    <n v="8.1"/>
    <x v="1583"/>
  </r>
  <r>
    <n v="21"/>
    <n v="22"/>
    <n v="0"/>
    <n v="12"/>
    <n v="1"/>
    <n v="0"/>
    <x v="11"/>
    <x v="9"/>
    <x v="15"/>
    <n v="0"/>
    <n v="7.9"/>
    <x v="1584"/>
  </r>
  <r>
    <n v="9"/>
    <n v="20"/>
    <n v="2"/>
    <n v="17"/>
    <n v="1"/>
    <n v="0"/>
    <x v="8"/>
    <x v="19"/>
    <x v="2"/>
    <n v="0"/>
    <n v="7.4"/>
    <x v="1585"/>
  </r>
  <r>
    <n v="22"/>
    <n v="22"/>
    <n v="3"/>
    <n v="11"/>
    <n v="1"/>
    <n v="0"/>
    <x v="12"/>
    <x v="2"/>
    <x v="16"/>
    <n v="726"/>
    <n v="8.9"/>
    <x v="1443"/>
  </r>
  <r>
    <n v="9"/>
    <n v="23"/>
    <n v="3"/>
    <n v="6"/>
    <n v="1"/>
    <n v="0"/>
    <x v="1"/>
    <x v="0"/>
    <x v="29"/>
    <n v="532"/>
    <n v="8.1"/>
    <x v="1586"/>
  </r>
  <r>
    <n v="8"/>
    <n v="21"/>
    <n v="2"/>
    <n v="18"/>
    <n v="1"/>
    <n v="0"/>
    <x v="0"/>
    <x v="13"/>
    <x v="31"/>
    <n v="347"/>
    <n v="9.1999999999999993"/>
    <x v="1587"/>
  </r>
  <r>
    <n v="15"/>
    <n v="22"/>
    <n v="2"/>
    <n v="6"/>
    <n v="1"/>
    <n v="0"/>
    <x v="1"/>
    <x v="29"/>
    <x v="17"/>
    <n v="543"/>
    <n v="9.3000000000000007"/>
    <x v="1588"/>
  </r>
  <r>
    <n v="8"/>
    <n v="19"/>
    <n v="2"/>
    <n v="7"/>
    <n v="7"/>
    <n v="0"/>
    <x v="1"/>
    <x v="16"/>
    <x v="3"/>
    <n v="494"/>
    <n v="8.1999999999999993"/>
    <x v="321"/>
  </r>
  <r>
    <n v="21"/>
    <n v="22"/>
    <n v="0"/>
    <n v="5"/>
    <n v="1"/>
    <n v="0"/>
    <x v="11"/>
    <x v="14"/>
    <x v="1"/>
    <n v="0"/>
    <n v="7.6"/>
    <x v="1589"/>
  </r>
  <r>
    <n v="8"/>
    <n v="22"/>
    <n v="3"/>
    <n v="11"/>
    <n v="1"/>
    <n v="0"/>
    <x v="12"/>
    <x v="7"/>
    <x v="18"/>
    <n v="600"/>
    <n v="7.8"/>
    <x v="1590"/>
  </r>
  <r>
    <n v="12"/>
    <n v="23"/>
    <n v="3"/>
    <n v="21"/>
    <n v="1"/>
    <n v="0"/>
    <x v="6"/>
    <x v="4"/>
    <x v="22"/>
    <n v="490"/>
    <n v="8.6999999999999993"/>
    <x v="1591"/>
  </r>
  <r>
    <n v="15"/>
    <n v="23"/>
    <n v="0"/>
    <n v="6"/>
    <n v="1"/>
    <n v="0"/>
    <x v="9"/>
    <x v="1"/>
    <x v="17"/>
    <n v="530"/>
    <n v="8.3000000000000007"/>
    <x v="1310"/>
  </r>
  <r>
    <n v="11"/>
    <n v="22"/>
    <n v="2"/>
    <n v="12"/>
    <n v="0"/>
    <n v="0"/>
    <x v="9"/>
    <x v="0"/>
    <x v="18"/>
    <n v="0"/>
    <n v="8.1"/>
    <x v="132"/>
  </r>
  <r>
    <n v="15"/>
    <n v="22"/>
    <n v="3"/>
    <n v="17"/>
    <n v="1"/>
    <n v="0"/>
    <x v="0"/>
    <x v="9"/>
    <x v="14"/>
    <n v="418"/>
    <n v="7.9"/>
    <x v="1592"/>
  </r>
  <r>
    <n v="9"/>
    <n v="20"/>
    <n v="0"/>
    <n v="17"/>
    <n v="1"/>
    <n v="0"/>
    <x v="6"/>
    <x v="5"/>
    <x v="9"/>
    <n v="543"/>
    <n v="7.7"/>
    <x v="1593"/>
  </r>
  <r>
    <n v="0"/>
    <n v="0"/>
    <n v="3"/>
    <n v="12"/>
    <n v="0"/>
    <n v="0"/>
    <x v="5"/>
    <x v="8"/>
    <x v="18"/>
    <n v="623"/>
    <n v="8.4"/>
    <x v="1594"/>
  </r>
  <r>
    <n v="11"/>
    <n v="23"/>
    <n v="2"/>
    <n v="18"/>
    <n v="1"/>
    <n v="0"/>
    <x v="6"/>
    <x v="10"/>
    <x v="3"/>
    <n v="421"/>
    <n v="8.5"/>
    <x v="1595"/>
  </r>
  <r>
    <n v="8"/>
    <n v="19"/>
    <n v="1"/>
    <n v="10"/>
    <n v="1"/>
    <n v="0"/>
    <x v="8"/>
    <x v="13"/>
    <x v="21"/>
    <n v="445"/>
    <n v="9.1999999999999993"/>
    <x v="1596"/>
  </r>
  <r>
    <n v="6"/>
    <n v="20"/>
    <n v="0"/>
    <n v="10"/>
    <n v="1"/>
    <n v="0"/>
    <x v="6"/>
    <x v="4"/>
    <x v="0"/>
    <n v="284"/>
    <n v="8.6999999999999993"/>
    <x v="1597"/>
  </r>
  <r>
    <n v="20"/>
    <n v="0"/>
    <n v="2"/>
    <n v="20"/>
    <n v="1"/>
    <n v="0"/>
    <x v="11"/>
    <x v="9"/>
    <x v="20"/>
    <n v="619"/>
    <n v="7.9"/>
    <x v="1598"/>
  </r>
  <r>
    <n v="12"/>
    <n v="23"/>
    <n v="3"/>
    <n v="0"/>
    <n v="1"/>
    <n v="0"/>
    <x v="0"/>
    <x v="18"/>
    <x v="3"/>
    <n v="496"/>
    <n v="0"/>
    <x v="1599"/>
  </r>
  <r>
    <n v="8"/>
    <n v="18"/>
    <n v="3"/>
    <n v="18"/>
    <n v="1"/>
    <n v="0"/>
    <x v="1"/>
    <x v="14"/>
    <x v="21"/>
    <n v="565"/>
    <n v="7.6"/>
    <x v="1600"/>
  </r>
  <r>
    <n v="20"/>
    <n v="0"/>
    <n v="2"/>
    <n v="6"/>
    <n v="1"/>
    <n v="0"/>
    <x v="3"/>
    <x v="16"/>
    <x v="0"/>
    <n v="650"/>
    <n v="8.1999999999999993"/>
    <x v="1601"/>
  </r>
  <r>
    <n v="15"/>
    <n v="22"/>
    <n v="0"/>
    <n v="0"/>
    <n v="1"/>
    <n v="0"/>
    <x v="3"/>
    <x v="9"/>
    <x v="15"/>
    <n v="384"/>
    <n v="7.9"/>
    <x v="1602"/>
  </r>
  <r>
    <n v="20"/>
    <n v="23"/>
    <n v="0"/>
    <n v="4"/>
    <n v="12"/>
    <n v="0"/>
    <x v="4"/>
    <x v="8"/>
    <x v="4"/>
    <n v="640"/>
    <n v="8.4"/>
    <x v="406"/>
  </r>
  <r>
    <n v="7"/>
    <n v="18"/>
    <n v="0"/>
    <n v="10"/>
    <n v="0"/>
    <n v="0"/>
    <x v="4"/>
    <x v="20"/>
    <x v="14"/>
    <n v="514"/>
    <n v="8.3000000000000007"/>
    <x v="1603"/>
  </r>
  <r>
    <n v="23"/>
    <n v="23"/>
    <n v="3"/>
    <n v="14"/>
    <n v="12"/>
    <n v="0"/>
    <x v="6"/>
    <x v="8"/>
    <x v="11"/>
    <n v="0"/>
    <n v="8.4"/>
    <x v="1604"/>
  </r>
  <r>
    <n v="7"/>
    <n v="19"/>
    <n v="0"/>
    <n v="16"/>
    <n v="1"/>
    <n v="0"/>
    <x v="0"/>
    <x v="4"/>
    <x v="2"/>
    <n v="453"/>
    <n v="8.6999999999999993"/>
    <x v="1605"/>
  </r>
  <r>
    <n v="20"/>
    <n v="23"/>
    <n v="2"/>
    <n v="16"/>
    <n v="12"/>
    <n v="0"/>
    <x v="4"/>
    <x v="17"/>
    <x v="23"/>
    <n v="753"/>
    <n v="8.8000000000000007"/>
    <x v="1280"/>
  </r>
  <r>
    <n v="14"/>
    <n v="0"/>
    <n v="3"/>
    <n v="16"/>
    <n v="1"/>
    <n v="0"/>
    <x v="10"/>
    <x v="9"/>
    <x v="8"/>
    <n v="580"/>
    <n v="7.9"/>
    <x v="1606"/>
  </r>
  <r>
    <n v="14"/>
    <n v="23"/>
    <n v="0"/>
    <n v="18"/>
    <n v="1"/>
    <n v="0"/>
    <x v="8"/>
    <x v="15"/>
    <x v="23"/>
    <n v="524"/>
    <n v="9.3000000000000007"/>
    <x v="1607"/>
  </r>
  <r>
    <n v="6"/>
    <n v="22"/>
    <n v="1"/>
    <n v="9"/>
    <n v="1"/>
    <n v="0"/>
    <x v="4"/>
    <x v="1"/>
    <x v="30"/>
    <n v="355"/>
    <n v="8.3000000000000007"/>
    <x v="1608"/>
  </r>
  <r>
    <n v="5"/>
    <n v="21"/>
    <n v="3"/>
    <n v="17"/>
    <n v="1"/>
    <n v="0"/>
    <x v="12"/>
    <x v="20"/>
    <x v="31"/>
    <n v="447"/>
    <n v="9.1"/>
    <x v="1609"/>
  </r>
  <r>
    <n v="16"/>
    <n v="22"/>
    <n v="1"/>
    <n v="15"/>
    <n v="1"/>
    <n v="0"/>
    <x v="3"/>
    <x v="6"/>
    <x v="3"/>
    <n v="640"/>
    <n v="9.1"/>
    <x v="1357"/>
  </r>
  <r>
    <n v="11"/>
    <n v="23"/>
    <n v="0"/>
    <n v="8"/>
    <n v="1"/>
    <n v="0"/>
    <x v="5"/>
    <x v="7"/>
    <x v="23"/>
    <n v="444"/>
    <n v="7.8"/>
    <x v="1610"/>
  </r>
  <r>
    <n v="5"/>
    <n v="20"/>
    <n v="3"/>
    <n v="7"/>
    <n v="1"/>
    <n v="0"/>
    <x v="4"/>
    <x v="3"/>
    <x v="3"/>
    <n v="294"/>
    <n v="0"/>
    <x v="1611"/>
  </r>
  <r>
    <n v="22"/>
    <n v="22"/>
    <n v="1"/>
    <n v="16"/>
    <n v="1"/>
    <n v="0"/>
    <x v="3"/>
    <x v="20"/>
    <x v="27"/>
    <n v="699"/>
    <n v="9.1"/>
    <x v="394"/>
  </r>
  <r>
    <n v="12"/>
    <n v="23"/>
    <n v="1"/>
    <n v="20"/>
    <n v="1"/>
    <n v="0"/>
    <x v="4"/>
    <x v="3"/>
    <x v="17"/>
    <n v="577"/>
    <n v="0"/>
    <x v="1612"/>
  </r>
  <r>
    <n v="7"/>
    <n v="18"/>
    <n v="2"/>
    <n v="19"/>
    <n v="1"/>
    <n v="0"/>
    <x v="4"/>
    <x v="15"/>
    <x v="13"/>
    <n v="486"/>
    <n v="9.3000000000000007"/>
    <x v="195"/>
  </r>
  <r>
    <n v="11"/>
    <n v="22"/>
    <n v="3"/>
    <n v="21"/>
    <n v="1"/>
    <n v="0"/>
    <x v="7"/>
    <x v="18"/>
    <x v="2"/>
    <n v="596"/>
    <n v="8.3000000000000007"/>
    <x v="1613"/>
  </r>
  <r>
    <n v="17"/>
    <n v="22"/>
    <n v="1"/>
    <n v="6"/>
    <n v="1"/>
    <n v="0"/>
    <x v="10"/>
    <x v="5"/>
    <x v="15"/>
    <n v="561"/>
    <n v="7.7"/>
    <x v="1614"/>
  </r>
  <r>
    <n v="18"/>
    <n v="22"/>
    <n v="1"/>
    <n v="0"/>
    <n v="12"/>
    <n v="0"/>
    <x v="2"/>
    <x v="3"/>
    <x v="0"/>
    <n v="757"/>
    <n v="8.9"/>
    <x v="1615"/>
  </r>
  <r>
    <n v="14"/>
    <n v="22"/>
    <n v="3"/>
    <n v="6"/>
    <n v="1"/>
    <n v="0"/>
    <x v="9"/>
    <x v="29"/>
    <x v="23"/>
    <n v="560"/>
    <n v="9.3000000000000007"/>
    <x v="24"/>
  </r>
  <r>
    <n v="17"/>
    <n v="23"/>
    <n v="2"/>
    <n v="18"/>
    <n v="1"/>
    <n v="0"/>
    <x v="11"/>
    <x v="7"/>
    <x v="1"/>
    <n v="703"/>
    <n v="7.8"/>
    <x v="1616"/>
  </r>
  <r>
    <n v="21"/>
    <n v="22"/>
    <n v="3"/>
    <n v="17"/>
    <n v="0"/>
    <n v="0"/>
    <x v="2"/>
    <x v="5"/>
    <x v="21"/>
    <n v="512"/>
    <n v="7.7"/>
    <x v="1500"/>
  </r>
  <r>
    <n v="20"/>
    <n v="22"/>
    <n v="3"/>
    <n v="5"/>
    <n v="1"/>
    <n v="0"/>
    <x v="8"/>
    <x v="19"/>
    <x v="25"/>
    <n v="612"/>
    <n v="7.4"/>
    <x v="1617"/>
  </r>
  <r>
    <n v="21"/>
    <n v="23"/>
    <n v="2"/>
    <n v="5"/>
    <n v="1"/>
    <n v="0"/>
    <x v="10"/>
    <x v="11"/>
    <x v="14"/>
    <n v="417"/>
    <n v="8.4"/>
    <x v="24"/>
  </r>
  <r>
    <n v="11"/>
    <n v="22"/>
    <n v="3"/>
    <n v="0"/>
    <n v="1"/>
    <n v="0"/>
    <x v="2"/>
    <x v="9"/>
    <x v="21"/>
    <n v="565"/>
    <n v="7.9"/>
    <x v="1618"/>
  </r>
  <r>
    <n v="11"/>
    <n v="23"/>
    <n v="2"/>
    <n v="9"/>
    <n v="1"/>
    <n v="0"/>
    <x v="8"/>
    <x v="14"/>
    <x v="21"/>
    <n v="509"/>
    <n v="7.6"/>
    <x v="1619"/>
  </r>
  <r>
    <n v="12"/>
    <n v="22"/>
    <n v="1"/>
    <n v="4"/>
    <n v="1"/>
    <n v="0"/>
    <x v="9"/>
    <x v="17"/>
    <x v="15"/>
    <n v="518"/>
    <n v="8.8000000000000007"/>
    <x v="143"/>
  </r>
  <r>
    <n v="5"/>
    <n v="19"/>
    <n v="2"/>
    <n v="4"/>
    <n v="1"/>
    <n v="0"/>
    <x v="9"/>
    <x v="14"/>
    <x v="28"/>
    <n v="236"/>
    <n v="7.6"/>
    <x v="1620"/>
  </r>
  <r>
    <n v="16"/>
    <n v="22"/>
    <n v="1"/>
    <n v="11"/>
    <n v="0"/>
    <n v="0"/>
    <x v="4"/>
    <x v="1"/>
    <x v="12"/>
    <n v="622"/>
    <n v="8.3000000000000007"/>
    <x v="1621"/>
  </r>
  <r>
    <n v="7"/>
    <n v="17"/>
    <n v="3"/>
    <n v="14"/>
    <n v="1"/>
    <n v="0"/>
    <x v="1"/>
    <x v="13"/>
    <x v="24"/>
    <n v="325"/>
    <n v="9.1999999999999993"/>
    <x v="1622"/>
  </r>
  <r>
    <n v="0"/>
    <n v="17"/>
    <n v="0"/>
    <n v="12"/>
    <n v="0"/>
    <n v="0"/>
    <x v="0"/>
    <x v="3"/>
    <x v="25"/>
    <n v="389"/>
    <n v="8.9"/>
    <x v="85"/>
  </r>
  <r>
    <n v="23"/>
    <n v="0"/>
    <n v="0"/>
    <n v="15"/>
    <n v="1"/>
    <n v="0"/>
    <x v="1"/>
    <x v="13"/>
    <x v="16"/>
    <n v="476"/>
    <n v="9.1999999999999993"/>
    <x v="1576"/>
  </r>
  <r>
    <n v="12"/>
    <n v="22"/>
    <n v="2"/>
    <n v="11"/>
    <n v="1"/>
    <n v="0"/>
    <x v="2"/>
    <x v="5"/>
    <x v="30"/>
    <n v="465"/>
    <n v="7.7"/>
    <x v="1374"/>
  </r>
  <r>
    <n v="22"/>
    <n v="22"/>
    <n v="2"/>
    <n v="12"/>
    <n v="1"/>
    <n v="0"/>
    <x v="5"/>
    <x v="5"/>
    <x v="25"/>
    <n v="666"/>
    <n v="7.7"/>
    <x v="1623"/>
  </r>
  <r>
    <n v="17"/>
    <n v="22"/>
    <n v="0"/>
    <n v="8"/>
    <n v="1"/>
    <n v="0"/>
    <x v="8"/>
    <x v="6"/>
    <x v="21"/>
    <n v="511"/>
    <n v="9.1"/>
    <x v="1624"/>
  </r>
  <r>
    <n v="7"/>
    <n v="18"/>
    <n v="3"/>
    <n v="9"/>
    <n v="7"/>
    <n v="0"/>
    <x v="11"/>
    <x v="13"/>
    <x v="27"/>
    <n v="480"/>
    <n v="9.1999999999999993"/>
    <x v="52"/>
  </r>
  <r>
    <n v="13"/>
    <n v="22"/>
    <n v="0"/>
    <n v="10"/>
    <n v="12"/>
    <n v="0"/>
    <x v="3"/>
    <x v="3"/>
    <x v="12"/>
    <n v="449"/>
    <n v="8.9"/>
    <x v="1625"/>
  </r>
  <r>
    <n v="23"/>
    <n v="23"/>
    <n v="2"/>
    <n v="12"/>
    <n v="1"/>
    <n v="0"/>
    <x v="8"/>
    <x v="2"/>
    <x v="8"/>
    <n v="579"/>
    <n v="8.9"/>
    <x v="1626"/>
  </r>
  <r>
    <n v="16"/>
    <n v="23"/>
    <n v="1"/>
    <n v="9"/>
    <n v="1"/>
    <n v="0"/>
    <x v="0"/>
    <x v="10"/>
    <x v="2"/>
    <n v="560"/>
    <n v="8.5"/>
    <x v="1467"/>
  </r>
  <r>
    <n v="22"/>
    <n v="23"/>
    <n v="0"/>
    <n v="6"/>
    <n v="1"/>
    <n v="0"/>
    <x v="2"/>
    <x v="1"/>
    <x v="18"/>
    <n v="548"/>
    <n v="8.3000000000000007"/>
    <x v="1627"/>
  </r>
  <r>
    <n v="15"/>
    <n v="22"/>
    <n v="2"/>
    <n v="4"/>
    <n v="1"/>
    <n v="0"/>
    <x v="5"/>
    <x v="16"/>
    <x v="24"/>
    <n v="525"/>
    <n v="8.1999999999999993"/>
    <x v="1628"/>
  </r>
  <r>
    <n v="16"/>
    <n v="23"/>
    <n v="2"/>
    <n v="16"/>
    <n v="1"/>
    <n v="0"/>
    <x v="7"/>
    <x v="10"/>
    <x v="1"/>
    <n v="685"/>
    <n v="8.5"/>
    <x v="1629"/>
  </r>
  <r>
    <n v="11"/>
    <n v="22"/>
    <n v="2"/>
    <n v="13"/>
    <n v="1"/>
    <n v="0"/>
    <x v="6"/>
    <x v="13"/>
    <x v="25"/>
    <n v="385"/>
    <n v="9.1999999999999993"/>
    <x v="1630"/>
  </r>
  <r>
    <n v="7"/>
    <n v="19"/>
    <n v="0"/>
    <n v="14"/>
    <n v="1"/>
    <n v="0"/>
    <x v="11"/>
    <x v="29"/>
    <x v="14"/>
    <n v="559"/>
    <n v="9.3000000000000007"/>
    <x v="1631"/>
  </r>
  <r>
    <n v="23"/>
    <n v="22"/>
    <n v="2"/>
    <n v="20"/>
    <n v="1"/>
    <n v="0"/>
    <x v="2"/>
    <x v="15"/>
    <x v="27"/>
    <n v="545"/>
    <n v="9.3000000000000007"/>
    <x v="1402"/>
  </r>
  <r>
    <n v="21"/>
    <n v="22"/>
    <n v="0"/>
    <n v="3"/>
    <n v="1"/>
    <n v="0"/>
    <x v="5"/>
    <x v="14"/>
    <x v="8"/>
    <n v="462"/>
    <n v="7.6"/>
    <x v="1632"/>
  </r>
  <r>
    <n v="23"/>
    <n v="0"/>
    <n v="1"/>
    <n v="12"/>
    <n v="1"/>
    <n v="0"/>
    <x v="8"/>
    <x v="14"/>
    <x v="12"/>
    <n v="582"/>
    <n v="7.6"/>
    <x v="1633"/>
  </r>
  <r>
    <n v="12"/>
    <n v="22"/>
    <n v="1"/>
    <n v="15"/>
    <n v="1"/>
    <n v="0"/>
    <x v="7"/>
    <x v="17"/>
    <x v="13"/>
    <n v="517"/>
    <n v="8.8000000000000007"/>
    <x v="1634"/>
  </r>
  <r>
    <n v="20"/>
    <n v="22"/>
    <n v="3"/>
    <n v="7"/>
    <n v="12"/>
    <n v="0"/>
    <x v="0"/>
    <x v="19"/>
    <x v="15"/>
    <n v="659"/>
    <n v="7.4"/>
    <x v="1635"/>
  </r>
  <r>
    <n v="13"/>
    <n v="22"/>
    <n v="3"/>
    <n v="10"/>
    <n v="1"/>
    <n v="0"/>
    <x v="1"/>
    <x v="3"/>
    <x v="21"/>
    <n v="0"/>
    <n v="8.9"/>
    <x v="1636"/>
  </r>
  <r>
    <n v="6"/>
    <n v="19"/>
    <n v="2"/>
    <n v="10"/>
    <n v="1"/>
    <n v="0"/>
    <x v="6"/>
    <x v="8"/>
    <x v="18"/>
    <n v="475"/>
    <n v="8.4"/>
    <x v="447"/>
  </r>
  <r>
    <n v="14"/>
    <n v="22"/>
    <n v="3"/>
    <n v="16"/>
    <n v="1"/>
    <n v="0"/>
    <x v="8"/>
    <x v="0"/>
    <x v="30"/>
    <n v="678"/>
    <n v="8.1"/>
    <x v="24"/>
  </r>
  <r>
    <n v="17"/>
    <n v="22"/>
    <n v="0"/>
    <n v="7"/>
    <n v="12"/>
    <n v="0"/>
    <x v="12"/>
    <x v="5"/>
    <x v="3"/>
    <n v="618"/>
    <n v="7.7"/>
    <x v="1209"/>
  </r>
  <r>
    <n v="11"/>
    <n v="22"/>
    <n v="0"/>
    <n v="0"/>
    <n v="12"/>
    <n v="0"/>
    <x v="9"/>
    <x v="16"/>
    <x v="13"/>
    <n v="642"/>
    <n v="8.1999999999999993"/>
    <x v="1637"/>
  </r>
  <r>
    <n v="23"/>
    <n v="22"/>
    <n v="1"/>
    <n v="4"/>
    <n v="1"/>
    <n v="0"/>
    <x v="9"/>
    <x v="9"/>
    <x v="0"/>
    <n v="461"/>
    <n v="7.9"/>
    <x v="1638"/>
  </r>
  <r>
    <n v="0"/>
    <n v="18"/>
    <n v="1"/>
    <n v="12"/>
    <n v="1"/>
    <n v="0"/>
    <x v="0"/>
    <x v="34"/>
    <x v="31"/>
    <n v="407"/>
    <n v="9.1"/>
    <x v="1639"/>
  </r>
  <r>
    <n v="20"/>
    <n v="22"/>
    <n v="3"/>
    <n v="20"/>
    <n v="12"/>
    <n v="0"/>
    <x v="6"/>
    <x v="0"/>
    <x v="16"/>
    <n v="662"/>
    <n v="8.1"/>
    <x v="1583"/>
  </r>
  <r>
    <n v="16"/>
    <n v="23"/>
    <n v="0"/>
    <n v="15"/>
    <n v="1"/>
    <n v="0"/>
    <x v="4"/>
    <x v="10"/>
    <x v="5"/>
    <n v="646"/>
    <n v="8.5"/>
    <x v="1321"/>
  </r>
  <r>
    <n v="21"/>
    <n v="23"/>
    <n v="2"/>
    <n v="11"/>
    <n v="1"/>
    <n v="0"/>
    <x v="9"/>
    <x v="1"/>
    <x v="1"/>
    <n v="584"/>
    <n v="8.3000000000000007"/>
    <x v="24"/>
  </r>
  <r>
    <n v="23"/>
    <n v="22"/>
    <n v="0"/>
    <n v="7"/>
    <n v="1"/>
    <n v="0"/>
    <x v="5"/>
    <x v="3"/>
    <x v="20"/>
    <n v="469"/>
    <n v="8.9"/>
    <x v="30"/>
  </r>
  <r>
    <n v="18"/>
    <n v="22"/>
    <n v="1"/>
    <n v="21"/>
    <n v="1"/>
    <n v="0"/>
    <x v="10"/>
    <x v="1"/>
    <x v="29"/>
    <n v="552"/>
    <n v="8.3000000000000007"/>
    <x v="1640"/>
  </r>
  <r>
    <n v="7"/>
    <n v="22"/>
    <n v="0"/>
    <n v="7"/>
    <n v="0"/>
    <n v="0"/>
    <x v="3"/>
    <x v="17"/>
    <x v="4"/>
    <n v="302"/>
    <n v="8.8000000000000007"/>
    <x v="24"/>
  </r>
  <r>
    <n v="0"/>
    <n v="0"/>
    <n v="1"/>
    <n v="8"/>
    <n v="0"/>
    <n v="0"/>
    <x v="10"/>
    <x v="12"/>
    <x v="30"/>
    <n v="427"/>
    <n v="8.6999999999999993"/>
    <x v="1641"/>
  </r>
  <r>
    <n v="14"/>
    <n v="23"/>
    <n v="0"/>
    <n v="6"/>
    <n v="1"/>
    <n v="0"/>
    <x v="12"/>
    <x v="19"/>
    <x v="7"/>
    <n v="488"/>
    <n v="7.4"/>
    <x v="1642"/>
  </r>
  <r>
    <n v="21"/>
    <n v="22"/>
    <n v="0"/>
    <n v="22"/>
    <n v="1"/>
    <n v="0"/>
    <x v="4"/>
    <x v="5"/>
    <x v="16"/>
    <n v="487"/>
    <n v="7.7"/>
    <x v="1643"/>
  </r>
  <r>
    <n v="18"/>
    <n v="22"/>
    <n v="1"/>
    <n v="5"/>
    <n v="12"/>
    <n v="0"/>
    <x v="11"/>
    <x v="17"/>
    <x v="25"/>
    <n v="626"/>
    <n v="8.8000000000000007"/>
    <x v="1644"/>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r>
    <m/>
    <m/>
    <m/>
    <m/>
    <m/>
    <m/>
    <x v="13"/>
    <x v="35"/>
    <x v="34"/>
    <m/>
    <m/>
    <x v="16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951D8-67C9-4BC6-B95C-7DCBB172B44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9" firstHeaderRow="1" firstDataRow="1" firstDataCol="1"/>
  <pivotFields count="12">
    <pivotField showAll="0"/>
    <pivotField showAll="0"/>
    <pivotField showAll="0"/>
    <pivotField showAll="0"/>
    <pivotField showAll="0"/>
    <pivotField showAll="0"/>
    <pivotField showAll="0">
      <items count="15">
        <item x="10"/>
        <item x="3"/>
        <item x="0"/>
        <item x="4"/>
        <item x="11"/>
        <item x="5"/>
        <item x="7"/>
        <item x="9"/>
        <item x="1"/>
        <item x="6"/>
        <item x="12"/>
        <item x="2"/>
        <item x="8"/>
        <item x="13"/>
        <item t="default"/>
      </items>
    </pivotField>
    <pivotField showAll="0">
      <items count="37">
        <item x="26"/>
        <item x="28"/>
        <item x="24"/>
        <item x="33"/>
        <item x="18"/>
        <item x="11"/>
        <item x="12"/>
        <item x="32"/>
        <item x="2"/>
        <item x="22"/>
        <item x="29"/>
        <item x="31"/>
        <item x="25"/>
        <item x="34"/>
        <item x="21"/>
        <item x="30"/>
        <item x="23"/>
        <item x="9"/>
        <item x="17"/>
        <item x="14"/>
        <item x="0"/>
        <item x="1"/>
        <item x="8"/>
        <item x="4"/>
        <item x="13"/>
        <item x="3"/>
        <item x="27"/>
        <item x="15"/>
        <item x="10"/>
        <item x="16"/>
        <item x="6"/>
        <item x="19"/>
        <item x="5"/>
        <item x="20"/>
        <item x="7"/>
        <item x="35"/>
        <item t="default"/>
      </items>
    </pivotField>
    <pivotField axis="axisRow" showAll="0">
      <items count="36">
        <item x="28"/>
        <item x="29"/>
        <item x="8"/>
        <item x="31"/>
        <item x="23"/>
        <item x="21"/>
        <item x="10"/>
        <item x="14"/>
        <item x="9"/>
        <item x="26"/>
        <item x="1"/>
        <item x="15"/>
        <item x="0"/>
        <item x="33"/>
        <item x="4"/>
        <item x="22"/>
        <item x="19"/>
        <item x="27"/>
        <item x="6"/>
        <item x="17"/>
        <item x="11"/>
        <item x="32"/>
        <item x="25"/>
        <item x="18"/>
        <item x="3"/>
        <item x="12"/>
        <item x="16"/>
        <item x="30"/>
        <item x="7"/>
        <item x="24"/>
        <item x="5"/>
        <item x="13"/>
        <item x="20"/>
        <item x="2"/>
        <item x="34"/>
        <item t="default"/>
      </items>
    </pivotField>
    <pivotField showAll="0"/>
    <pivotField showAll="0"/>
    <pivotField dataField="1" showAll="0">
      <items count="1647">
        <item x="24"/>
        <item x="666"/>
        <item x="952"/>
        <item x="790"/>
        <item x="1529"/>
        <item x="1549"/>
        <item x="958"/>
        <item x="1525"/>
        <item x="727"/>
        <item x="1149"/>
        <item x="1620"/>
        <item x="57"/>
        <item x="1439"/>
        <item x="1145"/>
        <item x="1169"/>
        <item x="146"/>
        <item x="1119"/>
        <item x="883"/>
        <item x="1189"/>
        <item x="1290"/>
        <item x="815"/>
        <item x="1569"/>
        <item x="771"/>
        <item x="991"/>
        <item x="79"/>
        <item x="1277"/>
        <item x="1260"/>
        <item x="804"/>
        <item x="28"/>
        <item x="53"/>
        <item x="670"/>
        <item x="353"/>
        <item x="154"/>
        <item x="937"/>
        <item x="1575"/>
        <item x="1247"/>
        <item x="1516"/>
        <item x="931"/>
        <item x="718"/>
        <item x="1236"/>
        <item x="484"/>
        <item x="631"/>
        <item x="1024"/>
        <item x="1380"/>
        <item x="189"/>
        <item x="544"/>
        <item x="8"/>
        <item x="580"/>
        <item x="1208"/>
        <item x="562"/>
        <item x="1202"/>
        <item x="424"/>
        <item x="1026"/>
        <item x="1259"/>
        <item x="1165"/>
        <item x="1567"/>
        <item x="1387"/>
        <item x="616"/>
        <item x="320"/>
        <item x="1021"/>
        <item x="373"/>
        <item x="74"/>
        <item x="1087"/>
        <item x="879"/>
        <item x="308"/>
        <item x="674"/>
        <item x="218"/>
        <item x="505"/>
        <item x="659"/>
        <item x="1256"/>
        <item x="802"/>
        <item x="214"/>
        <item x="906"/>
        <item x="526"/>
        <item x="1597"/>
        <item x="695"/>
        <item x="1273"/>
        <item x="184"/>
        <item x="1004"/>
        <item x="421"/>
        <item x="860"/>
        <item x="1155"/>
        <item x="43"/>
        <item x="322"/>
        <item x="97"/>
        <item x="1377"/>
        <item x="857"/>
        <item x="455"/>
        <item x="240"/>
        <item x="1382"/>
        <item x="299"/>
        <item x="354"/>
        <item x="852"/>
        <item x="1036"/>
        <item x="1483"/>
        <item x="66"/>
        <item x="539"/>
        <item x="520"/>
        <item x="698"/>
        <item x="743"/>
        <item x="1611"/>
        <item x="122"/>
        <item x="1375"/>
        <item x="960"/>
        <item x="126"/>
        <item x="1229"/>
        <item x="814"/>
        <item x="560"/>
        <item x="1448"/>
        <item x="1218"/>
        <item x="1257"/>
        <item x="983"/>
        <item x="545"/>
        <item x="775"/>
        <item x="1207"/>
        <item x="1172"/>
        <item x="1398"/>
        <item x="400"/>
        <item x="1124"/>
        <item x="1286"/>
        <item x="1343"/>
        <item x="17"/>
        <item x="609"/>
        <item x="327"/>
        <item x="307"/>
        <item x="951"/>
        <item x="967"/>
        <item x="73"/>
        <item x="1052"/>
        <item x="1488"/>
        <item x="1088"/>
        <item x="1532"/>
        <item x="1390"/>
        <item x="425"/>
        <item x="1522"/>
        <item x="594"/>
        <item x="130"/>
        <item x="1064"/>
        <item x="998"/>
        <item x="260"/>
        <item x="1581"/>
        <item x="1109"/>
        <item x="705"/>
        <item x="1045"/>
        <item x="1120"/>
        <item x="903"/>
        <item x="979"/>
        <item x="262"/>
        <item x="237"/>
        <item x="1438"/>
        <item x="572"/>
        <item x="1275"/>
        <item x="704"/>
        <item x="676"/>
        <item x="14"/>
        <item x="441"/>
        <item x="757"/>
        <item x="22"/>
        <item x="635"/>
        <item x="706"/>
        <item x="927"/>
        <item x="936"/>
        <item x="196"/>
        <item x="1589"/>
        <item x="769"/>
        <item x="1265"/>
        <item x="418"/>
        <item x="1047"/>
        <item x="1520"/>
        <item x="461"/>
        <item x="1536"/>
        <item x="884"/>
        <item x="870"/>
        <item x="508"/>
        <item x="84"/>
        <item x="442"/>
        <item x="1608"/>
        <item x="566"/>
        <item x="885"/>
        <item x="1028"/>
        <item x="1437"/>
        <item x="798"/>
        <item x="527"/>
        <item x="319"/>
        <item x="993"/>
        <item x="654"/>
        <item x="438"/>
        <item x="1331"/>
        <item x="396"/>
        <item x="764"/>
        <item x="528"/>
        <item x="167"/>
        <item x="1622"/>
        <item x="1571"/>
        <item x="230"/>
        <item x="1065"/>
        <item x="65"/>
        <item x="1368"/>
        <item x="1393"/>
        <item x="92"/>
        <item x="1148"/>
        <item x="649"/>
        <item x="746"/>
        <item x="280"/>
        <item x="377"/>
        <item x="1554"/>
        <item x="304"/>
        <item x="1602"/>
        <item x="1502"/>
        <item x="416"/>
        <item x="1401"/>
        <item x="1114"/>
        <item x="1251"/>
        <item x="149"/>
        <item x="5"/>
        <item x="1394"/>
        <item x="413"/>
        <item x="1323"/>
        <item x="1231"/>
        <item x="871"/>
        <item x="20"/>
        <item x="1461"/>
        <item x="1144"/>
        <item x="1436"/>
        <item x="1235"/>
        <item x="1570"/>
        <item x="1503"/>
        <item x="119"/>
        <item x="842"/>
        <item x="456"/>
        <item x="489"/>
        <item x="210"/>
        <item x="180"/>
        <item x="444"/>
        <item x="204"/>
        <item x="487"/>
        <item x="1137"/>
        <item x="134"/>
        <item x="123"/>
        <item x="151"/>
        <item x="1221"/>
        <item x="697"/>
        <item x="778"/>
        <item x="756"/>
        <item x="1077"/>
        <item x="1016"/>
        <item x="642"/>
        <item x="1108"/>
        <item x="688"/>
        <item x="1453"/>
        <item x="429"/>
        <item x="1577"/>
        <item x="12"/>
        <item x="288"/>
        <item x="1456"/>
        <item x="434"/>
        <item x="1011"/>
        <item x="467"/>
        <item x="536"/>
        <item x="954"/>
        <item x="532"/>
        <item x="1587"/>
        <item x="835"/>
        <item x="858"/>
        <item x="1197"/>
        <item x="974"/>
        <item x="178"/>
        <item x="622"/>
        <item x="473"/>
        <item x="745"/>
        <item x="830"/>
        <item x="1099"/>
        <item x="502"/>
        <item x="799"/>
        <item x="1054"/>
        <item x="716"/>
        <item x="522"/>
        <item x="1178"/>
        <item x="1167"/>
        <item x="1460"/>
        <item x="1179"/>
        <item x="83"/>
        <item x="517"/>
        <item x="1451"/>
        <item x="733"/>
        <item x="944"/>
        <item x="548"/>
        <item x="973"/>
        <item x="1118"/>
        <item x="1287"/>
        <item x="1041"/>
        <item x="965"/>
        <item x="1200"/>
        <item x="1042"/>
        <item x="1301"/>
        <item x="1066"/>
        <item x="1454"/>
        <item x="231"/>
        <item x="198"/>
        <item x="579"/>
        <item x="1103"/>
        <item x="1131"/>
        <item x="1150"/>
        <item x="1592"/>
        <item x="964"/>
        <item x="1000"/>
        <item x="1486"/>
        <item x="525"/>
        <item x="1302"/>
        <item x="82"/>
        <item x="1472"/>
        <item x="1468"/>
        <item x="257"/>
        <item x="1515"/>
        <item x="563"/>
        <item x="1346"/>
        <item x="1418"/>
        <item x="662"/>
        <item x="874"/>
        <item x="1470"/>
        <item x="452"/>
        <item x="850"/>
        <item x="899"/>
        <item x="831"/>
        <item x="203"/>
        <item x="96"/>
        <item x="367"/>
        <item x="382"/>
        <item x="1078"/>
        <item x="76"/>
        <item x="1526"/>
        <item x="692"/>
        <item x="54"/>
        <item x="1122"/>
        <item x="328"/>
        <item x="106"/>
        <item x="1094"/>
        <item x="466"/>
        <item x="1006"/>
        <item x="1506"/>
        <item x="1366"/>
        <item x="40"/>
        <item x="176"/>
        <item x="588"/>
        <item x="753"/>
        <item x="3"/>
        <item x="334"/>
        <item x="519"/>
        <item x="493"/>
        <item x="767"/>
        <item x="1541"/>
        <item x="530"/>
        <item x="1356"/>
        <item x="770"/>
        <item x="1192"/>
        <item x="687"/>
        <item x="747"/>
        <item x="283"/>
        <item x="1578"/>
        <item x="85"/>
        <item x="1610"/>
        <item x="1504"/>
        <item x="148"/>
        <item x="88"/>
        <item x="261"/>
        <item x="1057"/>
        <item x="277"/>
        <item x="598"/>
        <item x="1304"/>
        <item x="877"/>
        <item x="1344"/>
        <item x="917"/>
        <item x="939"/>
        <item x="1291"/>
        <item x="681"/>
        <item x="1216"/>
        <item x="680"/>
        <item x="726"/>
        <item x="393"/>
        <item x="1063"/>
        <item x="1196"/>
        <item x="39"/>
        <item x="1362"/>
        <item x="90"/>
        <item x="761"/>
        <item x="590"/>
        <item x="1632"/>
        <item x="1071"/>
        <item x="365"/>
        <item x="1566"/>
        <item x="1386"/>
        <item x="314"/>
        <item x="175"/>
        <item x="281"/>
        <item x="1490"/>
        <item x="1534"/>
        <item x="1480"/>
        <item x="673"/>
        <item x="1478"/>
        <item x="1477"/>
        <item x="1630"/>
        <item x="474"/>
        <item x="755"/>
        <item x="672"/>
        <item x="823"/>
        <item x="331"/>
        <item x="1359"/>
        <item x="717"/>
        <item x="67"/>
        <item x="38"/>
        <item x="443"/>
        <item x="159"/>
        <item x="892"/>
        <item x="428"/>
        <item x="1032"/>
        <item x="949"/>
        <item x="901"/>
        <item x="449"/>
        <item x="1595"/>
        <item x="1018"/>
        <item x="1374"/>
        <item x="356"/>
        <item x="829"/>
        <item x="786"/>
        <item x="607"/>
        <item x="1262"/>
        <item x="913"/>
        <item x="848"/>
        <item x="150"/>
        <item x="708"/>
        <item x="691"/>
        <item x="735"/>
        <item x="239"/>
        <item x="1582"/>
        <item x="1584"/>
        <item x="1067"/>
        <item x="99"/>
        <item x="1070"/>
        <item x="535"/>
        <item x="1540"/>
        <item x="1642"/>
        <item x="188"/>
        <item x="1413"/>
        <item x="1441"/>
        <item x="972"/>
        <item x="867"/>
        <item x="200"/>
        <item x="129"/>
        <item x="556"/>
        <item x="1056"/>
        <item x="614"/>
        <item x="110"/>
        <item x="481"/>
        <item x="1195"/>
        <item x="1106"/>
        <item x="477"/>
        <item x="1325"/>
        <item x="131"/>
        <item x="414"/>
        <item x="1638"/>
        <item x="337"/>
        <item x="923"/>
        <item x="1352"/>
        <item x="660"/>
        <item x="1084"/>
        <item x="918"/>
        <item x="1365"/>
        <item x="1190"/>
        <item x="1580"/>
        <item x="1062"/>
        <item x="1060"/>
        <item x="942"/>
        <item x="1266"/>
        <item x="1573"/>
        <item x="1098"/>
        <item x="371"/>
        <item x="1233"/>
        <item x="1013"/>
        <item x="1174"/>
        <item x="1444"/>
        <item x="436"/>
        <item x="1547"/>
        <item x="1440"/>
        <item x="571"/>
        <item x="169"/>
        <item x="1639"/>
        <item x="352"/>
        <item x="78"/>
        <item x="80"/>
        <item x="1641"/>
        <item x="1508"/>
        <item x="1545"/>
        <item x="1555"/>
        <item x="1424"/>
        <item x="665"/>
        <item x="1134"/>
        <item x="317"/>
        <item x="0"/>
        <item x="732"/>
        <item x="1426"/>
        <item x="1316"/>
        <item x="46"/>
        <item x="316"/>
        <item x="561"/>
        <item x="773"/>
        <item x="737"/>
        <item x="818"/>
        <item x="21"/>
        <item x="243"/>
        <item x="311"/>
        <item x="984"/>
        <item x="241"/>
        <item x="1215"/>
        <item x="1643"/>
        <item x="439"/>
        <item x="1213"/>
        <item x="1104"/>
        <item x="276"/>
        <item x="1146"/>
        <item x="212"/>
        <item x="843"/>
        <item x="721"/>
        <item x="599"/>
        <item x="1328"/>
        <item x="678"/>
        <item x="245"/>
        <item x="1405"/>
        <item x="1411"/>
        <item x="136"/>
        <item x="208"/>
        <item x="250"/>
        <item x="655"/>
        <item x="709"/>
        <item x="694"/>
        <item x="294"/>
        <item x="341"/>
        <item x="34"/>
        <item x="1081"/>
        <item x="1358"/>
        <item x="801"/>
        <item x="623"/>
        <item x="1469"/>
        <item x="664"/>
        <item x="1308"/>
        <item x="1248"/>
        <item x="976"/>
        <item x="1113"/>
        <item x="233"/>
        <item x="513"/>
        <item x="1239"/>
        <item x="158"/>
        <item x="1059"/>
        <item x="981"/>
        <item x="719"/>
        <item x="273"/>
        <item x="1020"/>
        <item x="236"/>
        <item x="765"/>
        <item x="1038"/>
        <item x="469"/>
        <item x="1404"/>
        <item x="207"/>
        <item x="1031"/>
        <item x="987"/>
        <item x="479"/>
        <item x="1314"/>
        <item x="1544"/>
        <item x="585"/>
        <item x="451"/>
        <item x="739"/>
        <item x="647"/>
        <item x="806"/>
        <item x="225"/>
        <item x="1058"/>
        <item x="811"/>
        <item x="300"/>
        <item x="325"/>
        <item x="1619"/>
        <item x="359"/>
        <item x="553"/>
        <item x="776"/>
        <item x="788"/>
        <item x="1258"/>
        <item x="1379"/>
        <item x="584"/>
        <item x="1141"/>
        <item x="249"/>
        <item x="498"/>
        <item x="282"/>
        <item x="93"/>
        <item x="107"/>
        <item x="875"/>
        <item x="962"/>
        <item x="326"/>
        <item x="45"/>
        <item x="460"/>
        <item x="882"/>
        <item x="1010"/>
        <item x="174"/>
        <item x="1015"/>
        <item x="855"/>
        <item x="1295"/>
        <item x="1050"/>
        <item x="1531"/>
        <item x="309"/>
        <item x="624"/>
        <item x="734"/>
        <item x="116"/>
        <item x="36"/>
        <item x="902"/>
        <item x="1033"/>
        <item x="1160"/>
        <item x="813"/>
        <item x="160"/>
        <item x="1605"/>
        <item x="1500"/>
        <item x="223"/>
        <item x="1445"/>
        <item x="366"/>
        <item x="431"/>
        <item x="59"/>
        <item x="748"/>
        <item x="1568"/>
        <item x="1243"/>
        <item x="397"/>
        <item x="869"/>
        <item x="941"/>
        <item x="153"/>
        <item x="1227"/>
        <item x="738"/>
        <item x="685"/>
        <item x="381"/>
        <item x="228"/>
        <item x="1210"/>
        <item x="1305"/>
        <item x="1282"/>
        <item x="72"/>
        <item x="791"/>
        <item x="27"/>
        <item x="859"/>
        <item x="1487"/>
        <item x="447"/>
        <item x="1625"/>
        <item x="232"/>
        <item x="384"/>
        <item x="671"/>
        <item x="982"/>
        <item x="1270"/>
        <item x="1080"/>
        <item x="1318"/>
        <item x="832"/>
        <item x="1117"/>
        <item x="19"/>
        <item x="703"/>
        <item x="668"/>
        <item x="1473"/>
        <item x="796"/>
        <item x="679"/>
        <item x="376"/>
        <item x="658"/>
        <item x="156"/>
        <item x="1429"/>
        <item x="990"/>
        <item x="398"/>
        <item x="759"/>
        <item x="31"/>
        <item x="1022"/>
        <item x="1152"/>
        <item x="558"/>
        <item x="696"/>
        <item x="740"/>
        <item x="946"/>
        <item x="1319"/>
        <item x="896"/>
        <item x="133"/>
        <item x="321"/>
        <item x="457"/>
        <item x="1563"/>
        <item x="849"/>
        <item x="1511"/>
        <item x="862"/>
        <item x="1464"/>
        <item x="1309"/>
        <item x="1044"/>
        <item x="61"/>
        <item x="1609"/>
        <item x="1322"/>
        <item x="621"/>
        <item x="583"/>
        <item x="98"/>
        <item x="1528"/>
        <item x="728"/>
        <item x="113"/>
        <item x="864"/>
        <item x="779"/>
        <item x="1538"/>
        <item x="348"/>
        <item x="1476"/>
        <item x="1596"/>
        <item x="405"/>
        <item x="1427"/>
        <item x="1014"/>
        <item x="1442"/>
        <item x="246"/>
        <item x="1039"/>
        <item x="807"/>
        <item x="881"/>
        <item x="751"/>
        <item x="805"/>
        <item x="211"/>
        <item x="1561"/>
        <item x="1361"/>
        <item x="863"/>
        <item x="707"/>
        <item x="1599"/>
        <item x="1048"/>
        <item x="1053"/>
        <item x="1140"/>
        <item x="1345"/>
        <item x="554"/>
        <item x="1193"/>
        <item x="420"/>
        <item x="512"/>
        <item x="1249"/>
        <item x="1139"/>
        <item x="963"/>
        <item x="464"/>
        <item x="1306"/>
        <item x="1421"/>
        <item x="971"/>
        <item x="220"/>
        <item x="1449"/>
        <item x="1465"/>
        <item x="1285"/>
        <item x="1002"/>
        <item x="401"/>
        <item x="966"/>
        <item x="458"/>
        <item x="1403"/>
        <item x="205"/>
        <item x="1214"/>
        <item x="1471"/>
        <item x="315"/>
        <item x="478"/>
        <item x="873"/>
        <item x="1228"/>
        <item x="1320"/>
        <item x="480"/>
        <item x="201"/>
        <item x="30"/>
        <item x="808"/>
        <item x="182"/>
        <item x="1593"/>
        <item x="803"/>
        <item x="921"/>
        <item x="945"/>
        <item x="1135"/>
        <item x="836"/>
        <item x="503"/>
        <item x="1092"/>
        <item x="600"/>
        <item x="226"/>
        <item x="956"/>
        <item x="1521"/>
        <item x="120"/>
        <item x="295"/>
        <item x="1297"/>
        <item x="302"/>
        <item x="1338"/>
        <item x="587"/>
        <item x="947"/>
        <item x="1399"/>
        <item x="646"/>
        <item x="1414"/>
        <item x="292"/>
        <item x="633"/>
        <item x="648"/>
        <item x="926"/>
        <item x="821"/>
        <item x="720"/>
        <item x="940"/>
        <item x="1385"/>
        <item x="1559"/>
        <item x="219"/>
        <item x="1129"/>
        <item x="851"/>
        <item x="47"/>
        <item x="839"/>
        <item x="1142"/>
        <item x="1040"/>
        <item x="741"/>
        <item x="183"/>
        <item x="423"/>
        <item x="601"/>
        <item x="1450"/>
        <item x="1043"/>
        <item x="795"/>
        <item x="269"/>
        <item x="1591"/>
        <item x="258"/>
        <item x="1603"/>
        <item x="1254"/>
        <item x="13"/>
        <item x="187"/>
        <item x="139"/>
        <item x="114"/>
        <item x="18"/>
        <item x="504"/>
        <item x="1409"/>
        <item x="909"/>
        <item x="35"/>
        <item x="1481"/>
        <item x="1217"/>
        <item x="985"/>
        <item x="1157"/>
        <item x="752"/>
        <item x="617"/>
        <item x="100"/>
        <item x="217"/>
        <item x="60"/>
        <item x="1230"/>
        <item x="1600"/>
        <item x="1372"/>
        <item x="744"/>
        <item x="750"/>
        <item x="603"/>
        <item x="1628"/>
        <item x="433"/>
        <item x="1030"/>
        <item x="1586"/>
        <item x="363"/>
        <item x="1337"/>
        <item x="690"/>
        <item x="333"/>
        <item x="1276"/>
        <item x="1349"/>
        <item x="712"/>
        <item x="390"/>
        <item x="1614"/>
        <item x="787"/>
        <item x="44"/>
        <item x="1001"/>
        <item x="1288"/>
        <item x="699"/>
        <item x="846"/>
        <item x="145"/>
        <item x="564"/>
        <item x="1097"/>
        <item x="1086"/>
        <item x="372"/>
        <item x="155"/>
        <item x="1241"/>
        <item x="868"/>
        <item x="953"/>
        <item x="336"/>
        <item x="1116"/>
        <item x="611"/>
        <item x="710"/>
        <item x="471"/>
        <item x="943"/>
        <item x="1"/>
        <item x="426"/>
        <item x="248"/>
        <item x="1082"/>
        <item x="445"/>
        <item x="104"/>
        <item x="383"/>
        <item x="86"/>
        <item x="888"/>
        <item x="1332"/>
        <item x="651"/>
        <item x="914"/>
        <item x="32"/>
        <item x="1128"/>
        <item x="392"/>
        <item x="1576"/>
        <item x="380"/>
        <item x="296"/>
        <item x="1524"/>
        <item x="663"/>
        <item x="894"/>
        <item x="604"/>
        <item x="950"/>
        <item x="1069"/>
        <item x="1293"/>
        <item x="577"/>
        <item x="1351"/>
        <item x="1310"/>
        <item x="714"/>
        <item x="221"/>
        <item x="501"/>
        <item x="1585"/>
        <item x="1336"/>
        <item x="723"/>
        <item x="395"/>
        <item x="904"/>
        <item x="94"/>
        <item x="1095"/>
        <item x="472"/>
        <item x="52"/>
        <item x="638"/>
        <item x="762"/>
        <item x="1479"/>
        <item x="1633"/>
        <item x="794"/>
        <item x="1329"/>
        <item x="754"/>
        <item x="547"/>
        <item x="809"/>
        <item x="827"/>
        <item x="1246"/>
        <item x="238"/>
        <item x="267"/>
        <item x="361"/>
        <item x="407"/>
        <item x="537"/>
        <item x="928"/>
        <item x="1163"/>
        <item x="640"/>
        <item x="606"/>
        <item x="2"/>
        <item x="541"/>
        <item x="1110"/>
        <item x="234"/>
        <item x="197"/>
        <item x="1494"/>
        <item x="278"/>
        <item x="1499"/>
        <item x="837"/>
        <item x="1618"/>
        <item x="632"/>
        <item x="358"/>
        <item x="1159"/>
        <item x="1360"/>
        <item x="824"/>
        <item x="224"/>
        <item x="435"/>
        <item x="279"/>
        <item x="1378"/>
        <item x="1034"/>
        <item x="669"/>
        <item x="1462"/>
        <item x="782"/>
        <item x="306"/>
        <item x="289"/>
        <item x="1075"/>
        <item x="128"/>
        <item x="1115"/>
        <item x="1557"/>
        <item x="15"/>
        <item x="64"/>
        <item x="285"/>
        <item x="1519"/>
        <item x="1416"/>
        <item x="109"/>
        <item x="360"/>
        <item x="1510"/>
        <item x="1199"/>
        <item x="1326"/>
        <item x="582"/>
        <item x="195"/>
        <item x="465"/>
        <item x="898"/>
        <item x="1617"/>
        <item x="731"/>
        <item x="152"/>
        <item x="1219"/>
        <item x="919"/>
        <item x="524"/>
        <item x="742"/>
        <item x="1627"/>
        <item x="1634"/>
        <item x="1400"/>
        <item x="1089"/>
        <item x="227"/>
        <item x="143"/>
        <item x="1517"/>
        <item x="138"/>
        <item x="482"/>
        <item x="653"/>
        <item x="1153"/>
        <item x="51"/>
        <item x="1640"/>
        <item x="1606"/>
        <item x="957"/>
        <item x="1406"/>
        <item x="287"/>
        <item x="910"/>
        <item x="682"/>
        <item x="404"/>
        <item x="1252"/>
        <item x="1025"/>
        <item x="77"/>
        <item x="845"/>
        <item x="275"/>
        <item x="446"/>
        <item x="1551"/>
        <item x="177"/>
        <item x="625"/>
        <item x="41"/>
        <item x="255"/>
        <item x="1096"/>
        <item x="411"/>
        <item x="462"/>
        <item x="1090"/>
        <item x="347"/>
        <item x="854"/>
        <item x="1579"/>
        <item x="63"/>
        <item x="1542"/>
        <item x="1410"/>
        <item x="1496"/>
        <item x="1073"/>
        <item x="1289"/>
        <item x="841"/>
        <item x="1624"/>
        <item x="488"/>
        <item x="11"/>
        <item x="1051"/>
        <item x="630"/>
        <item x="349"/>
        <item x="1151"/>
        <item x="774"/>
        <item x="391"/>
        <item x="955"/>
        <item x="55"/>
        <item x="715"/>
        <item x="89"/>
        <item x="369"/>
        <item x="1191"/>
        <item x="1296"/>
        <item x="1171"/>
        <item x="915"/>
        <item x="540"/>
        <item x="1261"/>
        <item x="1590"/>
        <item x="758"/>
        <item x="1315"/>
        <item x="1363"/>
        <item x="1369"/>
        <item x="1225"/>
        <item x="1161"/>
        <item x="430"/>
        <item x="368"/>
        <item x="402"/>
        <item x="1391"/>
        <item x="1079"/>
        <item x="171"/>
        <item x="1342"/>
        <item x="1268"/>
        <item x="1485"/>
        <item x="575"/>
        <item x="1530"/>
        <item x="71"/>
        <item x="242"/>
        <item x="999"/>
        <item x="641"/>
        <item x="1327"/>
        <item x="510"/>
        <item x="1055"/>
        <item x="124"/>
        <item x="342"/>
        <item x="689"/>
        <item x="335"/>
        <item x="1507"/>
        <item x="1107"/>
        <item x="105"/>
        <item x="1130"/>
        <item x="912"/>
        <item x="164"/>
        <item x="627"/>
        <item x="193"/>
        <item x="1173"/>
        <item x="270"/>
        <item x="1209"/>
        <item x="644"/>
        <item x="1467"/>
        <item x="878"/>
        <item x="497"/>
        <item x="437"/>
        <item x="1019"/>
        <item x="264"/>
        <item x="930"/>
        <item x="887"/>
        <item x="332"/>
        <item x="1388"/>
        <item x="667"/>
        <item x="1367"/>
        <item x="777"/>
        <item x="1330"/>
        <item x="1435"/>
        <item x="1162"/>
        <item x="1354"/>
        <item x="1539"/>
        <item x="1127"/>
        <item x="1392"/>
        <item x="1255"/>
        <item x="1269"/>
        <item x="121"/>
        <item x="1170"/>
        <item x="386"/>
        <item x="819"/>
        <item x="375"/>
        <item x="1300"/>
        <item x="1423"/>
        <item x="1514"/>
        <item x="1324"/>
        <item x="492"/>
        <item x="388"/>
        <item x="298"/>
        <item x="103"/>
        <item x="324"/>
        <item x="459"/>
        <item x="1376"/>
        <item x="1234"/>
        <item x="1181"/>
        <item x="179"/>
        <item x="355"/>
        <item x="1489"/>
        <item x="1340"/>
        <item x="613"/>
        <item x="1607"/>
        <item x="1133"/>
        <item x="440"/>
        <item x="1635"/>
        <item x="1212"/>
        <item x="1253"/>
        <item x="1553"/>
        <item x="108"/>
        <item x="70"/>
        <item x="1598"/>
        <item x="865"/>
        <item x="1283"/>
        <item x="1175"/>
        <item x="256"/>
        <item x="935"/>
        <item x="701"/>
        <item x="722"/>
        <item x="538"/>
        <item x="897"/>
        <item x="26"/>
        <item x="343"/>
        <item x="1636"/>
        <item x="1220"/>
        <item x="1166"/>
        <item x="619"/>
        <item x="880"/>
        <item x="847"/>
        <item x="1263"/>
        <item x="1023"/>
        <item x="470"/>
        <item x="101"/>
        <item x="1523"/>
        <item x="351"/>
        <item x="542"/>
        <item x="144"/>
        <item x="549"/>
        <item x="1101"/>
        <item x="876"/>
        <item x="293"/>
        <item x="1211"/>
        <item x="427"/>
        <item x="1613"/>
        <item x="612"/>
        <item x="810"/>
        <item x="543"/>
        <item x="364"/>
        <item x="763"/>
        <item x="329"/>
        <item x="1123"/>
        <item x="161"/>
        <item x="686"/>
        <item x="318"/>
        <item x="1156"/>
        <item x="1100"/>
        <item x="994"/>
        <item x="254"/>
        <item x="483"/>
        <item x="112"/>
        <item x="1093"/>
        <item x="895"/>
        <item x="263"/>
        <item x="637"/>
        <item x="591"/>
        <item x="834"/>
        <item x="675"/>
        <item x="551"/>
        <item x="199"/>
        <item x="1430"/>
        <item x="780"/>
        <item x="1370"/>
        <item x="970"/>
        <item x="4"/>
        <item x="194"/>
        <item x="1105"/>
        <item x="1412"/>
        <item x="409"/>
        <item x="291"/>
        <item x="639"/>
        <item x="593"/>
        <item x="948"/>
        <item x="700"/>
        <item x="713"/>
        <item x="1184"/>
        <item x="1389"/>
        <item x="1588"/>
        <item x="1126"/>
        <item x="529"/>
        <item x="1459"/>
        <item x="1005"/>
        <item x="69"/>
        <item x="50"/>
        <item x="29"/>
        <item x="7"/>
        <item x="1402"/>
        <item x="1546"/>
        <item x="533"/>
        <item x="450"/>
        <item x="118"/>
        <item x="1138"/>
        <item x="509"/>
        <item x="1037"/>
        <item x="992"/>
        <item x="602"/>
        <item x="1447"/>
        <item x="190"/>
        <item x="1513"/>
        <item x="820"/>
        <item x="1313"/>
        <item x="565"/>
        <item x="569"/>
        <item x="419"/>
        <item x="518"/>
        <item x="578"/>
        <item x="491"/>
        <item x="800"/>
        <item x="1240"/>
        <item x="977"/>
        <item x="1198"/>
        <item x="141"/>
        <item x="403"/>
        <item x="1475"/>
        <item x="511"/>
        <item x="531"/>
        <item x="165"/>
        <item x="853"/>
        <item x="168"/>
        <item x="1623"/>
        <item x="1612"/>
        <item x="170"/>
        <item x="521"/>
        <item x="1431"/>
        <item x="1604"/>
        <item x="346"/>
        <item x="1242"/>
        <item x="330"/>
        <item x="592"/>
        <item x="749"/>
        <item x="1223"/>
        <item x="374"/>
        <item x="1364"/>
        <item x="1626"/>
        <item x="1177"/>
        <item x="1420"/>
        <item x="1384"/>
        <item x="1621"/>
        <item x="215"/>
        <item x="886"/>
        <item x="1299"/>
        <item x="1132"/>
        <item x="206"/>
        <item x="91"/>
        <item x="980"/>
        <item x="1271"/>
        <item x="1408"/>
        <item x="661"/>
        <item x="1046"/>
        <item x="1250"/>
        <item x="1341"/>
        <item x="760"/>
        <item x="797"/>
        <item x="1279"/>
        <item x="1482"/>
        <item x="453"/>
        <item x="357"/>
        <item x="1631"/>
        <item x="1205"/>
        <item x="475"/>
        <item x="1072"/>
        <item x="1136"/>
        <item x="338"/>
        <item x="507"/>
        <item x="656"/>
        <item x="586"/>
        <item x="968"/>
        <item x="534"/>
        <item x="75"/>
        <item x="350"/>
        <item x="127"/>
        <item x="1594"/>
        <item x="1245"/>
        <item x="1298"/>
        <item x="929"/>
        <item x="1049"/>
        <item x="822"/>
        <item x="1509"/>
        <item x="596"/>
        <item x="399"/>
        <item x="185"/>
        <item x="1347"/>
        <item x="573"/>
        <item x="448"/>
        <item x="23"/>
        <item x="618"/>
        <item x="1565"/>
        <item x="1637"/>
        <item x="1350"/>
        <item x="1267"/>
        <item x="581"/>
        <item x="969"/>
        <item x="387"/>
        <item x="515"/>
        <item x="514"/>
        <item x="1091"/>
        <item x="1527"/>
        <item x="1180"/>
        <item x="33"/>
        <item x="125"/>
        <item x="222"/>
        <item x="1274"/>
        <item x="500"/>
        <item x="772"/>
        <item x="135"/>
        <item x="1601"/>
        <item x="162"/>
        <item x="1085"/>
        <item x="1498"/>
        <item x="216"/>
        <item x="1224"/>
        <item x="784"/>
        <item x="684"/>
        <item x="410"/>
        <item x="1204"/>
        <item x="1583"/>
        <item x="253"/>
        <item x="1353"/>
        <item x="557"/>
        <item x="229"/>
        <item x="1457"/>
        <item x="172"/>
        <item x="1373"/>
        <item x="305"/>
        <item x="900"/>
        <item x="1272"/>
        <item x="1543"/>
        <item x="286"/>
        <item x="729"/>
        <item x="924"/>
        <item x="828"/>
        <item x="1027"/>
        <item x="1238"/>
        <item x="209"/>
        <item x="1076"/>
        <item x="344"/>
        <item x="938"/>
        <item x="1355"/>
        <item x="173"/>
        <item x="907"/>
        <item x="1188"/>
        <item x="313"/>
        <item x="570"/>
        <item x="1203"/>
        <item x="251"/>
        <item x="259"/>
        <item x="595"/>
        <item x="872"/>
        <item x="454"/>
        <item x="1281"/>
        <item x="1548"/>
        <item x="1335"/>
        <item x="1371"/>
        <item x="339"/>
        <item x="1176"/>
        <item x="494"/>
        <item x="1616"/>
        <item x="959"/>
        <item x="1321"/>
        <item x="1112"/>
        <item x="56"/>
        <item x="785"/>
        <item x="559"/>
        <item x="730"/>
        <item x="1495"/>
        <item x="1083"/>
        <item x="1644"/>
        <item x="181"/>
        <item x="68"/>
        <item x="496"/>
        <item x="1533"/>
        <item x="303"/>
        <item x="432"/>
        <item x="1466"/>
        <item x="933"/>
        <item x="1232"/>
        <item x="783"/>
        <item x="1003"/>
        <item x="115"/>
        <item x="629"/>
        <item x="1339"/>
        <item x="597"/>
        <item x="1501"/>
        <item x="652"/>
        <item x="95"/>
        <item x="244"/>
        <item x="191"/>
        <item x="925"/>
        <item x="1455"/>
        <item x="683"/>
        <item x="202"/>
        <item x="1061"/>
        <item x="567"/>
        <item x="1185"/>
        <item x="10"/>
        <item x="490"/>
        <item x="16"/>
        <item x="265"/>
        <item x="844"/>
        <item x="1458"/>
        <item x="911"/>
        <item x="781"/>
        <item x="499"/>
        <item x="768"/>
        <item x="1396"/>
        <item x="825"/>
        <item x="1348"/>
        <item x="1415"/>
        <item x="247"/>
        <item x="833"/>
        <item x="186"/>
        <item x="552"/>
        <item x="272"/>
        <item x="1434"/>
        <item x="81"/>
        <item x="905"/>
        <item x="1397"/>
        <item x="111"/>
        <item x="1194"/>
        <item x="1433"/>
        <item x="975"/>
        <item x="1417"/>
        <item x="916"/>
        <item x="1311"/>
        <item x="866"/>
        <item x="48"/>
        <item x="1312"/>
        <item x="163"/>
        <item x="142"/>
        <item x="132"/>
        <item x="840"/>
        <item x="1284"/>
        <item x="1574"/>
        <item x="271"/>
        <item x="1334"/>
        <item x="1381"/>
        <item x="1154"/>
        <item x="485"/>
        <item x="323"/>
        <item x="345"/>
        <item x="1558"/>
        <item x="816"/>
        <item x="1206"/>
        <item x="378"/>
        <item x="140"/>
        <item x="1068"/>
        <item x="893"/>
        <item x="989"/>
        <item x="379"/>
        <item x="523"/>
        <item x="1505"/>
        <item x="506"/>
        <item x="724"/>
        <item x="1147"/>
        <item x="25"/>
        <item x="422"/>
        <item x="1168"/>
        <item x="988"/>
        <item x="1226"/>
        <item x="412"/>
        <item x="1629"/>
        <item x="1357"/>
        <item x="986"/>
        <item x="213"/>
        <item x="1102"/>
        <item x="1237"/>
        <item x="856"/>
        <item x="1201"/>
        <item x="137"/>
        <item x="1012"/>
        <item x="1491"/>
        <item x="157"/>
        <item x="1419"/>
        <item x="1333"/>
        <item x="934"/>
        <item x="370"/>
        <item x="1560"/>
        <item x="235"/>
        <item x="486"/>
        <item x="861"/>
        <item x="6"/>
        <item x="87"/>
        <item x="1535"/>
        <item x="389"/>
        <item x="476"/>
        <item x="1432"/>
        <item x="310"/>
        <item x="312"/>
        <item x="37"/>
        <item x="1484"/>
        <item x="49"/>
        <item x="626"/>
        <item x="297"/>
        <item x="1222"/>
        <item x="1512"/>
        <item x="546"/>
        <item x="677"/>
        <item x="408"/>
        <item x="995"/>
        <item x="1035"/>
        <item x="711"/>
        <item x="792"/>
        <item x="1264"/>
        <item x="555"/>
        <item x="1244"/>
        <item x="1164"/>
        <item x="650"/>
        <item x="838"/>
        <item x="290"/>
        <item x="1278"/>
        <item x="826"/>
        <item x="620"/>
        <item x="817"/>
        <item x="1125"/>
        <item x="702"/>
        <item x="978"/>
        <item x="1183"/>
        <item x="1292"/>
        <item x="1186"/>
        <item x="1537"/>
        <item x="1422"/>
        <item x="1182"/>
        <item x="468"/>
        <item x="615"/>
        <item x="9"/>
        <item x="1029"/>
        <item x="1294"/>
        <item x="1425"/>
        <item x="1552"/>
        <item x="1307"/>
        <item x="1572"/>
        <item x="725"/>
        <item x="793"/>
        <item x="385"/>
        <item x="997"/>
        <item x="628"/>
        <item x="42"/>
        <item x="463"/>
        <item x="1518"/>
        <item x="1017"/>
        <item x="1383"/>
        <item x="301"/>
        <item x="252"/>
        <item x="1493"/>
        <item x="62"/>
        <item x="908"/>
        <item x="996"/>
        <item x="394"/>
        <item x="589"/>
        <item x="1446"/>
        <item x="636"/>
        <item x="1407"/>
        <item x="645"/>
        <item x="576"/>
        <item x="1395"/>
        <item x="1007"/>
        <item x="1497"/>
        <item x="643"/>
        <item x="166"/>
        <item x="1009"/>
        <item x="1556"/>
        <item x="1564"/>
        <item x="1443"/>
        <item x="192"/>
        <item x="1303"/>
        <item x="766"/>
        <item x="102"/>
        <item x="1143"/>
        <item x="1452"/>
        <item x="284"/>
        <item x="1550"/>
        <item x="1562"/>
        <item x="1474"/>
        <item x="58"/>
        <item x="268"/>
        <item x="891"/>
        <item x="1280"/>
        <item x="610"/>
        <item x="516"/>
        <item x="657"/>
        <item x="1158"/>
        <item x="605"/>
        <item x="961"/>
        <item x="789"/>
        <item x="1615"/>
        <item x="920"/>
        <item x="889"/>
        <item x="634"/>
        <item x="266"/>
        <item x="117"/>
        <item x="574"/>
        <item x="1121"/>
        <item x="1008"/>
        <item x="1463"/>
        <item x="274"/>
        <item x="1074"/>
        <item x="1492"/>
        <item x="417"/>
        <item x="415"/>
        <item x="362"/>
        <item x="736"/>
        <item x="340"/>
        <item x="890"/>
        <item x="147"/>
        <item x="1111"/>
        <item x="1187"/>
        <item x="1428"/>
        <item x="922"/>
        <item x="608"/>
        <item x="495"/>
        <item x="1317"/>
        <item x="812"/>
        <item x="568"/>
        <item x="932"/>
        <item x="693"/>
        <item x="406"/>
        <item x="550"/>
        <item x="1645"/>
        <item t="default"/>
      </items>
    </pivotField>
  </pivotFields>
  <rowFields count="1">
    <field x="8"/>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ElectricityBill" fld="11" subtotal="average" baseField="8" baseItem="0" numFmtId="2"/>
  </dataFields>
  <formats count="2">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770752-8588-4B73-9E93-3C106538FF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G5:H19" firstHeaderRow="1" firstDataRow="1" firstDataCol="1"/>
  <pivotFields count="12">
    <pivotField showAll="0"/>
    <pivotField showAll="0"/>
    <pivotField showAll="0"/>
    <pivotField showAll="0"/>
    <pivotField showAll="0"/>
    <pivotField showAll="0"/>
    <pivotField axis="axisRow" showAll="0">
      <items count="14">
        <item x="10"/>
        <item x="3"/>
        <item x="0"/>
        <item x="4"/>
        <item x="11"/>
        <item x="5"/>
        <item x="7"/>
        <item x="9"/>
        <item x="1"/>
        <item x="6"/>
        <item x="12"/>
        <item x="2"/>
        <item x="8"/>
        <item t="default"/>
      </items>
    </pivotField>
    <pivotField showAll="0"/>
    <pivotField showAll="0"/>
    <pivotField showAll="0"/>
    <pivotField showAll="0"/>
    <pivotField dataField="1" showAll="0">
      <items count="1646">
        <item x="24"/>
        <item x="666"/>
        <item x="952"/>
        <item x="790"/>
        <item x="1529"/>
        <item x="1549"/>
        <item x="958"/>
        <item x="1525"/>
        <item x="727"/>
        <item x="1149"/>
        <item x="1620"/>
        <item x="57"/>
        <item x="1439"/>
        <item x="1145"/>
        <item x="1169"/>
        <item x="146"/>
        <item x="1119"/>
        <item x="883"/>
        <item x="1189"/>
        <item x="1290"/>
        <item x="815"/>
        <item x="1569"/>
        <item x="771"/>
        <item x="991"/>
        <item x="79"/>
        <item x="1277"/>
        <item x="1260"/>
        <item x="804"/>
        <item x="28"/>
        <item x="53"/>
        <item x="670"/>
        <item x="353"/>
        <item x="154"/>
        <item x="937"/>
        <item x="1575"/>
        <item x="1247"/>
        <item x="1516"/>
        <item x="931"/>
        <item x="718"/>
        <item x="1236"/>
        <item x="484"/>
        <item x="631"/>
        <item x="1024"/>
        <item x="1380"/>
        <item x="189"/>
        <item x="544"/>
        <item x="8"/>
        <item x="580"/>
        <item x="1208"/>
        <item x="562"/>
        <item x="1202"/>
        <item x="424"/>
        <item x="1026"/>
        <item x="1259"/>
        <item x="1165"/>
        <item x="1567"/>
        <item x="1387"/>
        <item x="616"/>
        <item x="320"/>
        <item x="1021"/>
        <item x="373"/>
        <item x="74"/>
        <item x="1087"/>
        <item x="879"/>
        <item x="308"/>
        <item x="674"/>
        <item x="218"/>
        <item x="505"/>
        <item x="659"/>
        <item x="1256"/>
        <item x="802"/>
        <item x="214"/>
        <item x="906"/>
        <item x="526"/>
        <item x="1597"/>
        <item x="695"/>
        <item x="1273"/>
        <item x="184"/>
        <item x="1004"/>
        <item x="421"/>
        <item x="860"/>
        <item x="1155"/>
        <item x="43"/>
        <item x="322"/>
        <item x="97"/>
        <item x="1377"/>
        <item x="857"/>
        <item x="455"/>
        <item x="240"/>
        <item x="1382"/>
        <item x="299"/>
        <item x="354"/>
        <item x="852"/>
        <item x="1036"/>
        <item x="1483"/>
        <item x="66"/>
        <item x="539"/>
        <item x="520"/>
        <item x="698"/>
        <item x="743"/>
        <item x="1611"/>
        <item x="122"/>
        <item x="1375"/>
        <item x="960"/>
        <item x="126"/>
        <item x="1229"/>
        <item x="814"/>
        <item x="560"/>
        <item x="1448"/>
        <item x="1218"/>
        <item x="1257"/>
        <item x="983"/>
        <item x="545"/>
        <item x="775"/>
        <item x="1207"/>
        <item x="1172"/>
        <item x="1398"/>
        <item x="400"/>
        <item x="1124"/>
        <item x="1286"/>
        <item x="1343"/>
        <item x="17"/>
        <item x="609"/>
        <item x="327"/>
        <item x="307"/>
        <item x="951"/>
        <item x="967"/>
        <item x="73"/>
        <item x="1052"/>
        <item x="1488"/>
        <item x="1088"/>
        <item x="1532"/>
        <item x="1390"/>
        <item x="425"/>
        <item x="1522"/>
        <item x="594"/>
        <item x="130"/>
        <item x="1064"/>
        <item x="998"/>
        <item x="260"/>
        <item x="1581"/>
        <item x="1109"/>
        <item x="705"/>
        <item x="1045"/>
        <item x="1120"/>
        <item x="903"/>
        <item x="979"/>
        <item x="262"/>
        <item x="237"/>
        <item x="1438"/>
        <item x="572"/>
        <item x="1275"/>
        <item x="704"/>
        <item x="676"/>
        <item x="14"/>
        <item x="441"/>
        <item x="757"/>
        <item x="22"/>
        <item x="635"/>
        <item x="706"/>
        <item x="927"/>
        <item x="936"/>
        <item x="196"/>
        <item x="1589"/>
        <item x="769"/>
        <item x="1265"/>
        <item x="418"/>
        <item x="1047"/>
        <item x="1520"/>
        <item x="461"/>
        <item x="1536"/>
        <item x="884"/>
        <item x="870"/>
        <item x="508"/>
        <item x="84"/>
        <item x="442"/>
        <item x="1608"/>
        <item x="566"/>
        <item x="885"/>
        <item x="1028"/>
        <item x="1437"/>
        <item x="798"/>
        <item x="527"/>
        <item x="319"/>
        <item x="993"/>
        <item x="654"/>
        <item x="438"/>
        <item x="1331"/>
        <item x="396"/>
        <item x="764"/>
        <item x="528"/>
        <item x="167"/>
        <item x="1622"/>
        <item x="1571"/>
        <item x="230"/>
        <item x="1065"/>
        <item x="65"/>
        <item x="1368"/>
        <item x="1393"/>
        <item x="92"/>
        <item x="1148"/>
        <item x="649"/>
        <item x="746"/>
        <item x="280"/>
        <item x="377"/>
        <item x="1554"/>
        <item x="304"/>
        <item x="1602"/>
        <item x="1502"/>
        <item x="416"/>
        <item x="1401"/>
        <item x="1114"/>
        <item x="1251"/>
        <item x="149"/>
        <item x="5"/>
        <item x="1394"/>
        <item x="413"/>
        <item x="1323"/>
        <item x="1231"/>
        <item x="871"/>
        <item x="20"/>
        <item x="1461"/>
        <item x="1144"/>
        <item x="1436"/>
        <item x="1235"/>
        <item x="1570"/>
        <item x="1503"/>
        <item x="119"/>
        <item x="842"/>
        <item x="456"/>
        <item x="489"/>
        <item x="210"/>
        <item x="180"/>
        <item x="444"/>
        <item x="204"/>
        <item x="487"/>
        <item x="1137"/>
        <item x="134"/>
        <item x="123"/>
        <item x="151"/>
        <item x="1221"/>
        <item x="697"/>
        <item x="778"/>
        <item x="756"/>
        <item x="1077"/>
        <item x="1016"/>
        <item x="642"/>
        <item x="1108"/>
        <item x="688"/>
        <item x="1453"/>
        <item x="429"/>
        <item x="1577"/>
        <item x="12"/>
        <item x="288"/>
        <item x="1456"/>
        <item x="434"/>
        <item x="1011"/>
        <item x="467"/>
        <item x="536"/>
        <item x="954"/>
        <item x="532"/>
        <item x="1587"/>
        <item x="835"/>
        <item x="858"/>
        <item x="1197"/>
        <item x="974"/>
        <item x="178"/>
        <item x="622"/>
        <item x="473"/>
        <item x="745"/>
        <item x="830"/>
        <item x="1099"/>
        <item x="502"/>
        <item x="799"/>
        <item x="1054"/>
        <item x="716"/>
        <item x="522"/>
        <item x="1178"/>
        <item x="1167"/>
        <item x="1460"/>
        <item x="1179"/>
        <item x="83"/>
        <item x="517"/>
        <item x="1451"/>
        <item x="733"/>
        <item x="944"/>
        <item x="548"/>
        <item x="973"/>
        <item x="1118"/>
        <item x="1287"/>
        <item x="1041"/>
        <item x="965"/>
        <item x="1200"/>
        <item x="1042"/>
        <item x="1301"/>
        <item x="1066"/>
        <item x="1454"/>
        <item x="231"/>
        <item x="198"/>
        <item x="579"/>
        <item x="1103"/>
        <item x="1131"/>
        <item x="1150"/>
        <item x="1592"/>
        <item x="964"/>
        <item x="1000"/>
        <item x="1486"/>
        <item x="525"/>
        <item x="1302"/>
        <item x="82"/>
        <item x="1472"/>
        <item x="1468"/>
        <item x="257"/>
        <item x="1515"/>
        <item x="563"/>
        <item x="1346"/>
        <item x="1418"/>
        <item x="662"/>
        <item x="874"/>
        <item x="1470"/>
        <item x="452"/>
        <item x="850"/>
        <item x="899"/>
        <item x="831"/>
        <item x="203"/>
        <item x="96"/>
        <item x="367"/>
        <item x="382"/>
        <item x="1078"/>
        <item x="76"/>
        <item x="1526"/>
        <item x="692"/>
        <item x="54"/>
        <item x="1122"/>
        <item x="328"/>
        <item x="106"/>
        <item x="1094"/>
        <item x="466"/>
        <item x="1006"/>
        <item x="1506"/>
        <item x="1366"/>
        <item x="40"/>
        <item x="176"/>
        <item x="588"/>
        <item x="753"/>
        <item x="3"/>
        <item x="334"/>
        <item x="519"/>
        <item x="493"/>
        <item x="767"/>
        <item x="1541"/>
        <item x="530"/>
        <item x="1356"/>
        <item x="770"/>
        <item x="1192"/>
        <item x="687"/>
        <item x="747"/>
        <item x="283"/>
        <item x="1578"/>
        <item x="85"/>
        <item x="1610"/>
        <item x="1504"/>
        <item x="148"/>
        <item x="88"/>
        <item x="261"/>
        <item x="1057"/>
        <item x="277"/>
        <item x="598"/>
        <item x="1304"/>
        <item x="877"/>
        <item x="1344"/>
        <item x="917"/>
        <item x="939"/>
        <item x="1291"/>
        <item x="681"/>
        <item x="1216"/>
        <item x="680"/>
        <item x="726"/>
        <item x="393"/>
        <item x="1063"/>
        <item x="1196"/>
        <item x="39"/>
        <item x="1362"/>
        <item x="90"/>
        <item x="761"/>
        <item x="590"/>
        <item x="1632"/>
        <item x="1071"/>
        <item x="365"/>
        <item x="1566"/>
        <item x="1386"/>
        <item x="314"/>
        <item x="175"/>
        <item x="281"/>
        <item x="1490"/>
        <item x="1534"/>
        <item x="1480"/>
        <item x="673"/>
        <item x="1478"/>
        <item x="1477"/>
        <item x="1630"/>
        <item x="474"/>
        <item x="755"/>
        <item x="672"/>
        <item x="823"/>
        <item x="331"/>
        <item x="1359"/>
        <item x="717"/>
        <item x="67"/>
        <item x="38"/>
        <item x="443"/>
        <item x="159"/>
        <item x="892"/>
        <item x="428"/>
        <item x="1032"/>
        <item x="949"/>
        <item x="901"/>
        <item x="449"/>
        <item x="1595"/>
        <item x="1018"/>
        <item x="1374"/>
        <item x="356"/>
        <item x="829"/>
        <item x="786"/>
        <item x="607"/>
        <item x="1262"/>
        <item x="913"/>
        <item x="848"/>
        <item x="150"/>
        <item x="708"/>
        <item x="691"/>
        <item x="735"/>
        <item x="239"/>
        <item x="1582"/>
        <item x="1584"/>
        <item x="1067"/>
        <item x="99"/>
        <item x="1070"/>
        <item x="535"/>
        <item x="1540"/>
        <item x="1642"/>
        <item x="188"/>
        <item x="1413"/>
        <item x="1441"/>
        <item x="972"/>
        <item x="867"/>
        <item x="200"/>
        <item x="129"/>
        <item x="556"/>
        <item x="1056"/>
        <item x="614"/>
        <item x="110"/>
        <item x="481"/>
        <item x="1195"/>
        <item x="1106"/>
        <item x="477"/>
        <item x="1325"/>
        <item x="131"/>
        <item x="414"/>
        <item x="1638"/>
        <item x="337"/>
        <item x="923"/>
        <item x="1352"/>
        <item x="660"/>
        <item x="1084"/>
        <item x="918"/>
        <item x="1365"/>
        <item x="1190"/>
        <item x="1580"/>
        <item x="1062"/>
        <item x="1060"/>
        <item x="942"/>
        <item x="1266"/>
        <item x="1573"/>
        <item x="1098"/>
        <item x="371"/>
        <item x="1233"/>
        <item x="1013"/>
        <item x="1174"/>
        <item x="1444"/>
        <item x="436"/>
        <item x="1547"/>
        <item x="1440"/>
        <item x="571"/>
        <item x="169"/>
        <item x="1639"/>
        <item x="352"/>
        <item x="78"/>
        <item x="80"/>
        <item x="1641"/>
        <item x="1508"/>
        <item x="1545"/>
        <item x="1555"/>
        <item x="1424"/>
        <item x="665"/>
        <item x="1134"/>
        <item x="317"/>
        <item x="0"/>
        <item x="732"/>
        <item x="1426"/>
        <item x="1316"/>
        <item x="46"/>
        <item x="316"/>
        <item x="561"/>
        <item x="773"/>
        <item x="737"/>
        <item x="818"/>
        <item x="21"/>
        <item x="243"/>
        <item x="311"/>
        <item x="984"/>
        <item x="241"/>
        <item x="1215"/>
        <item x="1643"/>
        <item x="439"/>
        <item x="1213"/>
        <item x="1104"/>
        <item x="276"/>
        <item x="1146"/>
        <item x="212"/>
        <item x="843"/>
        <item x="721"/>
        <item x="599"/>
        <item x="1328"/>
        <item x="678"/>
        <item x="245"/>
        <item x="1405"/>
        <item x="1411"/>
        <item x="136"/>
        <item x="208"/>
        <item x="250"/>
        <item x="655"/>
        <item x="709"/>
        <item x="694"/>
        <item x="294"/>
        <item x="341"/>
        <item x="34"/>
        <item x="1081"/>
        <item x="1358"/>
        <item x="801"/>
        <item x="623"/>
        <item x="1469"/>
        <item x="664"/>
        <item x="1308"/>
        <item x="1248"/>
        <item x="976"/>
        <item x="1113"/>
        <item x="233"/>
        <item x="513"/>
        <item x="1239"/>
        <item x="158"/>
        <item x="1059"/>
        <item x="981"/>
        <item x="719"/>
        <item x="273"/>
        <item x="1020"/>
        <item x="236"/>
        <item x="765"/>
        <item x="1038"/>
        <item x="469"/>
        <item x="1404"/>
        <item x="207"/>
        <item x="1031"/>
        <item x="987"/>
        <item x="479"/>
        <item x="1314"/>
        <item x="1544"/>
        <item x="585"/>
        <item x="451"/>
        <item x="739"/>
        <item x="647"/>
        <item x="806"/>
        <item x="225"/>
        <item x="1058"/>
        <item x="811"/>
        <item x="300"/>
        <item x="325"/>
        <item x="1619"/>
        <item x="359"/>
        <item x="553"/>
        <item x="776"/>
        <item x="788"/>
        <item x="1258"/>
        <item x="1379"/>
        <item x="584"/>
        <item x="1141"/>
        <item x="249"/>
        <item x="498"/>
        <item x="282"/>
        <item x="93"/>
        <item x="107"/>
        <item x="875"/>
        <item x="962"/>
        <item x="326"/>
        <item x="45"/>
        <item x="460"/>
        <item x="882"/>
        <item x="1010"/>
        <item x="174"/>
        <item x="1015"/>
        <item x="855"/>
        <item x="1295"/>
        <item x="1050"/>
        <item x="1531"/>
        <item x="309"/>
        <item x="624"/>
        <item x="734"/>
        <item x="116"/>
        <item x="36"/>
        <item x="902"/>
        <item x="1033"/>
        <item x="1160"/>
        <item x="813"/>
        <item x="160"/>
        <item x="1605"/>
        <item x="1500"/>
        <item x="223"/>
        <item x="1445"/>
        <item x="366"/>
        <item x="431"/>
        <item x="59"/>
        <item x="748"/>
        <item x="1568"/>
        <item x="1243"/>
        <item x="397"/>
        <item x="869"/>
        <item x="941"/>
        <item x="153"/>
        <item x="1227"/>
        <item x="738"/>
        <item x="685"/>
        <item x="381"/>
        <item x="228"/>
        <item x="1210"/>
        <item x="1305"/>
        <item x="1282"/>
        <item x="72"/>
        <item x="791"/>
        <item x="27"/>
        <item x="859"/>
        <item x="1487"/>
        <item x="447"/>
        <item x="1625"/>
        <item x="232"/>
        <item x="384"/>
        <item x="671"/>
        <item x="982"/>
        <item x="1270"/>
        <item x="1080"/>
        <item x="1318"/>
        <item x="832"/>
        <item x="1117"/>
        <item x="19"/>
        <item x="703"/>
        <item x="668"/>
        <item x="1473"/>
        <item x="796"/>
        <item x="679"/>
        <item x="376"/>
        <item x="658"/>
        <item x="156"/>
        <item x="1429"/>
        <item x="990"/>
        <item x="398"/>
        <item x="759"/>
        <item x="31"/>
        <item x="1022"/>
        <item x="1152"/>
        <item x="558"/>
        <item x="696"/>
        <item x="740"/>
        <item x="946"/>
        <item x="1319"/>
        <item x="896"/>
        <item x="133"/>
        <item x="321"/>
        <item x="457"/>
        <item x="1563"/>
        <item x="849"/>
        <item x="1511"/>
        <item x="862"/>
        <item x="1464"/>
        <item x="1309"/>
        <item x="1044"/>
        <item x="61"/>
        <item x="1609"/>
        <item x="1322"/>
        <item x="621"/>
        <item x="583"/>
        <item x="98"/>
        <item x="1528"/>
        <item x="728"/>
        <item x="113"/>
        <item x="864"/>
        <item x="779"/>
        <item x="1538"/>
        <item x="348"/>
        <item x="1476"/>
        <item x="1596"/>
        <item x="405"/>
        <item x="1427"/>
        <item x="1014"/>
        <item x="1442"/>
        <item x="246"/>
        <item x="1039"/>
        <item x="807"/>
        <item x="881"/>
        <item x="751"/>
        <item x="805"/>
        <item x="211"/>
        <item x="1561"/>
        <item x="1361"/>
        <item x="863"/>
        <item x="707"/>
        <item x="1599"/>
        <item x="1048"/>
        <item x="1053"/>
        <item x="1140"/>
        <item x="1345"/>
        <item x="554"/>
        <item x="1193"/>
        <item x="420"/>
        <item x="512"/>
        <item x="1249"/>
        <item x="1139"/>
        <item x="963"/>
        <item x="464"/>
        <item x="1306"/>
        <item x="1421"/>
        <item x="971"/>
        <item x="220"/>
        <item x="1449"/>
        <item x="1465"/>
        <item x="1285"/>
        <item x="1002"/>
        <item x="401"/>
        <item x="966"/>
        <item x="458"/>
        <item x="1403"/>
        <item x="205"/>
        <item x="1214"/>
        <item x="1471"/>
        <item x="315"/>
        <item x="478"/>
        <item x="873"/>
        <item x="1228"/>
        <item x="1320"/>
        <item x="480"/>
        <item x="201"/>
        <item x="30"/>
        <item x="808"/>
        <item x="182"/>
        <item x="1593"/>
        <item x="803"/>
        <item x="921"/>
        <item x="945"/>
        <item x="1135"/>
        <item x="836"/>
        <item x="503"/>
        <item x="1092"/>
        <item x="600"/>
        <item x="226"/>
        <item x="956"/>
        <item x="1521"/>
        <item x="120"/>
        <item x="295"/>
        <item x="1297"/>
        <item x="302"/>
        <item x="1338"/>
        <item x="587"/>
        <item x="947"/>
        <item x="1399"/>
        <item x="646"/>
        <item x="1414"/>
        <item x="292"/>
        <item x="633"/>
        <item x="648"/>
        <item x="926"/>
        <item x="821"/>
        <item x="720"/>
        <item x="940"/>
        <item x="1385"/>
        <item x="1559"/>
        <item x="219"/>
        <item x="1129"/>
        <item x="851"/>
        <item x="47"/>
        <item x="839"/>
        <item x="1142"/>
        <item x="1040"/>
        <item x="741"/>
        <item x="183"/>
        <item x="423"/>
        <item x="601"/>
        <item x="1450"/>
        <item x="1043"/>
        <item x="795"/>
        <item x="269"/>
        <item x="1591"/>
        <item x="258"/>
        <item x="1603"/>
        <item x="1254"/>
        <item x="13"/>
        <item x="187"/>
        <item x="139"/>
        <item x="114"/>
        <item x="18"/>
        <item x="504"/>
        <item x="1409"/>
        <item x="909"/>
        <item x="35"/>
        <item x="1481"/>
        <item x="1217"/>
        <item x="985"/>
        <item x="1157"/>
        <item x="752"/>
        <item x="617"/>
        <item x="100"/>
        <item x="217"/>
        <item x="60"/>
        <item x="1230"/>
        <item x="1600"/>
        <item x="1372"/>
        <item x="744"/>
        <item x="750"/>
        <item x="603"/>
        <item x="1628"/>
        <item x="433"/>
        <item x="1030"/>
        <item x="1586"/>
        <item x="363"/>
        <item x="1337"/>
        <item x="690"/>
        <item x="333"/>
        <item x="1276"/>
        <item x="1349"/>
        <item x="712"/>
        <item x="390"/>
        <item x="1614"/>
        <item x="787"/>
        <item x="44"/>
        <item x="1001"/>
        <item x="1288"/>
        <item x="699"/>
        <item x="846"/>
        <item x="145"/>
        <item x="564"/>
        <item x="1097"/>
        <item x="1086"/>
        <item x="372"/>
        <item x="155"/>
        <item x="1241"/>
        <item x="868"/>
        <item x="953"/>
        <item x="336"/>
        <item x="1116"/>
        <item x="611"/>
        <item x="710"/>
        <item x="471"/>
        <item x="943"/>
        <item x="1"/>
        <item x="426"/>
        <item x="248"/>
        <item x="1082"/>
        <item x="445"/>
        <item x="104"/>
        <item x="383"/>
        <item x="86"/>
        <item x="888"/>
        <item x="1332"/>
        <item x="651"/>
        <item x="914"/>
        <item x="32"/>
        <item x="1128"/>
        <item x="392"/>
        <item x="1576"/>
        <item x="380"/>
        <item x="296"/>
        <item x="1524"/>
        <item x="663"/>
        <item x="894"/>
        <item x="604"/>
        <item x="950"/>
        <item x="1069"/>
        <item x="1293"/>
        <item x="577"/>
        <item x="1351"/>
        <item x="1310"/>
        <item x="714"/>
        <item x="221"/>
        <item x="501"/>
        <item x="1585"/>
        <item x="1336"/>
        <item x="723"/>
        <item x="395"/>
        <item x="904"/>
        <item x="94"/>
        <item x="1095"/>
        <item x="472"/>
        <item x="52"/>
        <item x="638"/>
        <item x="762"/>
        <item x="1479"/>
        <item x="1633"/>
        <item x="794"/>
        <item x="1329"/>
        <item x="754"/>
        <item x="547"/>
        <item x="809"/>
        <item x="827"/>
        <item x="1246"/>
        <item x="238"/>
        <item x="267"/>
        <item x="361"/>
        <item x="407"/>
        <item x="537"/>
        <item x="928"/>
        <item x="1163"/>
        <item x="640"/>
        <item x="606"/>
        <item x="2"/>
        <item x="541"/>
        <item x="1110"/>
        <item x="234"/>
        <item x="197"/>
        <item x="1494"/>
        <item x="278"/>
        <item x="1499"/>
        <item x="837"/>
        <item x="1618"/>
        <item x="632"/>
        <item x="358"/>
        <item x="1159"/>
        <item x="1360"/>
        <item x="824"/>
        <item x="224"/>
        <item x="435"/>
        <item x="279"/>
        <item x="1378"/>
        <item x="1034"/>
        <item x="669"/>
        <item x="1462"/>
        <item x="782"/>
        <item x="306"/>
        <item x="289"/>
        <item x="1075"/>
        <item x="128"/>
        <item x="1115"/>
        <item x="1557"/>
        <item x="15"/>
        <item x="64"/>
        <item x="285"/>
        <item x="1519"/>
        <item x="1416"/>
        <item x="109"/>
        <item x="360"/>
        <item x="1510"/>
        <item x="1199"/>
        <item x="1326"/>
        <item x="582"/>
        <item x="195"/>
        <item x="465"/>
        <item x="898"/>
        <item x="1617"/>
        <item x="731"/>
        <item x="152"/>
        <item x="1219"/>
        <item x="919"/>
        <item x="524"/>
        <item x="742"/>
        <item x="1627"/>
        <item x="1634"/>
        <item x="1400"/>
        <item x="1089"/>
        <item x="227"/>
        <item x="143"/>
        <item x="1517"/>
        <item x="138"/>
        <item x="482"/>
        <item x="653"/>
        <item x="1153"/>
        <item x="51"/>
        <item x="1640"/>
        <item x="1606"/>
        <item x="957"/>
        <item x="1406"/>
        <item x="287"/>
        <item x="910"/>
        <item x="682"/>
        <item x="404"/>
        <item x="1252"/>
        <item x="1025"/>
        <item x="77"/>
        <item x="845"/>
        <item x="275"/>
        <item x="446"/>
        <item x="1551"/>
        <item x="177"/>
        <item x="625"/>
        <item x="41"/>
        <item x="255"/>
        <item x="1096"/>
        <item x="411"/>
        <item x="462"/>
        <item x="1090"/>
        <item x="347"/>
        <item x="854"/>
        <item x="1579"/>
        <item x="63"/>
        <item x="1542"/>
        <item x="1410"/>
        <item x="1496"/>
        <item x="1073"/>
        <item x="1289"/>
        <item x="841"/>
        <item x="1624"/>
        <item x="488"/>
        <item x="11"/>
        <item x="1051"/>
        <item x="630"/>
        <item x="349"/>
        <item x="1151"/>
        <item x="774"/>
        <item x="391"/>
        <item x="955"/>
        <item x="55"/>
        <item x="715"/>
        <item x="89"/>
        <item x="369"/>
        <item x="1191"/>
        <item x="1296"/>
        <item x="1171"/>
        <item x="915"/>
        <item x="540"/>
        <item x="1261"/>
        <item x="1590"/>
        <item x="758"/>
        <item x="1315"/>
        <item x="1363"/>
        <item x="1369"/>
        <item x="1225"/>
        <item x="1161"/>
        <item x="430"/>
        <item x="368"/>
        <item x="402"/>
        <item x="1391"/>
        <item x="1079"/>
        <item x="171"/>
        <item x="1342"/>
        <item x="1268"/>
        <item x="1485"/>
        <item x="575"/>
        <item x="1530"/>
        <item x="71"/>
        <item x="242"/>
        <item x="999"/>
        <item x="641"/>
        <item x="1327"/>
        <item x="510"/>
        <item x="1055"/>
        <item x="124"/>
        <item x="342"/>
        <item x="689"/>
        <item x="335"/>
        <item x="1507"/>
        <item x="1107"/>
        <item x="105"/>
        <item x="1130"/>
        <item x="912"/>
        <item x="164"/>
        <item x="627"/>
        <item x="193"/>
        <item x="1173"/>
        <item x="270"/>
        <item x="1209"/>
        <item x="644"/>
        <item x="1467"/>
        <item x="878"/>
        <item x="497"/>
        <item x="437"/>
        <item x="1019"/>
        <item x="264"/>
        <item x="930"/>
        <item x="887"/>
        <item x="332"/>
        <item x="1388"/>
        <item x="667"/>
        <item x="1367"/>
        <item x="777"/>
        <item x="1330"/>
        <item x="1435"/>
        <item x="1162"/>
        <item x="1354"/>
        <item x="1539"/>
        <item x="1127"/>
        <item x="1392"/>
        <item x="1255"/>
        <item x="1269"/>
        <item x="121"/>
        <item x="1170"/>
        <item x="386"/>
        <item x="819"/>
        <item x="375"/>
        <item x="1300"/>
        <item x="1423"/>
        <item x="1514"/>
        <item x="1324"/>
        <item x="492"/>
        <item x="388"/>
        <item x="298"/>
        <item x="103"/>
        <item x="324"/>
        <item x="459"/>
        <item x="1376"/>
        <item x="1234"/>
        <item x="1181"/>
        <item x="179"/>
        <item x="355"/>
        <item x="1489"/>
        <item x="1340"/>
        <item x="613"/>
        <item x="1607"/>
        <item x="1133"/>
        <item x="440"/>
        <item x="1635"/>
        <item x="1212"/>
        <item x="1253"/>
        <item x="1553"/>
        <item x="108"/>
        <item x="70"/>
        <item x="1598"/>
        <item x="865"/>
        <item x="1283"/>
        <item x="1175"/>
        <item x="256"/>
        <item x="935"/>
        <item x="701"/>
        <item x="722"/>
        <item x="538"/>
        <item x="897"/>
        <item x="26"/>
        <item x="343"/>
        <item x="1636"/>
        <item x="1220"/>
        <item x="1166"/>
        <item x="619"/>
        <item x="880"/>
        <item x="847"/>
        <item x="1263"/>
        <item x="1023"/>
        <item x="470"/>
        <item x="101"/>
        <item x="1523"/>
        <item x="351"/>
        <item x="542"/>
        <item x="144"/>
        <item x="549"/>
        <item x="1101"/>
        <item x="876"/>
        <item x="293"/>
        <item x="1211"/>
        <item x="427"/>
        <item x="1613"/>
        <item x="612"/>
        <item x="810"/>
        <item x="543"/>
        <item x="364"/>
        <item x="763"/>
        <item x="329"/>
        <item x="1123"/>
        <item x="161"/>
        <item x="686"/>
        <item x="318"/>
        <item x="1156"/>
        <item x="1100"/>
        <item x="994"/>
        <item x="254"/>
        <item x="483"/>
        <item x="112"/>
        <item x="1093"/>
        <item x="895"/>
        <item x="263"/>
        <item x="637"/>
        <item x="591"/>
        <item x="834"/>
        <item x="675"/>
        <item x="551"/>
        <item x="199"/>
        <item x="1430"/>
        <item x="780"/>
        <item x="1370"/>
        <item x="970"/>
        <item x="4"/>
        <item x="194"/>
        <item x="1105"/>
        <item x="1412"/>
        <item x="409"/>
        <item x="291"/>
        <item x="639"/>
        <item x="593"/>
        <item x="948"/>
        <item x="700"/>
        <item x="713"/>
        <item x="1184"/>
        <item x="1389"/>
        <item x="1588"/>
        <item x="1126"/>
        <item x="529"/>
        <item x="1459"/>
        <item x="1005"/>
        <item x="69"/>
        <item x="50"/>
        <item x="29"/>
        <item x="7"/>
        <item x="1402"/>
        <item x="1546"/>
        <item x="533"/>
        <item x="450"/>
        <item x="118"/>
        <item x="1138"/>
        <item x="509"/>
        <item x="1037"/>
        <item x="992"/>
        <item x="602"/>
        <item x="1447"/>
        <item x="190"/>
        <item x="1513"/>
        <item x="820"/>
        <item x="1313"/>
        <item x="565"/>
        <item x="569"/>
        <item x="419"/>
        <item x="518"/>
        <item x="578"/>
        <item x="491"/>
        <item x="800"/>
        <item x="1240"/>
        <item x="977"/>
        <item x="1198"/>
        <item x="141"/>
        <item x="403"/>
        <item x="1475"/>
        <item x="511"/>
        <item x="531"/>
        <item x="165"/>
        <item x="853"/>
        <item x="168"/>
        <item x="1623"/>
        <item x="1612"/>
        <item x="170"/>
        <item x="521"/>
        <item x="1431"/>
        <item x="1604"/>
        <item x="346"/>
        <item x="1242"/>
        <item x="330"/>
        <item x="592"/>
        <item x="749"/>
        <item x="1223"/>
        <item x="374"/>
        <item x="1364"/>
        <item x="1626"/>
        <item x="1177"/>
        <item x="1420"/>
        <item x="1384"/>
        <item x="1621"/>
        <item x="215"/>
        <item x="886"/>
        <item x="1299"/>
        <item x="1132"/>
        <item x="206"/>
        <item x="91"/>
        <item x="980"/>
        <item x="1271"/>
        <item x="1408"/>
        <item x="661"/>
        <item x="1046"/>
        <item x="1250"/>
        <item x="1341"/>
        <item x="760"/>
        <item x="797"/>
        <item x="1279"/>
        <item x="1482"/>
        <item x="453"/>
        <item x="357"/>
        <item x="1631"/>
        <item x="1205"/>
        <item x="475"/>
        <item x="1072"/>
        <item x="1136"/>
        <item x="338"/>
        <item x="507"/>
        <item x="656"/>
        <item x="586"/>
        <item x="968"/>
        <item x="534"/>
        <item x="75"/>
        <item x="350"/>
        <item x="127"/>
        <item x="1594"/>
        <item x="1245"/>
        <item x="1298"/>
        <item x="929"/>
        <item x="1049"/>
        <item x="822"/>
        <item x="1509"/>
        <item x="596"/>
        <item x="399"/>
        <item x="185"/>
        <item x="1347"/>
        <item x="573"/>
        <item x="448"/>
        <item x="23"/>
        <item x="618"/>
        <item x="1565"/>
        <item x="1637"/>
        <item x="1350"/>
        <item x="1267"/>
        <item x="581"/>
        <item x="969"/>
        <item x="387"/>
        <item x="515"/>
        <item x="514"/>
        <item x="1091"/>
        <item x="1527"/>
        <item x="1180"/>
        <item x="33"/>
        <item x="125"/>
        <item x="222"/>
        <item x="1274"/>
        <item x="500"/>
        <item x="772"/>
        <item x="135"/>
        <item x="1601"/>
        <item x="162"/>
        <item x="1085"/>
        <item x="1498"/>
        <item x="216"/>
        <item x="1224"/>
        <item x="784"/>
        <item x="684"/>
        <item x="410"/>
        <item x="1204"/>
        <item x="1583"/>
        <item x="253"/>
        <item x="1353"/>
        <item x="557"/>
        <item x="229"/>
        <item x="1457"/>
        <item x="172"/>
        <item x="1373"/>
        <item x="305"/>
        <item x="900"/>
        <item x="1272"/>
        <item x="1543"/>
        <item x="286"/>
        <item x="729"/>
        <item x="924"/>
        <item x="828"/>
        <item x="1027"/>
        <item x="1238"/>
        <item x="209"/>
        <item x="1076"/>
        <item x="344"/>
        <item x="938"/>
        <item x="1355"/>
        <item x="173"/>
        <item x="907"/>
        <item x="1188"/>
        <item x="313"/>
        <item x="570"/>
        <item x="1203"/>
        <item x="251"/>
        <item x="259"/>
        <item x="595"/>
        <item x="872"/>
        <item x="454"/>
        <item x="1281"/>
        <item x="1548"/>
        <item x="1335"/>
        <item x="1371"/>
        <item x="339"/>
        <item x="1176"/>
        <item x="494"/>
        <item x="1616"/>
        <item x="959"/>
        <item x="1321"/>
        <item x="1112"/>
        <item x="56"/>
        <item x="785"/>
        <item x="559"/>
        <item x="730"/>
        <item x="1495"/>
        <item x="1083"/>
        <item x="1644"/>
        <item x="181"/>
        <item x="68"/>
        <item x="496"/>
        <item x="1533"/>
        <item x="303"/>
        <item x="432"/>
        <item x="1466"/>
        <item x="933"/>
        <item x="1232"/>
        <item x="783"/>
        <item x="1003"/>
        <item x="115"/>
        <item x="629"/>
        <item x="1339"/>
        <item x="597"/>
        <item x="1501"/>
        <item x="652"/>
        <item x="95"/>
        <item x="244"/>
        <item x="191"/>
        <item x="925"/>
        <item x="1455"/>
        <item x="683"/>
        <item x="202"/>
        <item x="1061"/>
        <item x="567"/>
        <item x="1185"/>
        <item x="10"/>
        <item x="490"/>
        <item x="16"/>
        <item x="265"/>
        <item x="844"/>
        <item x="1458"/>
        <item x="911"/>
        <item x="781"/>
        <item x="499"/>
        <item x="768"/>
        <item x="1396"/>
        <item x="825"/>
        <item x="1348"/>
        <item x="1415"/>
        <item x="247"/>
        <item x="833"/>
        <item x="186"/>
        <item x="552"/>
        <item x="272"/>
        <item x="1434"/>
        <item x="81"/>
        <item x="905"/>
        <item x="1397"/>
        <item x="111"/>
        <item x="1194"/>
        <item x="1433"/>
        <item x="975"/>
        <item x="1417"/>
        <item x="916"/>
        <item x="1311"/>
        <item x="866"/>
        <item x="48"/>
        <item x="1312"/>
        <item x="163"/>
        <item x="142"/>
        <item x="132"/>
        <item x="840"/>
        <item x="1284"/>
        <item x="1574"/>
        <item x="271"/>
        <item x="1334"/>
        <item x="1381"/>
        <item x="1154"/>
        <item x="485"/>
        <item x="323"/>
        <item x="345"/>
        <item x="1558"/>
        <item x="816"/>
        <item x="1206"/>
        <item x="378"/>
        <item x="140"/>
        <item x="1068"/>
        <item x="893"/>
        <item x="989"/>
        <item x="379"/>
        <item x="523"/>
        <item x="1505"/>
        <item x="506"/>
        <item x="724"/>
        <item x="1147"/>
        <item x="25"/>
        <item x="422"/>
        <item x="1168"/>
        <item x="988"/>
        <item x="1226"/>
        <item x="412"/>
        <item x="1629"/>
        <item x="1357"/>
        <item x="986"/>
        <item x="213"/>
        <item x="1102"/>
        <item x="1237"/>
        <item x="856"/>
        <item x="1201"/>
        <item x="137"/>
        <item x="1012"/>
        <item x="1491"/>
        <item x="157"/>
        <item x="1419"/>
        <item x="1333"/>
        <item x="934"/>
        <item x="370"/>
        <item x="1560"/>
        <item x="235"/>
        <item x="486"/>
        <item x="861"/>
        <item x="6"/>
        <item x="87"/>
        <item x="1535"/>
        <item x="389"/>
        <item x="476"/>
        <item x="1432"/>
        <item x="310"/>
        <item x="312"/>
        <item x="37"/>
        <item x="1484"/>
        <item x="49"/>
        <item x="626"/>
        <item x="297"/>
        <item x="1222"/>
        <item x="1512"/>
        <item x="546"/>
        <item x="677"/>
        <item x="408"/>
        <item x="995"/>
        <item x="1035"/>
        <item x="711"/>
        <item x="792"/>
        <item x="1264"/>
        <item x="555"/>
        <item x="1244"/>
        <item x="1164"/>
        <item x="650"/>
        <item x="838"/>
        <item x="290"/>
        <item x="1278"/>
        <item x="826"/>
        <item x="620"/>
        <item x="817"/>
        <item x="1125"/>
        <item x="702"/>
        <item x="978"/>
        <item x="1183"/>
        <item x="1292"/>
        <item x="1186"/>
        <item x="1537"/>
        <item x="1422"/>
        <item x="1182"/>
        <item x="468"/>
        <item x="615"/>
        <item x="9"/>
        <item x="1029"/>
        <item x="1294"/>
        <item x="1425"/>
        <item x="1552"/>
        <item x="1307"/>
        <item x="1572"/>
        <item x="725"/>
        <item x="793"/>
        <item x="385"/>
        <item x="997"/>
        <item x="628"/>
        <item x="42"/>
        <item x="463"/>
        <item x="1518"/>
        <item x="1017"/>
        <item x="1383"/>
        <item x="301"/>
        <item x="252"/>
        <item x="1493"/>
        <item x="62"/>
        <item x="908"/>
        <item x="996"/>
        <item x="394"/>
        <item x="589"/>
        <item x="1446"/>
        <item x="636"/>
        <item x="1407"/>
        <item x="645"/>
        <item x="576"/>
        <item x="1395"/>
        <item x="1007"/>
        <item x="1497"/>
        <item x="643"/>
        <item x="166"/>
        <item x="1009"/>
        <item x="1556"/>
        <item x="1564"/>
        <item x="1443"/>
        <item x="192"/>
        <item x="1303"/>
        <item x="766"/>
        <item x="102"/>
        <item x="1143"/>
        <item x="1452"/>
        <item x="284"/>
        <item x="1550"/>
        <item x="1562"/>
        <item x="1474"/>
        <item x="58"/>
        <item x="268"/>
        <item x="891"/>
        <item x="1280"/>
        <item x="610"/>
        <item x="516"/>
        <item x="657"/>
        <item x="1158"/>
        <item x="605"/>
        <item x="961"/>
        <item x="789"/>
        <item x="1615"/>
        <item x="920"/>
        <item x="889"/>
        <item x="634"/>
        <item x="266"/>
        <item x="117"/>
        <item x="574"/>
        <item x="1121"/>
        <item x="1008"/>
        <item x="1463"/>
        <item x="274"/>
        <item x="1074"/>
        <item x="1492"/>
        <item x="417"/>
        <item x="415"/>
        <item x="362"/>
        <item x="736"/>
        <item x="340"/>
        <item x="890"/>
        <item x="147"/>
        <item x="1111"/>
        <item x="1187"/>
        <item x="1428"/>
        <item x="922"/>
        <item x="608"/>
        <item x="495"/>
        <item x="1317"/>
        <item x="812"/>
        <item x="568"/>
        <item x="932"/>
        <item x="693"/>
        <item x="406"/>
        <item x="550"/>
        <item t="default"/>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Average of ElectricityBill" fld="11" subtotal="average" baseField="6" baseItem="5"/>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58173D-0F1C-44ED-8170-FEEC81857C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39" firstHeaderRow="1" firstDataRow="1" firstDataCol="1"/>
  <pivotFields count="12">
    <pivotField showAll="0"/>
    <pivotField showAll="0"/>
    <pivotField showAll="0"/>
    <pivotField showAll="0"/>
    <pivotField showAll="0"/>
    <pivotField showAll="0"/>
    <pivotField showAll="0"/>
    <pivotField axis="axisRow" showAll="0">
      <items count="36">
        <item x="26"/>
        <item x="28"/>
        <item x="24"/>
        <item x="33"/>
        <item x="18"/>
        <item x="11"/>
        <item x="12"/>
        <item x="32"/>
        <item x="2"/>
        <item x="22"/>
        <item x="29"/>
        <item x="31"/>
        <item x="25"/>
        <item x="34"/>
        <item x="21"/>
        <item x="30"/>
        <item x="23"/>
        <item x="9"/>
        <item x="17"/>
        <item x="14"/>
        <item x="0"/>
        <item x="1"/>
        <item x="8"/>
        <item x="4"/>
        <item x="13"/>
        <item x="3"/>
        <item x="27"/>
        <item x="15"/>
        <item x="10"/>
        <item x="16"/>
        <item x="6"/>
        <item x="19"/>
        <item x="5"/>
        <item x="20"/>
        <item x="7"/>
        <item t="default"/>
      </items>
    </pivotField>
    <pivotField showAll="0"/>
    <pivotField showAll="0"/>
    <pivotField showAll="0"/>
    <pivotField dataField="1" showAll="0">
      <items count="1646">
        <item x="24"/>
        <item x="666"/>
        <item x="952"/>
        <item x="790"/>
        <item x="1529"/>
        <item x="1549"/>
        <item x="958"/>
        <item x="1525"/>
        <item x="727"/>
        <item x="1149"/>
        <item x="1620"/>
        <item x="57"/>
        <item x="1439"/>
        <item x="1145"/>
        <item x="1169"/>
        <item x="146"/>
        <item x="1119"/>
        <item x="883"/>
        <item x="1189"/>
        <item x="1290"/>
        <item x="815"/>
        <item x="1569"/>
        <item x="771"/>
        <item x="991"/>
        <item x="79"/>
        <item x="1277"/>
        <item x="1260"/>
        <item x="804"/>
        <item x="28"/>
        <item x="53"/>
        <item x="670"/>
        <item x="353"/>
        <item x="154"/>
        <item x="937"/>
        <item x="1575"/>
        <item x="1247"/>
        <item x="1516"/>
        <item x="931"/>
        <item x="718"/>
        <item x="1236"/>
        <item x="484"/>
        <item x="631"/>
        <item x="1024"/>
        <item x="1380"/>
        <item x="189"/>
        <item x="544"/>
        <item x="8"/>
        <item x="580"/>
        <item x="1208"/>
        <item x="562"/>
        <item x="1202"/>
        <item x="424"/>
        <item x="1026"/>
        <item x="1259"/>
        <item x="1165"/>
        <item x="1567"/>
        <item x="1387"/>
        <item x="616"/>
        <item x="320"/>
        <item x="1021"/>
        <item x="373"/>
        <item x="74"/>
        <item x="1087"/>
        <item x="879"/>
        <item x="308"/>
        <item x="674"/>
        <item x="218"/>
        <item x="505"/>
        <item x="659"/>
        <item x="1256"/>
        <item x="802"/>
        <item x="214"/>
        <item x="906"/>
        <item x="526"/>
        <item x="1597"/>
        <item x="695"/>
        <item x="1273"/>
        <item x="184"/>
        <item x="1004"/>
        <item x="421"/>
        <item x="860"/>
        <item x="1155"/>
        <item x="43"/>
        <item x="322"/>
        <item x="97"/>
        <item x="1377"/>
        <item x="857"/>
        <item x="455"/>
        <item x="240"/>
        <item x="1382"/>
        <item x="299"/>
        <item x="354"/>
        <item x="852"/>
        <item x="1036"/>
        <item x="1483"/>
        <item x="66"/>
        <item x="539"/>
        <item x="520"/>
        <item x="698"/>
        <item x="743"/>
        <item x="1611"/>
        <item x="122"/>
        <item x="1375"/>
        <item x="960"/>
        <item x="126"/>
        <item x="1229"/>
        <item x="814"/>
        <item x="560"/>
        <item x="1448"/>
        <item x="1218"/>
        <item x="1257"/>
        <item x="983"/>
        <item x="545"/>
        <item x="775"/>
        <item x="1207"/>
        <item x="1172"/>
        <item x="1398"/>
        <item x="400"/>
        <item x="1124"/>
        <item x="1286"/>
        <item x="1343"/>
        <item x="17"/>
        <item x="609"/>
        <item x="327"/>
        <item x="307"/>
        <item x="951"/>
        <item x="967"/>
        <item x="73"/>
        <item x="1052"/>
        <item x="1488"/>
        <item x="1088"/>
        <item x="1532"/>
        <item x="1390"/>
        <item x="425"/>
        <item x="1522"/>
        <item x="594"/>
        <item x="130"/>
        <item x="1064"/>
        <item x="998"/>
        <item x="260"/>
        <item x="1581"/>
        <item x="1109"/>
        <item x="705"/>
        <item x="1045"/>
        <item x="1120"/>
        <item x="903"/>
        <item x="979"/>
        <item x="262"/>
        <item x="237"/>
        <item x="1438"/>
        <item x="572"/>
        <item x="1275"/>
        <item x="704"/>
        <item x="676"/>
        <item x="14"/>
        <item x="441"/>
        <item x="757"/>
        <item x="22"/>
        <item x="635"/>
        <item x="706"/>
        <item x="927"/>
        <item x="936"/>
        <item x="196"/>
        <item x="1589"/>
        <item x="769"/>
        <item x="1265"/>
        <item x="418"/>
        <item x="1047"/>
        <item x="1520"/>
        <item x="461"/>
        <item x="1536"/>
        <item x="884"/>
        <item x="870"/>
        <item x="508"/>
        <item x="84"/>
        <item x="442"/>
        <item x="1608"/>
        <item x="566"/>
        <item x="885"/>
        <item x="1028"/>
        <item x="1437"/>
        <item x="798"/>
        <item x="527"/>
        <item x="319"/>
        <item x="993"/>
        <item x="654"/>
        <item x="438"/>
        <item x="1331"/>
        <item x="396"/>
        <item x="764"/>
        <item x="528"/>
        <item x="167"/>
        <item x="1622"/>
        <item x="1571"/>
        <item x="230"/>
        <item x="1065"/>
        <item x="65"/>
        <item x="1368"/>
        <item x="1393"/>
        <item x="92"/>
        <item x="1148"/>
        <item x="649"/>
        <item x="746"/>
        <item x="280"/>
        <item x="377"/>
        <item x="1554"/>
        <item x="304"/>
        <item x="1602"/>
        <item x="1502"/>
        <item x="416"/>
        <item x="1401"/>
        <item x="1114"/>
        <item x="1251"/>
        <item x="149"/>
        <item x="5"/>
        <item x="1394"/>
        <item x="413"/>
        <item x="1323"/>
        <item x="1231"/>
        <item x="871"/>
        <item x="20"/>
        <item x="1461"/>
        <item x="1144"/>
        <item x="1436"/>
        <item x="1235"/>
        <item x="1570"/>
        <item x="1503"/>
        <item x="119"/>
        <item x="842"/>
        <item x="456"/>
        <item x="489"/>
        <item x="210"/>
        <item x="180"/>
        <item x="444"/>
        <item x="204"/>
        <item x="487"/>
        <item x="1137"/>
        <item x="134"/>
        <item x="123"/>
        <item x="151"/>
        <item x="1221"/>
        <item x="697"/>
        <item x="778"/>
        <item x="756"/>
        <item x="1077"/>
        <item x="1016"/>
        <item x="642"/>
        <item x="1108"/>
        <item x="688"/>
        <item x="1453"/>
        <item x="429"/>
        <item x="1577"/>
        <item x="12"/>
        <item x="288"/>
        <item x="1456"/>
        <item x="434"/>
        <item x="1011"/>
        <item x="467"/>
        <item x="536"/>
        <item x="954"/>
        <item x="532"/>
        <item x="1587"/>
        <item x="835"/>
        <item x="858"/>
        <item x="1197"/>
        <item x="974"/>
        <item x="178"/>
        <item x="622"/>
        <item x="473"/>
        <item x="745"/>
        <item x="830"/>
        <item x="1099"/>
        <item x="502"/>
        <item x="799"/>
        <item x="1054"/>
        <item x="716"/>
        <item x="522"/>
        <item x="1178"/>
        <item x="1167"/>
        <item x="1460"/>
        <item x="1179"/>
        <item x="83"/>
        <item x="517"/>
        <item x="1451"/>
        <item x="733"/>
        <item x="944"/>
        <item x="548"/>
        <item x="973"/>
        <item x="1118"/>
        <item x="1287"/>
        <item x="1041"/>
        <item x="965"/>
        <item x="1200"/>
        <item x="1042"/>
        <item x="1301"/>
        <item x="1066"/>
        <item x="1454"/>
        <item x="231"/>
        <item x="198"/>
        <item x="579"/>
        <item x="1103"/>
        <item x="1131"/>
        <item x="1150"/>
        <item x="1592"/>
        <item x="964"/>
        <item x="1000"/>
        <item x="1486"/>
        <item x="525"/>
        <item x="1302"/>
        <item x="82"/>
        <item x="1472"/>
        <item x="1468"/>
        <item x="257"/>
        <item x="1515"/>
        <item x="563"/>
        <item x="1346"/>
        <item x="1418"/>
        <item x="662"/>
        <item x="874"/>
        <item x="1470"/>
        <item x="452"/>
        <item x="850"/>
        <item x="899"/>
        <item x="831"/>
        <item x="203"/>
        <item x="96"/>
        <item x="367"/>
        <item x="382"/>
        <item x="1078"/>
        <item x="76"/>
        <item x="1526"/>
        <item x="692"/>
        <item x="54"/>
        <item x="1122"/>
        <item x="328"/>
        <item x="106"/>
        <item x="1094"/>
        <item x="466"/>
        <item x="1006"/>
        <item x="1506"/>
        <item x="1366"/>
        <item x="40"/>
        <item x="176"/>
        <item x="588"/>
        <item x="753"/>
        <item x="3"/>
        <item x="334"/>
        <item x="519"/>
        <item x="493"/>
        <item x="767"/>
        <item x="1541"/>
        <item x="530"/>
        <item x="1356"/>
        <item x="770"/>
        <item x="1192"/>
        <item x="687"/>
        <item x="747"/>
        <item x="283"/>
        <item x="1578"/>
        <item x="85"/>
        <item x="1610"/>
        <item x="1504"/>
        <item x="148"/>
        <item x="88"/>
        <item x="261"/>
        <item x="1057"/>
        <item x="277"/>
        <item x="598"/>
        <item x="1304"/>
        <item x="877"/>
        <item x="1344"/>
        <item x="917"/>
        <item x="939"/>
        <item x="1291"/>
        <item x="681"/>
        <item x="1216"/>
        <item x="680"/>
        <item x="726"/>
        <item x="393"/>
        <item x="1063"/>
        <item x="1196"/>
        <item x="39"/>
        <item x="1362"/>
        <item x="90"/>
        <item x="761"/>
        <item x="590"/>
        <item x="1632"/>
        <item x="1071"/>
        <item x="365"/>
        <item x="1566"/>
        <item x="1386"/>
        <item x="314"/>
        <item x="175"/>
        <item x="281"/>
        <item x="1490"/>
        <item x="1534"/>
        <item x="1480"/>
        <item x="673"/>
        <item x="1478"/>
        <item x="1477"/>
        <item x="1630"/>
        <item x="474"/>
        <item x="755"/>
        <item x="672"/>
        <item x="823"/>
        <item x="331"/>
        <item x="1359"/>
        <item x="717"/>
        <item x="67"/>
        <item x="38"/>
        <item x="443"/>
        <item x="159"/>
        <item x="892"/>
        <item x="428"/>
        <item x="1032"/>
        <item x="949"/>
        <item x="901"/>
        <item x="449"/>
        <item x="1595"/>
        <item x="1018"/>
        <item x="1374"/>
        <item x="356"/>
        <item x="829"/>
        <item x="786"/>
        <item x="607"/>
        <item x="1262"/>
        <item x="913"/>
        <item x="848"/>
        <item x="150"/>
        <item x="708"/>
        <item x="691"/>
        <item x="735"/>
        <item x="239"/>
        <item x="1582"/>
        <item x="1584"/>
        <item x="1067"/>
        <item x="99"/>
        <item x="1070"/>
        <item x="535"/>
        <item x="1540"/>
        <item x="1642"/>
        <item x="188"/>
        <item x="1413"/>
        <item x="1441"/>
        <item x="972"/>
        <item x="867"/>
        <item x="200"/>
        <item x="129"/>
        <item x="556"/>
        <item x="1056"/>
        <item x="614"/>
        <item x="110"/>
        <item x="481"/>
        <item x="1195"/>
        <item x="1106"/>
        <item x="477"/>
        <item x="1325"/>
        <item x="131"/>
        <item x="414"/>
        <item x="1638"/>
        <item x="337"/>
        <item x="923"/>
        <item x="1352"/>
        <item x="660"/>
        <item x="1084"/>
        <item x="918"/>
        <item x="1365"/>
        <item x="1190"/>
        <item x="1580"/>
        <item x="1062"/>
        <item x="1060"/>
        <item x="942"/>
        <item x="1266"/>
        <item x="1573"/>
        <item x="1098"/>
        <item x="371"/>
        <item x="1233"/>
        <item x="1013"/>
        <item x="1174"/>
        <item x="1444"/>
        <item x="436"/>
        <item x="1547"/>
        <item x="1440"/>
        <item x="571"/>
        <item x="169"/>
        <item x="1639"/>
        <item x="352"/>
        <item x="78"/>
        <item x="80"/>
        <item x="1641"/>
        <item x="1508"/>
        <item x="1545"/>
        <item x="1555"/>
        <item x="1424"/>
        <item x="665"/>
        <item x="1134"/>
        <item x="317"/>
        <item x="0"/>
        <item x="732"/>
        <item x="1426"/>
        <item x="1316"/>
        <item x="46"/>
        <item x="316"/>
        <item x="561"/>
        <item x="773"/>
        <item x="737"/>
        <item x="818"/>
        <item x="21"/>
        <item x="243"/>
        <item x="311"/>
        <item x="984"/>
        <item x="241"/>
        <item x="1215"/>
        <item x="1643"/>
        <item x="439"/>
        <item x="1213"/>
        <item x="1104"/>
        <item x="276"/>
        <item x="1146"/>
        <item x="212"/>
        <item x="843"/>
        <item x="721"/>
        <item x="599"/>
        <item x="1328"/>
        <item x="678"/>
        <item x="245"/>
        <item x="1405"/>
        <item x="1411"/>
        <item x="136"/>
        <item x="208"/>
        <item x="250"/>
        <item x="655"/>
        <item x="709"/>
        <item x="694"/>
        <item x="294"/>
        <item x="341"/>
        <item x="34"/>
        <item x="1081"/>
        <item x="1358"/>
        <item x="801"/>
        <item x="623"/>
        <item x="1469"/>
        <item x="664"/>
        <item x="1308"/>
        <item x="1248"/>
        <item x="976"/>
        <item x="1113"/>
        <item x="233"/>
        <item x="513"/>
        <item x="1239"/>
        <item x="158"/>
        <item x="1059"/>
        <item x="981"/>
        <item x="719"/>
        <item x="273"/>
        <item x="1020"/>
        <item x="236"/>
        <item x="765"/>
        <item x="1038"/>
        <item x="469"/>
        <item x="1404"/>
        <item x="207"/>
        <item x="1031"/>
        <item x="987"/>
        <item x="479"/>
        <item x="1314"/>
        <item x="1544"/>
        <item x="585"/>
        <item x="451"/>
        <item x="739"/>
        <item x="647"/>
        <item x="806"/>
        <item x="225"/>
        <item x="1058"/>
        <item x="811"/>
        <item x="300"/>
        <item x="325"/>
        <item x="1619"/>
        <item x="359"/>
        <item x="553"/>
        <item x="776"/>
        <item x="788"/>
        <item x="1258"/>
        <item x="1379"/>
        <item x="584"/>
        <item x="1141"/>
        <item x="249"/>
        <item x="498"/>
        <item x="282"/>
        <item x="93"/>
        <item x="107"/>
        <item x="875"/>
        <item x="962"/>
        <item x="326"/>
        <item x="45"/>
        <item x="460"/>
        <item x="882"/>
        <item x="1010"/>
        <item x="174"/>
        <item x="1015"/>
        <item x="855"/>
        <item x="1295"/>
        <item x="1050"/>
        <item x="1531"/>
        <item x="309"/>
        <item x="624"/>
        <item x="734"/>
        <item x="116"/>
        <item x="36"/>
        <item x="902"/>
        <item x="1033"/>
        <item x="1160"/>
        <item x="813"/>
        <item x="160"/>
        <item x="1605"/>
        <item x="1500"/>
        <item x="223"/>
        <item x="1445"/>
        <item x="366"/>
        <item x="431"/>
        <item x="59"/>
        <item x="748"/>
        <item x="1568"/>
        <item x="1243"/>
        <item x="397"/>
        <item x="869"/>
        <item x="941"/>
        <item x="153"/>
        <item x="1227"/>
        <item x="738"/>
        <item x="685"/>
        <item x="381"/>
        <item x="228"/>
        <item x="1210"/>
        <item x="1305"/>
        <item x="1282"/>
        <item x="72"/>
        <item x="791"/>
        <item x="27"/>
        <item x="859"/>
        <item x="1487"/>
        <item x="447"/>
        <item x="1625"/>
        <item x="232"/>
        <item x="384"/>
        <item x="671"/>
        <item x="982"/>
        <item x="1270"/>
        <item x="1080"/>
        <item x="1318"/>
        <item x="832"/>
        <item x="1117"/>
        <item x="19"/>
        <item x="703"/>
        <item x="668"/>
        <item x="1473"/>
        <item x="796"/>
        <item x="679"/>
        <item x="376"/>
        <item x="658"/>
        <item x="156"/>
        <item x="1429"/>
        <item x="990"/>
        <item x="398"/>
        <item x="759"/>
        <item x="31"/>
        <item x="1022"/>
        <item x="1152"/>
        <item x="558"/>
        <item x="696"/>
        <item x="740"/>
        <item x="946"/>
        <item x="1319"/>
        <item x="896"/>
        <item x="133"/>
        <item x="321"/>
        <item x="457"/>
        <item x="1563"/>
        <item x="849"/>
        <item x="1511"/>
        <item x="862"/>
        <item x="1464"/>
        <item x="1309"/>
        <item x="1044"/>
        <item x="61"/>
        <item x="1609"/>
        <item x="1322"/>
        <item x="621"/>
        <item x="583"/>
        <item x="98"/>
        <item x="1528"/>
        <item x="728"/>
        <item x="113"/>
        <item x="864"/>
        <item x="779"/>
        <item x="1538"/>
        <item x="348"/>
        <item x="1476"/>
        <item x="1596"/>
        <item x="405"/>
        <item x="1427"/>
        <item x="1014"/>
        <item x="1442"/>
        <item x="246"/>
        <item x="1039"/>
        <item x="807"/>
        <item x="881"/>
        <item x="751"/>
        <item x="805"/>
        <item x="211"/>
        <item x="1561"/>
        <item x="1361"/>
        <item x="863"/>
        <item x="707"/>
        <item x="1599"/>
        <item x="1048"/>
        <item x="1053"/>
        <item x="1140"/>
        <item x="1345"/>
        <item x="554"/>
        <item x="1193"/>
        <item x="420"/>
        <item x="512"/>
        <item x="1249"/>
        <item x="1139"/>
        <item x="963"/>
        <item x="464"/>
        <item x="1306"/>
        <item x="1421"/>
        <item x="971"/>
        <item x="220"/>
        <item x="1449"/>
        <item x="1465"/>
        <item x="1285"/>
        <item x="1002"/>
        <item x="401"/>
        <item x="966"/>
        <item x="458"/>
        <item x="1403"/>
        <item x="205"/>
        <item x="1214"/>
        <item x="1471"/>
        <item x="315"/>
        <item x="478"/>
        <item x="873"/>
        <item x="1228"/>
        <item x="1320"/>
        <item x="480"/>
        <item x="201"/>
        <item x="30"/>
        <item x="808"/>
        <item x="182"/>
        <item x="1593"/>
        <item x="803"/>
        <item x="921"/>
        <item x="945"/>
        <item x="1135"/>
        <item x="836"/>
        <item x="503"/>
        <item x="1092"/>
        <item x="600"/>
        <item x="226"/>
        <item x="956"/>
        <item x="1521"/>
        <item x="120"/>
        <item x="295"/>
        <item x="1297"/>
        <item x="302"/>
        <item x="1338"/>
        <item x="587"/>
        <item x="947"/>
        <item x="1399"/>
        <item x="646"/>
        <item x="1414"/>
        <item x="292"/>
        <item x="633"/>
        <item x="648"/>
        <item x="926"/>
        <item x="821"/>
        <item x="720"/>
        <item x="940"/>
        <item x="1385"/>
        <item x="1559"/>
        <item x="219"/>
        <item x="1129"/>
        <item x="851"/>
        <item x="47"/>
        <item x="839"/>
        <item x="1142"/>
        <item x="1040"/>
        <item x="741"/>
        <item x="183"/>
        <item x="423"/>
        <item x="601"/>
        <item x="1450"/>
        <item x="1043"/>
        <item x="795"/>
        <item x="269"/>
        <item x="1591"/>
        <item x="258"/>
        <item x="1603"/>
        <item x="1254"/>
        <item x="13"/>
        <item x="187"/>
        <item x="139"/>
        <item x="114"/>
        <item x="18"/>
        <item x="504"/>
        <item x="1409"/>
        <item x="909"/>
        <item x="35"/>
        <item x="1481"/>
        <item x="1217"/>
        <item x="985"/>
        <item x="1157"/>
        <item x="752"/>
        <item x="617"/>
        <item x="100"/>
        <item x="217"/>
        <item x="60"/>
        <item x="1230"/>
        <item x="1600"/>
        <item x="1372"/>
        <item x="744"/>
        <item x="750"/>
        <item x="603"/>
        <item x="1628"/>
        <item x="433"/>
        <item x="1030"/>
        <item x="1586"/>
        <item x="363"/>
        <item x="1337"/>
        <item x="690"/>
        <item x="333"/>
        <item x="1276"/>
        <item x="1349"/>
        <item x="712"/>
        <item x="390"/>
        <item x="1614"/>
        <item x="787"/>
        <item x="44"/>
        <item x="1001"/>
        <item x="1288"/>
        <item x="699"/>
        <item x="846"/>
        <item x="145"/>
        <item x="564"/>
        <item x="1097"/>
        <item x="1086"/>
        <item x="372"/>
        <item x="155"/>
        <item x="1241"/>
        <item x="868"/>
        <item x="953"/>
        <item x="336"/>
        <item x="1116"/>
        <item x="611"/>
        <item x="710"/>
        <item x="471"/>
        <item x="943"/>
        <item x="1"/>
        <item x="426"/>
        <item x="248"/>
        <item x="1082"/>
        <item x="445"/>
        <item x="104"/>
        <item x="383"/>
        <item x="86"/>
        <item x="888"/>
        <item x="1332"/>
        <item x="651"/>
        <item x="914"/>
        <item x="32"/>
        <item x="1128"/>
        <item x="392"/>
        <item x="1576"/>
        <item x="380"/>
        <item x="296"/>
        <item x="1524"/>
        <item x="663"/>
        <item x="894"/>
        <item x="604"/>
        <item x="950"/>
        <item x="1069"/>
        <item x="1293"/>
        <item x="577"/>
        <item x="1351"/>
        <item x="1310"/>
        <item x="714"/>
        <item x="221"/>
        <item x="501"/>
        <item x="1585"/>
        <item x="1336"/>
        <item x="723"/>
        <item x="395"/>
        <item x="904"/>
        <item x="94"/>
        <item x="1095"/>
        <item x="472"/>
        <item x="52"/>
        <item x="638"/>
        <item x="762"/>
        <item x="1479"/>
        <item x="1633"/>
        <item x="794"/>
        <item x="1329"/>
        <item x="754"/>
        <item x="547"/>
        <item x="809"/>
        <item x="827"/>
        <item x="1246"/>
        <item x="238"/>
        <item x="267"/>
        <item x="361"/>
        <item x="407"/>
        <item x="537"/>
        <item x="928"/>
        <item x="1163"/>
        <item x="640"/>
        <item x="606"/>
        <item x="2"/>
        <item x="541"/>
        <item x="1110"/>
        <item x="234"/>
        <item x="197"/>
        <item x="1494"/>
        <item x="278"/>
        <item x="1499"/>
        <item x="837"/>
        <item x="1618"/>
        <item x="632"/>
        <item x="358"/>
        <item x="1159"/>
        <item x="1360"/>
        <item x="824"/>
        <item x="224"/>
        <item x="435"/>
        <item x="279"/>
        <item x="1378"/>
        <item x="1034"/>
        <item x="669"/>
        <item x="1462"/>
        <item x="782"/>
        <item x="306"/>
        <item x="289"/>
        <item x="1075"/>
        <item x="128"/>
        <item x="1115"/>
        <item x="1557"/>
        <item x="15"/>
        <item x="64"/>
        <item x="285"/>
        <item x="1519"/>
        <item x="1416"/>
        <item x="109"/>
        <item x="360"/>
        <item x="1510"/>
        <item x="1199"/>
        <item x="1326"/>
        <item x="582"/>
        <item x="195"/>
        <item x="465"/>
        <item x="898"/>
        <item x="1617"/>
        <item x="731"/>
        <item x="152"/>
        <item x="1219"/>
        <item x="919"/>
        <item x="524"/>
        <item x="742"/>
        <item x="1627"/>
        <item x="1634"/>
        <item x="1400"/>
        <item x="1089"/>
        <item x="227"/>
        <item x="143"/>
        <item x="1517"/>
        <item x="138"/>
        <item x="482"/>
        <item x="653"/>
        <item x="1153"/>
        <item x="51"/>
        <item x="1640"/>
        <item x="1606"/>
        <item x="957"/>
        <item x="1406"/>
        <item x="287"/>
        <item x="910"/>
        <item x="682"/>
        <item x="404"/>
        <item x="1252"/>
        <item x="1025"/>
        <item x="77"/>
        <item x="845"/>
        <item x="275"/>
        <item x="446"/>
        <item x="1551"/>
        <item x="177"/>
        <item x="625"/>
        <item x="41"/>
        <item x="255"/>
        <item x="1096"/>
        <item x="411"/>
        <item x="462"/>
        <item x="1090"/>
        <item x="347"/>
        <item x="854"/>
        <item x="1579"/>
        <item x="63"/>
        <item x="1542"/>
        <item x="1410"/>
        <item x="1496"/>
        <item x="1073"/>
        <item x="1289"/>
        <item x="841"/>
        <item x="1624"/>
        <item x="488"/>
        <item x="11"/>
        <item x="1051"/>
        <item x="630"/>
        <item x="349"/>
        <item x="1151"/>
        <item x="774"/>
        <item x="391"/>
        <item x="955"/>
        <item x="55"/>
        <item x="715"/>
        <item x="89"/>
        <item x="369"/>
        <item x="1191"/>
        <item x="1296"/>
        <item x="1171"/>
        <item x="915"/>
        <item x="540"/>
        <item x="1261"/>
        <item x="1590"/>
        <item x="758"/>
        <item x="1315"/>
        <item x="1363"/>
        <item x="1369"/>
        <item x="1225"/>
        <item x="1161"/>
        <item x="430"/>
        <item x="368"/>
        <item x="402"/>
        <item x="1391"/>
        <item x="1079"/>
        <item x="171"/>
        <item x="1342"/>
        <item x="1268"/>
        <item x="1485"/>
        <item x="575"/>
        <item x="1530"/>
        <item x="71"/>
        <item x="242"/>
        <item x="999"/>
        <item x="641"/>
        <item x="1327"/>
        <item x="510"/>
        <item x="1055"/>
        <item x="124"/>
        <item x="342"/>
        <item x="689"/>
        <item x="335"/>
        <item x="1507"/>
        <item x="1107"/>
        <item x="105"/>
        <item x="1130"/>
        <item x="912"/>
        <item x="164"/>
        <item x="627"/>
        <item x="193"/>
        <item x="1173"/>
        <item x="270"/>
        <item x="1209"/>
        <item x="644"/>
        <item x="1467"/>
        <item x="878"/>
        <item x="497"/>
        <item x="437"/>
        <item x="1019"/>
        <item x="264"/>
        <item x="930"/>
        <item x="887"/>
        <item x="332"/>
        <item x="1388"/>
        <item x="667"/>
        <item x="1367"/>
        <item x="777"/>
        <item x="1330"/>
        <item x="1435"/>
        <item x="1162"/>
        <item x="1354"/>
        <item x="1539"/>
        <item x="1127"/>
        <item x="1392"/>
        <item x="1255"/>
        <item x="1269"/>
        <item x="121"/>
        <item x="1170"/>
        <item x="386"/>
        <item x="819"/>
        <item x="375"/>
        <item x="1300"/>
        <item x="1423"/>
        <item x="1514"/>
        <item x="1324"/>
        <item x="492"/>
        <item x="388"/>
        <item x="298"/>
        <item x="103"/>
        <item x="324"/>
        <item x="459"/>
        <item x="1376"/>
        <item x="1234"/>
        <item x="1181"/>
        <item x="179"/>
        <item x="355"/>
        <item x="1489"/>
        <item x="1340"/>
        <item x="613"/>
        <item x="1607"/>
        <item x="1133"/>
        <item x="440"/>
        <item x="1635"/>
        <item x="1212"/>
        <item x="1253"/>
        <item x="1553"/>
        <item x="108"/>
        <item x="70"/>
        <item x="1598"/>
        <item x="865"/>
        <item x="1283"/>
        <item x="1175"/>
        <item x="256"/>
        <item x="935"/>
        <item x="701"/>
        <item x="722"/>
        <item x="538"/>
        <item x="897"/>
        <item x="26"/>
        <item x="343"/>
        <item x="1636"/>
        <item x="1220"/>
        <item x="1166"/>
        <item x="619"/>
        <item x="880"/>
        <item x="847"/>
        <item x="1263"/>
        <item x="1023"/>
        <item x="470"/>
        <item x="101"/>
        <item x="1523"/>
        <item x="351"/>
        <item x="542"/>
        <item x="144"/>
        <item x="549"/>
        <item x="1101"/>
        <item x="876"/>
        <item x="293"/>
        <item x="1211"/>
        <item x="427"/>
        <item x="1613"/>
        <item x="612"/>
        <item x="810"/>
        <item x="543"/>
        <item x="364"/>
        <item x="763"/>
        <item x="329"/>
        <item x="1123"/>
        <item x="161"/>
        <item x="686"/>
        <item x="318"/>
        <item x="1156"/>
        <item x="1100"/>
        <item x="994"/>
        <item x="254"/>
        <item x="483"/>
        <item x="112"/>
        <item x="1093"/>
        <item x="895"/>
        <item x="263"/>
        <item x="637"/>
        <item x="591"/>
        <item x="834"/>
        <item x="675"/>
        <item x="551"/>
        <item x="199"/>
        <item x="1430"/>
        <item x="780"/>
        <item x="1370"/>
        <item x="970"/>
        <item x="4"/>
        <item x="194"/>
        <item x="1105"/>
        <item x="1412"/>
        <item x="409"/>
        <item x="291"/>
        <item x="639"/>
        <item x="593"/>
        <item x="948"/>
        <item x="700"/>
        <item x="713"/>
        <item x="1184"/>
        <item x="1389"/>
        <item x="1588"/>
        <item x="1126"/>
        <item x="529"/>
        <item x="1459"/>
        <item x="1005"/>
        <item x="69"/>
        <item x="50"/>
        <item x="29"/>
        <item x="7"/>
        <item x="1402"/>
        <item x="1546"/>
        <item x="533"/>
        <item x="450"/>
        <item x="118"/>
        <item x="1138"/>
        <item x="509"/>
        <item x="1037"/>
        <item x="992"/>
        <item x="602"/>
        <item x="1447"/>
        <item x="190"/>
        <item x="1513"/>
        <item x="820"/>
        <item x="1313"/>
        <item x="565"/>
        <item x="569"/>
        <item x="419"/>
        <item x="518"/>
        <item x="578"/>
        <item x="491"/>
        <item x="800"/>
        <item x="1240"/>
        <item x="977"/>
        <item x="1198"/>
        <item x="141"/>
        <item x="403"/>
        <item x="1475"/>
        <item x="511"/>
        <item x="531"/>
        <item x="165"/>
        <item x="853"/>
        <item x="168"/>
        <item x="1623"/>
        <item x="1612"/>
        <item x="170"/>
        <item x="521"/>
        <item x="1431"/>
        <item x="1604"/>
        <item x="346"/>
        <item x="1242"/>
        <item x="330"/>
        <item x="592"/>
        <item x="749"/>
        <item x="1223"/>
        <item x="374"/>
        <item x="1364"/>
        <item x="1626"/>
        <item x="1177"/>
        <item x="1420"/>
        <item x="1384"/>
        <item x="1621"/>
        <item x="215"/>
        <item x="886"/>
        <item x="1299"/>
        <item x="1132"/>
        <item x="206"/>
        <item x="91"/>
        <item x="980"/>
        <item x="1271"/>
        <item x="1408"/>
        <item x="661"/>
        <item x="1046"/>
        <item x="1250"/>
        <item x="1341"/>
        <item x="760"/>
        <item x="797"/>
        <item x="1279"/>
        <item x="1482"/>
        <item x="453"/>
        <item x="357"/>
        <item x="1631"/>
        <item x="1205"/>
        <item x="475"/>
        <item x="1072"/>
        <item x="1136"/>
        <item x="338"/>
        <item x="507"/>
        <item x="656"/>
        <item x="586"/>
        <item x="968"/>
        <item x="534"/>
        <item x="75"/>
        <item x="350"/>
        <item x="127"/>
        <item x="1594"/>
        <item x="1245"/>
        <item x="1298"/>
        <item x="929"/>
        <item x="1049"/>
        <item x="822"/>
        <item x="1509"/>
        <item x="596"/>
        <item x="399"/>
        <item x="185"/>
        <item x="1347"/>
        <item x="573"/>
        <item x="448"/>
        <item x="23"/>
        <item x="618"/>
        <item x="1565"/>
        <item x="1637"/>
        <item x="1350"/>
        <item x="1267"/>
        <item x="581"/>
        <item x="969"/>
        <item x="387"/>
        <item x="515"/>
        <item x="514"/>
        <item x="1091"/>
        <item x="1527"/>
        <item x="1180"/>
        <item x="33"/>
        <item x="125"/>
        <item x="222"/>
        <item x="1274"/>
        <item x="500"/>
        <item x="772"/>
        <item x="135"/>
        <item x="1601"/>
        <item x="162"/>
        <item x="1085"/>
        <item x="1498"/>
        <item x="216"/>
        <item x="1224"/>
        <item x="784"/>
        <item x="684"/>
        <item x="410"/>
        <item x="1204"/>
        <item x="1583"/>
        <item x="253"/>
        <item x="1353"/>
        <item x="557"/>
        <item x="229"/>
        <item x="1457"/>
        <item x="172"/>
        <item x="1373"/>
        <item x="305"/>
        <item x="900"/>
        <item x="1272"/>
        <item x="1543"/>
        <item x="286"/>
        <item x="729"/>
        <item x="924"/>
        <item x="828"/>
        <item x="1027"/>
        <item x="1238"/>
        <item x="209"/>
        <item x="1076"/>
        <item x="344"/>
        <item x="938"/>
        <item x="1355"/>
        <item x="173"/>
        <item x="907"/>
        <item x="1188"/>
        <item x="313"/>
        <item x="570"/>
        <item x="1203"/>
        <item x="251"/>
        <item x="259"/>
        <item x="595"/>
        <item x="872"/>
        <item x="454"/>
        <item x="1281"/>
        <item x="1548"/>
        <item x="1335"/>
        <item x="1371"/>
        <item x="339"/>
        <item x="1176"/>
        <item x="494"/>
        <item x="1616"/>
        <item x="959"/>
        <item x="1321"/>
        <item x="1112"/>
        <item x="56"/>
        <item x="785"/>
        <item x="559"/>
        <item x="730"/>
        <item x="1495"/>
        <item x="1083"/>
        <item x="1644"/>
        <item x="181"/>
        <item x="68"/>
        <item x="496"/>
        <item x="1533"/>
        <item x="303"/>
        <item x="432"/>
        <item x="1466"/>
        <item x="933"/>
        <item x="1232"/>
        <item x="783"/>
        <item x="1003"/>
        <item x="115"/>
        <item x="629"/>
        <item x="1339"/>
        <item x="597"/>
        <item x="1501"/>
        <item x="652"/>
        <item x="95"/>
        <item x="244"/>
        <item x="191"/>
        <item x="925"/>
        <item x="1455"/>
        <item x="683"/>
        <item x="202"/>
        <item x="1061"/>
        <item x="567"/>
        <item x="1185"/>
        <item x="10"/>
        <item x="490"/>
        <item x="16"/>
        <item x="265"/>
        <item x="844"/>
        <item x="1458"/>
        <item x="911"/>
        <item x="781"/>
        <item x="499"/>
        <item x="768"/>
        <item x="1396"/>
        <item x="825"/>
        <item x="1348"/>
        <item x="1415"/>
        <item x="247"/>
        <item x="833"/>
        <item x="186"/>
        <item x="552"/>
        <item x="272"/>
        <item x="1434"/>
        <item x="81"/>
        <item x="905"/>
        <item x="1397"/>
        <item x="111"/>
        <item x="1194"/>
        <item x="1433"/>
        <item x="975"/>
        <item x="1417"/>
        <item x="916"/>
        <item x="1311"/>
        <item x="866"/>
        <item x="48"/>
        <item x="1312"/>
        <item x="163"/>
        <item x="142"/>
        <item x="132"/>
        <item x="840"/>
        <item x="1284"/>
        <item x="1574"/>
        <item x="271"/>
        <item x="1334"/>
        <item x="1381"/>
        <item x="1154"/>
        <item x="485"/>
        <item x="323"/>
        <item x="345"/>
        <item x="1558"/>
        <item x="816"/>
        <item x="1206"/>
        <item x="378"/>
        <item x="140"/>
        <item x="1068"/>
        <item x="893"/>
        <item x="989"/>
        <item x="379"/>
        <item x="523"/>
        <item x="1505"/>
        <item x="506"/>
        <item x="724"/>
        <item x="1147"/>
        <item x="25"/>
        <item x="422"/>
        <item x="1168"/>
        <item x="988"/>
        <item x="1226"/>
        <item x="412"/>
        <item x="1629"/>
        <item x="1357"/>
        <item x="986"/>
        <item x="213"/>
        <item x="1102"/>
        <item x="1237"/>
        <item x="856"/>
        <item x="1201"/>
        <item x="137"/>
        <item x="1012"/>
        <item x="1491"/>
        <item x="157"/>
        <item x="1419"/>
        <item x="1333"/>
        <item x="934"/>
        <item x="370"/>
        <item x="1560"/>
        <item x="235"/>
        <item x="486"/>
        <item x="861"/>
        <item x="6"/>
        <item x="87"/>
        <item x="1535"/>
        <item x="389"/>
        <item x="476"/>
        <item x="1432"/>
        <item x="310"/>
        <item x="312"/>
        <item x="37"/>
        <item x="1484"/>
        <item x="49"/>
        <item x="626"/>
        <item x="297"/>
        <item x="1222"/>
        <item x="1512"/>
        <item x="546"/>
        <item x="677"/>
        <item x="408"/>
        <item x="995"/>
        <item x="1035"/>
        <item x="711"/>
        <item x="792"/>
        <item x="1264"/>
        <item x="555"/>
        <item x="1244"/>
        <item x="1164"/>
        <item x="650"/>
        <item x="838"/>
        <item x="290"/>
        <item x="1278"/>
        <item x="826"/>
        <item x="620"/>
        <item x="817"/>
        <item x="1125"/>
        <item x="702"/>
        <item x="978"/>
        <item x="1183"/>
        <item x="1292"/>
        <item x="1186"/>
        <item x="1537"/>
        <item x="1422"/>
        <item x="1182"/>
        <item x="468"/>
        <item x="615"/>
        <item x="9"/>
        <item x="1029"/>
        <item x="1294"/>
        <item x="1425"/>
        <item x="1552"/>
        <item x="1307"/>
        <item x="1572"/>
        <item x="725"/>
        <item x="793"/>
        <item x="385"/>
        <item x="997"/>
        <item x="628"/>
        <item x="42"/>
        <item x="463"/>
        <item x="1518"/>
        <item x="1017"/>
        <item x="1383"/>
        <item x="301"/>
        <item x="252"/>
        <item x="1493"/>
        <item x="62"/>
        <item x="908"/>
        <item x="996"/>
        <item x="394"/>
        <item x="589"/>
        <item x="1446"/>
        <item x="636"/>
        <item x="1407"/>
        <item x="645"/>
        <item x="576"/>
        <item x="1395"/>
        <item x="1007"/>
        <item x="1497"/>
        <item x="643"/>
        <item x="166"/>
        <item x="1009"/>
        <item x="1556"/>
        <item x="1564"/>
        <item x="1443"/>
        <item x="192"/>
        <item x="1303"/>
        <item x="766"/>
        <item x="102"/>
        <item x="1143"/>
        <item x="1452"/>
        <item x="284"/>
        <item x="1550"/>
        <item x="1562"/>
        <item x="1474"/>
        <item x="58"/>
        <item x="268"/>
        <item x="891"/>
        <item x="1280"/>
        <item x="610"/>
        <item x="516"/>
        <item x="657"/>
        <item x="1158"/>
        <item x="605"/>
        <item x="961"/>
        <item x="789"/>
        <item x="1615"/>
        <item x="920"/>
        <item x="889"/>
        <item x="634"/>
        <item x="266"/>
        <item x="117"/>
        <item x="574"/>
        <item x="1121"/>
        <item x="1008"/>
        <item x="1463"/>
        <item x="274"/>
        <item x="1074"/>
        <item x="1492"/>
        <item x="417"/>
        <item x="415"/>
        <item x="362"/>
        <item x="736"/>
        <item x="340"/>
        <item x="890"/>
        <item x="147"/>
        <item x="1111"/>
        <item x="1187"/>
        <item x="1428"/>
        <item x="922"/>
        <item x="608"/>
        <item x="495"/>
        <item x="1317"/>
        <item x="812"/>
        <item x="568"/>
        <item x="932"/>
        <item x="693"/>
        <item x="406"/>
        <item x="550"/>
        <item t="default"/>
      </items>
    </pivotField>
  </pivotFields>
  <rowFields count="1">
    <field x="7"/>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ElectricityBill" fld="11" subtotal="average" baseField="7"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15574D94-DB07-4B6C-94F8-AB3BE227AF97}" sourceName="Company">
  <pivotTables>
    <pivotTable tabId="14" name="PivotTable9"/>
  </pivotTables>
  <data>
    <tabular pivotCacheId="118228378">
      <items count="35">
        <i x="28" s="1"/>
        <i x="29" s="1"/>
        <i x="8" s="1"/>
        <i x="31" s="1"/>
        <i x="23" s="1"/>
        <i x="21" s="1"/>
        <i x="10" s="1"/>
        <i x="14" s="1"/>
        <i x="9" s="1"/>
        <i x="26" s="1"/>
        <i x="1" s="1"/>
        <i x="15" s="1"/>
        <i x="0" s="1"/>
        <i x="33" s="1"/>
        <i x="4" s="1"/>
        <i x="22" s="1"/>
        <i x="19" s="1"/>
        <i x="27" s="1"/>
        <i x="6" s="1"/>
        <i x="17" s="1"/>
        <i x="11" s="1"/>
        <i x="32" s="1"/>
        <i x="25" s="1"/>
        <i x="18" s="1"/>
        <i x="3" s="1"/>
        <i x="12" s="1"/>
        <i x="16" s="1"/>
        <i x="30" s="1"/>
        <i x="7" s="1"/>
        <i x="24" s="1"/>
        <i x="5" s="1"/>
        <i x="13" s="1"/>
        <i x="20" s="1"/>
        <i x="2" s="1"/>
        <i x="3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D3A0B9F-0EC2-4B42-861A-A9C268683EA9}" sourceName="City">
  <pivotTables>
    <pivotTable tabId="14" name="PivotTable9"/>
  </pivotTables>
  <data>
    <tabular pivotCacheId="118228378">
      <items count="36">
        <i x="26" s="1"/>
        <i x="28" s="1"/>
        <i x="24" s="1"/>
        <i x="33" s="1"/>
        <i x="18" s="1"/>
        <i x="11" s="1"/>
        <i x="12" s="1"/>
        <i x="32" s="1"/>
        <i x="2" s="1"/>
        <i x="22" s="1"/>
        <i x="29" s="1"/>
        <i x="31" s="1"/>
        <i x="25" s="1"/>
        <i x="34" s="1"/>
        <i x="21" s="1"/>
        <i x="30" s="1"/>
        <i x="23" s="1"/>
        <i x="9" s="1"/>
        <i x="17" s="1"/>
        <i x="14" s="1"/>
        <i x="0" s="1"/>
        <i x="1" s="1"/>
        <i x="8" s="1"/>
        <i x="4" s="1"/>
        <i x="13" s="1"/>
        <i x="3" s="1"/>
        <i x="27" s="1"/>
        <i x="15" s="1"/>
        <i x="10" s="1"/>
        <i x="16" s="1"/>
        <i x="6" s="1"/>
        <i x="19" s="1"/>
        <i x="5" s="1"/>
        <i x="20" s="1"/>
        <i x="7" s="1"/>
        <i x="3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0BC9C0F-968A-4AC9-9F11-B60031572133}" sourceName="Month">
  <pivotTables>
    <pivotTable tabId="14" name="PivotTable9"/>
  </pivotTables>
  <data>
    <tabular pivotCacheId="118228378">
      <items count="14">
        <i x="10" s="1"/>
        <i x="3" s="1"/>
        <i x="0" s="1"/>
        <i x="4" s="1"/>
        <i x="11" s="1"/>
        <i x="5" s="1"/>
        <i x="7" s="1"/>
        <i x="9" s="1"/>
        <i x="1" s="1"/>
        <i x="6" s="1"/>
        <i x="12" s="1"/>
        <i x="2" s="1"/>
        <i x="8" s="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7CA419E1-198C-4C76-94D2-0167B1A6B4E4}" cache="Slicer_Company" caption="Company" rowHeight="234950"/>
  <slicer name="City" xr10:uid="{75D8538A-2594-4291-9432-85BD92519FE1}" cache="Slicer_City" caption="City" rowHeight="234950"/>
  <slicer name="Month" xr10:uid="{82A1157D-A850-447C-84F1-52B4E9BF3242}"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D70BC6-FF5F-4663-92C2-CECA701BF5B7}" name="Table1" displayName="Table1" ref="A1:B7" totalsRowShown="0" headerRowDxfId="7" dataDxfId="6">
  <autoFilter ref="A1:B7" xr:uid="{EDD70BC6-FF5F-4663-92C2-CECA701BF5B7}"/>
  <tableColumns count="2">
    <tableColumn id="1" xr3:uid="{2F963EA4-434C-45E2-9DEA-6AA5D25236E8}" name="Analysis Area" dataDxfId="5"/>
    <tableColumn id="2" xr3:uid="{DD34253E-8D5C-4F76-A211-649D48491D5B}" name="Observation"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746C73-DCB5-4F3F-9354-2AE52D72C5C2}" name="Table2" displayName="Table2" ref="A1:B7" totalsRowShown="0" headerRowDxfId="3" dataDxfId="2">
  <autoFilter ref="A1:B7" xr:uid="{AB746C73-DCB5-4F3F-9354-2AE52D72C5C2}"/>
  <tableColumns count="2">
    <tableColumn id="1" xr3:uid="{03B90BAD-B240-4351-8D95-DDAB18D1C42A}" name="Problem Identified" dataDxfId="1"/>
    <tableColumn id="2" xr3:uid="{DB9A311B-7FD3-44DE-A7E0-D2B5492ACF03}" name="Suggested Solution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6DE2-10FC-4AFF-BADF-42F12FF51C67}">
  <dimension ref="A1:W15"/>
  <sheetViews>
    <sheetView showGridLines="0" tabSelected="1" topLeftCell="A3" workbookViewId="0">
      <selection activeCell="O8" sqref="O8"/>
    </sheetView>
  </sheetViews>
  <sheetFormatPr defaultColWidth="8.88671875" defaultRowHeight="31.2" x14ac:dyDescent="0.6"/>
  <cols>
    <col min="1" max="13" width="8.88671875" style="6"/>
    <col min="14" max="14" width="23.33203125" style="6" customWidth="1"/>
    <col min="15" max="16384" width="8.88671875" style="6"/>
  </cols>
  <sheetData>
    <row r="1" spans="1:23" ht="33.6" x14ac:dyDescent="0.65">
      <c r="A1" s="32" t="s">
        <v>381</v>
      </c>
      <c r="B1" s="32"/>
      <c r="C1" s="32"/>
      <c r="D1" s="32"/>
      <c r="E1" s="32"/>
      <c r="F1" s="32"/>
      <c r="G1" s="32"/>
      <c r="H1" s="32"/>
      <c r="I1" s="32"/>
      <c r="J1" s="32"/>
      <c r="K1" s="32"/>
      <c r="L1" s="32"/>
      <c r="M1" s="32"/>
      <c r="N1" s="32"/>
      <c r="O1" s="32"/>
      <c r="P1" s="32"/>
      <c r="Q1" s="32"/>
      <c r="R1" s="32"/>
      <c r="S1" s="32"/>
      <c r="T1" s="32"/>
      <c r="U1" s="32"/>
      <c r="V1" s="32"/>
      <c r="W1" s="32"/>
    </row>
    <row r="2" spans="1:23" x14ac:dyDescent="0.6">
      <c r="A2" s="33" t="s">
        <v>455</v>
      </c>
      <c r="B2" s="33"/>
      <c r="C2" s="33"/>
      <c r="D2" s="33"/>
      <c r="E2" s="33"/>
      <c r="F2" s="33"/>
      <c r="G2" s="33"/>
      <c r="H2" s="33"/>
      <c r="I2" s="33"/>
      <c r="J2" s="33"/>
      <c r="K2" s="33"/>
      <c r="L2" s="33"/>
      <c r="M2" s="33"/>
      <c r="N2" s="33"/>
      <c r="O2" s="33"/>
      <c r="P2" s="33"/>
      <c r="Q2" s="33"/>
      <c r="R2" s="33"/>
      <c r="S2" s="33"/>
      <c r="T2" s="33"/>
      <c r="U2" s="33"/>
      <c r="V2" s="33"/>
      <c r="W2" s="33"/>
    </row>
    <row r="3" spans="1:23" x14ac:dyDescent="0.6">
      <c r="J3" s="6" t="s">
        <v>401</v>
      </c>
    </row>
    <row r="5" spans="1:23" ht="33.6" x14ac:dyDescent="0.65">
      <c r="A5" s="32" t="s">
        <v>382</v>
      </c>
      <c r="B5" s="32"/>
      <c r="C5" s="32"/>
      <c r="D5" s="32"/>
      <c r="E5" s="32"/>
      <c r="F5" s="32"/>
      <c r="G5" s="32"/>
      <c r="H5" s="32"/>
      <c r="I5" s="32"/>
      <c r="J5" s="32"/>
      <c r="K5" s="32"/>
      <c r="L5" s="32"/>
      <c r="M5" s="32"/>
      <c r="N5" s="32"/>
      <c r="O5" s="32"/>
      <c r="P5" s="32"/>
      <c r="Q5" s="32"/>
      <c r="R5" s="32"/>
      <c r="S5" s="32"/>
      <c r="T5" s="32"/>
      <c r="U5" s="32"/>
      <c r="V5" s="32"/>
      <c r="W5" s="32"/>
    </row>
    <row r="6" spans="1:23" x14ac:dyDescent="0.6">
      <c r="A6" s="34" t="s">
        <v>388</v>
      </c>
      <c r="B6" s="34"/>
      <c r="C6" s="34"/>
      <c r="D6" s="34"/>
      <c r="E6" s="34"/>
      <c r="F6" s="34"/>
      <c r="G6" s="34"/>
      <c r="H6" s="34"/>
      <c r="I6" s="34"/>
      <c r="J6" s="34"/>
      <c r="K6" s="34"/>
      <c r="L6" s="34"/>
      <c r="M6" s="34"/>
      <c r="N6" s="34"/>
      <c r="O6" s="34"/>
      <c r="P6" s="34"/>
      <c r="Q6" s="34"/>
      <c r="R6" s="34"/>
      <c r="S6" s="34"/>
      <c r="T6" s="34"/>
      <c r="U6" s="34"/>
      <c r="V6" s="34"/>
      <c r="W6" s="34"/>
    </row>
    <row r="9" spans="1:23" ht="33.6" x14ac:dyDescent="0.65">
      <c r="B9" s="35"/>
      <c r="C9" s="35"/>
      <c r="D9" s="35"/>
      <c r="J9" s="32" t="s">
        <v>383</v>
      </c>
      <c r="K9" s="32"/>
      <c r="L9" s="32"/>
      <c r="M9" s="32"/>
      <c r="N9" s="7" t="s">
        <v>392</v>
      </c>
    </row>
    <row r="10" spans="1:23" x14ac:dyDescent="0.6">
      <c r="J10" s="36" t="s">
        <v>384</v>
      </c>
      <c r="K10" s="36"/>
      <c r="L10" s="36"/>
      <c r="M10" s="36"/>
      <c r="N10" s="8" t="s">
        <v>393</v>
      </c>
    </row>
    <row r="11" spans="1:23" x14ac:dyDescent="0.6">
      <c r="J11" s="36" t="s">
        <v>385</v>
      </c>
      <c r="K11" s="36"/>
      <c r="L11" s="36"/>
      <c r="M11" s="36"/>
      <c r="N11" s="31" t="s">
        <v>391</v>
      </c>
    </row>
    <row r="12" spans="1:23" x14ac:dyDescent="0.6">
      <c r="J12" s="36" t="s">
        <v>386</v>
      </c>
      <c r="K12" s="36"/>
      <c r="L12" s="36"/>
      <c r="M12" s="36"/>
      <c r="N12" s="9" t="s">
        <v>402</v>
      </c>
    </row>
    <row r="13" spans="1:23" x14ac:dyDescent="0.6">
      <c r="J13" s="36" t="s">
        <v>387</v>
      </c>
      <c r="K13" s="36"/>
      <c r="L13" s="36"/>
      <c r="M13" s="36"/>
      <c r="N13" s="8" t="s">
        <v>390</v>
      </c>
    </row>
    <row r="14" spans="1:23" x14ac:dyDescent="0.6">
      <c r="K14" s="10" t="s">
        <v>389</v>
      </c>
      <c r="L14" s="10"/>
      <c r="M14" s="10"/>
    </row>
    <row r="15" spans="1:23" x14ac:dyDescent="0.6">
      <c r="J15" s="35"/>
      <c r="K15" s="35"/>
      <c r="L15" s="35"/>
      <c r="M15" s="35"/>
    </row>
  </sheetData>
  <mergeCells count="11">
    <mergeCell ref="A1:W1"/>
    <mergeCell ref="A2:W2"/>
    <mergeCell ref="A5:W5"/>
    <mergeCell ref="A6:W6"/>
    <mergeCell ref="J15:M15"/>
    <mergeCell ref="B9:D9"/>
    <mergeCell ref="J9:M9"/>
    <mergeCell ref="J11:M11"/>
    <mergeCell ref="J10:M10"/>
    <mergeCell ref="J12:M12"/>
    <mergeCell ref="J13:M13"/>
  </mergeCells>
  <hyperlinks>
    <hyperlink ref="N13" location="Dashboard!A1" display="Dashboard" xr:uid="{3598EEEC-4B7D-44F0-B7D6-F81D7375A40F}"/>
    <hyperlink ref="N10" location="'Cleaned Data'!A1" display="Cleaned Data" xr:uid="{2A09FCCE-0F0C-48F7-8677-F0AEA6DF3D4B}"/>
    <hyperlink ref="N12" location="'Raw Data'!A1" display="Raw Data" xr:uid="{2AAECF79-5F35-43DA-A6D5-16CB81624693}"/>
    <hyperlink ref="N11" location="Pivot_Table!A1" display="Pivot Table" xr:uid="{AE522AB3-657D-4B74-9FE0-5B57E0986D6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76"/>
  <sheetViews>
    <sheetView workbookViewId="0"/>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15</v>
      </c>
      <c r="B2">
        <v>23</v>
      </c>
      <c r="C2">
        <v>1</v>
      </c>
      <c r="D2">
        <v>7</v>
      </c>
      <c r="F2">
        <v>0</v>
      </c>
      <c r="G2">
        <v>2</v>
      </c>
      <c r="H2" t="s">
        <v>12</v>
      </c>
      <c r="I2" t="s">
        <v>70</v>
      </c>
      <c r="J2">
        <v>460</v>
      </c>
      <c r="K2">
        <v>8.1</v>
      </c>
      <c r="L2">
        <v>3726</v>
      </c>
    </row>
    <row r="3" spans="1:12" x14ac:dyDescent="0.3">
      <c r="A3">
        <v>13</v>
      </c>
      <c r="B3">
        <v>23</v>
      </c>
      <c r="C3">
        <v>2</v>
      </c>
      <c r="D3">
        <v>12</v>
      </c>
      <c r="E3">
        <v>1</v>
      </c>
      <c r="G3">
        <v>8</v>
      </c>
      <c r="H3" t="s">
        <v>13</v>
      </c>
      <c r="I3" t="s">
        <v>71</v>
      </c>
      <c r="J3">
        <v>525</v>
      </c>
      <c r="K3">
        <v>8.3000000000000007</v>
      </c>
      <c r="L3">
        <v>4357.5</v>
      </c>
    </row>
    <row r="4" spans="1:12" x14ac:dyDescent="0.3">
      <c r="A4">
        <v>22</v>
      </c>
      <c r="B4">
        <v>22</v>
      </c>
      <c r="C4">
        <v>2</v>
      </c>
      <c r="D4">
        <v>9</v>
      </c>
      <c r="E4">
        <v>1</v>
      </c>
      <c r="F4">
        <v>0</v>
      </c>
      <c r="G4">
        <v>11</v>
      </c>
      <c r="H4" t="s">
        <v>14</v>
      </c>
      <c r="J4">
        <v>500</v>
      </c>
      <c r="K4">
        <v>8.9</v>
      </c>
      <c r="L4">
        <v>4450</v>
      </c>
    </row>
    <row r="5" spans="1:12" x14ac:dyDescent="0.3">
      <c r="A5">
        <v>5</v>
      </c>
      <c r="B5">
        <v>18</v>
      </c>
      <c r="C5">
        <v>0</v>
      </c>
      <c r="E5">
        <v>1</v>
      </c>
      <c r="F5">
        <v>0</v>
      </c>
      <c r="G5">
        <v>1</v>
      </c>
      <c r="H5" t="s">
        <v>15</v>
      </c>
      <c r="I5" t="s">
        <v>72</v>
      </c>
      <c r="J5">
        <v>411</v>
      </c>
      <c r="K5">
        <v>8.3000000000000007</v>
      </c>
      <c r="L5" t="s">
        <v>252</v>
      </c>
    </row>
    <row r="6" spans="1:12" x14ac:dyDescent="0.3">
      <c r="A6">
        <v>19</v>
      </c>
      <c r="B6">
        <v>23</v>
      </c>
      <c r="C6">
        <v>2</v>
      </c>
      <c r="D6">
        <v>4</v>
      </c>
      <c r="E6">
        <v>1</v>
      </c>
      <c r="F6">
        <v>0</v>
      </c>
      <c r="G6">
        <v>2</v>
      </c>
      <c r="H6" t="s">
        <v>16</v>
      </c>
      <c r="I6" t="s">
        <v>73</v>
      </c>
      <c r="J6">
        <v>564</v>
      </c>
      <c r="K6" t="s">
        <v>236</v>
      </c>
      <c r="L6">
        <v>5019.6000000000004</v>
      </c>
    </row>
    <row r="7" spans="1:12" x14ac:dyDescent="0.3">
      <c r="B7">
        <v>22</v>
      </c>
      <c r="C7">
        <v>1</v>
      </c>
      <c r="D7">
        <v>14</v>
      </c>
      <c r="F7">
        <v>0</v>
      </c>
      <c r="G7">
        <v>11</v>
      </c>
      <c r="H7" t="s">
        <v>17</v>
      </c>
      <c r="I7" t="s">
        <v>70</v>
      </c>
      <c r="J7">
        <v>352</v>
      </c>
      <c r="K7">
        <v>8.6999999999999993</v>
      </c>
      <c r="L7">
        <v>3062.3999999999901</v>
      </c>
    </row>
    <row r="8" spans="1:12" x14ac:dyDescent="0.3">
      <c r="A8">
        <v>11</v>
      </c>
      <c r="B8">
        <v>22</v>
      </c>
      <c r="C8">
        <v>3</v>
      </c>
      <c r="D8">
        <v>17</v>
      </c>
      <c r="E8">
        <v>1</v>
      </c>
      <c r="F8">
        <v>0</v>
      </c>
      <c r="G8">
        <v>3</v>
      </c>
      <c r="H8" t="s">
        <v>15</v>
      </c>
      <c r="I8" t="s">
        <v>74</v>
      </c>
      <c r="J8">
        <v>711</v>
      </c>
      <c r="K8">
        <v>8.3000000000000007</v>
      </c>
      <c r="L8">
        <v>5901.3</v>
      </c>
    </row>
    <row r="9" spans="1:12" x14ac:dyDescent="0.3">
      <c r="A9">
        <v>7</v>
      </c>
      <c r="B9">
        <v>21</v>
      </c>
      <c r="C9">
        <v>3</v>
      </c>
      <c r="D9">
        <v>19</v>
      </c>
      <c r="E9">
        <v>7</v>
      </c>
      <c r="F9">
        <v>0</v>
      </c>
      <c r="G9">
        <v>1</v>
      </c>
      <c r="H9" t="s">
        <v>18</v>
      </c>
      <c r="I9" t="s">
        <v>75</v>
      </c>
      <c r="J9">
        <v>658</v>
      </c>
      <c r="K9">
        <v>7.7</v>
      </c>
      <c r="L9">
        <v>5066.6000000000004</v>
      </c>
    </row>
    <row r="10" spans="1:12" x14ac:dyDescent="0.3">
      <c r="A10">
        <v>6</v>
      </c>
      <c r="B10">
        <v>20</v>
      </c>
      <c r="C10">
        <v>1</v>
      </c>
      <c r="D10">
        <v>6</v>
      </c>
      <c r="E10">
        <v>1</v>
      </c>
      <c r="F10">
        <v>0</v>
      </c>
      <c r="G10">
        <v>5</v>
      </c>
      <c r="H10" t="s">
        <v>19</v>
      </c>
      <c r="I10" t="s">
        <v>76</v>
      </c>
      <c r="J10">
        <v>256</v>
      </c>
      <c r="K10">
        <v>8.9</v>
      </c>
      <c r="L10">
        <v>2278.4</v>
      </c>
    </row>
    <row r="11" spans="1:12" x14ac:dyDescent="0.3">
      <c r="A11">
        <v>22</v>
      </c>
      <c r="B11">
        <v>23</v>
      </c>
      <c r="D11">
        <v>20</v>
      </c>
      <c r="E11">
        <v>1</v>
      </c>
      <c r="F11">
        <v>0</v>
      </c>
      <c r="G11">
        <v>11</v>
      </c>
      <c r="H11" t="s">
        <v>20</v>
      </c>
      <c r="I11" t="s">
        <v>77</v>
      </c>
      <c r="J11">
        <v>677</v>
      </c>
      <c r="K11" t="s">
        <v>237</v>
      </c>
      <c r="L11">
        <v>6160.7</v>
      </c>
    </row>
    <row r="12" spans="1:12" x14ac:dyDescent="0.3">
      <c r="A12">
        <v>11</v>
      </c>
      <c r="B12">
        <v>22</v>
      </c>
      <c r="C12">
        <v>3</v>
      </c>
      <c r="D12">
        <v>9</v>
      </c>
      <c r="E12">
        <v>12</v>
      </c>
      <c r="F12">
        <v>0</v>
      </c>
      <c r="G12">
        <v>9</v>
      </c>
      <c r="H12" t="s">
        <v>15</v>
      </c>
      <c r="I12" t="s">
        <v>78</v>
      </c>
      <c r="J12">
        <v>676</v>
      </c>
      <c r="L12">
        <v>5610.8</v>
      </c>
    </row>
    <row r="13" spans="1:12" x14ac:dyDescent="0.3">
      <c r="A13">
        <v>18</v>
      </c>
      <c r="B13">
        <v>22</v>
      </c>
      <c r="C13">
        <v>2</v>
      </c>
      <c r="E13">
        <v>12</v>
      </c>
      <c r="F13">
        <v>0</v>
      </c>
      <c r="G13">
        <v>2</v>
      </c>
      <c r="H13" t="s">
        <v>21</v>
      </c>
      <c r="I13" t="s">
        <v>79</v>
      </c>
      <c r="J13">
        <v>535</v>
      </c>
      <c r="K13">
        <v>8.6999999999999993</v>
      </c>
      <c r="L13">
        <v>4654.5</v>
      </c>
    </row>
    <row r="14" spans="1:12" x14ac:dyDescent="0.3">
      <c r="A14">
        <v>21</v>
      </c>
      <c r="B14">
        <v>23</v>
      </c>
      <c r="C14">
        <v>1</v>
      </c>
      <c r="D14">
        <v>8</v>
      </c>
      <c r="E14">
        <v>1</v>
      </c>
      <c r="F14">
        <v>0</v>
      </c>
      <c r="G14">
        <v>1</v>
      </c>
      <c r="H14" t="s">
        <v>22</v>
      </c>
      <c r="I14" t="s">
        <v>80</v>
      </c>
      <c r="J14">
        <v>407</v>
      </c>
      <c r="L14">
        <v>3174.6</v>
      </c>
    </row>
    <row r="15" spans="1:12" x14ac:dyDescent="0.3">
      <c r="A15">
        <v>16</v>
      </c>
      <c r="B15">
        <v>23</v>
      </c>
      <c r="C15">
        <v>2</v>
      </c>
      <c r="D15">
        <v>13</v>
      </c>
      <c r="E15">
        <v>1</v>
      </c>
      <c r="F15">
        <v>0</v>
      </c>
      <c r="G15">
        <v>1</v>
      </c>
      <c r="H15" t="s">
        <v>23</v>
      </c>
      <c r="J15">
        <v>508</v>
      </c>
      <c r="K15">
        <v>8.4</v>
      </c>
      <c r="L15">
        <v>4267.2</v>
      </c>
    </row>
    <row r="16" spans="1:12" x14ac:dyDescent="0.3">
      <c r="A16">
        <v>9</v>
      </c>
      <c r="B16">
        <v>22</v>
      </c>
      <c r="C16">
        <v>0</v>
      </c>
      <c r="D16">
        <v>5</v>
      </c>
      <c r="E16">
        <v>7</v>
      </c>
      <c r="F16">
        <v>0</v>
      </c>
      <c r="G16">
        <v>6</v>
      </c>
      <c r="H16" t="s">
        <v>24</v>
      </c>
      <c r="I16" t="s">
        <v>81</v>
      </c>
      <c r="J16">
        <v>365</v>
      </c>
      <c r="K16">
        <v>7.9</v>
      </c>
      <c r="L16">
        <v>2883.5</v>
      </c>
    </row>
    <row r="17" spans="1:12" x14ac:dyDescent="0.3">
      <c r="A17">
        <v>9</v>
      </c>
      <c r="B17">
        <v>20</v>
      </c>
      <c r="C17">
        <v>0</v>
      </c>
      <c r="D17">
        <v>17</v>
      </c>
      <c r="E17">
        <v>7</v>
      </c>
      <c r="F17">
        <v>0</v>
      </c>
      <c r="G17">
        <v>12</v>
      </c>
      <c r="H17" t="s">
        <v>25</v>
      </c>
      <c r="I17" t="s">
        <v>79</v>
      </c>
      <c r="J17">
        <v>556</v>
      </c>
      <c r="K17">
        <v>8.1</v>
      </c>
      <c r="L17">
        <v>4503.5999999999904</v>
      </c>
    </row>
    <row r="18" spans="1:12" x14ac:dyDescent="0.3">
      <c r="A18">
        <v>21</v>
      </c>
      <c r="B18">
        <v>22</v>
      </c>
      <c r="C18">
        <v>1</v>
      </c>
      <c r="D18">
        <v>22</v>
      </c>
      <c r="E18">
        <v>12</v>
      </c>
      <c r="F18">
        <v>0</v>
      </c>
      <c r="G18">
        <v>7</v>
      </c>
      <c r="H18" t="s">
        <v>26</v>
      </c>
      <c r="I18" t="s">
        <v>82</v>
      </c>
      <c r="J18">
        <v>661</v>
      </c>
      <c r="K18">
        <v>8.5</v>
      </c>
      <c r="L18">
        <v>5618.5</v>
      </c>
    </row>
    <row r="19" spans="1:12" x14ac:dyDescent="0.3">
      <c r="A19">
        <v>7</v>
      </c>
      <c r="B19">
        <v>20</v>
      </c>
      <c r="C19">
        <v>0</v>
      </c>
      <c r="D19">
        <v>22</v>
      </c>
      <c r="E19">
        <v>1</v>
      </c>
      <c r="F19">
        <v>0</v>
      </c>
      <c r="G19">
        <v>1</v>
      </c>
      <c r="H19" t="s">
        <v>18</v>
      </c>
      <c r="I19" t="s">
        <v>83</v>
      </c>
      <c r="J19">
        <v>352</v>
      </c>
      <c r="K19">
        <v>7.7</v>
      </c>
      <c r="L19">
        <v>2710.4</v>
      </c>
    </row>
    <row r="20" spans="1:12" x14ac:dyDescent="0.3">
      <c r="A20">
        <v>8</v>
      </c>
      <c r="B20">
        <v>22</v>
      </c>
      <c r="D20">
        <v>11</v>
      </c>
      <c r="E20">
        <v>1</v>
      </c>
      <c r="F20">
        <v>0</v>
      </c>
      <c r="G20">
        <v>6</v>
      </c>
      <c r="H20" t="s">
        <v>23</v>
      </c>
      <c r="I20" t="s">
        <v>84</v>
      </c>
      <c r="J20">
        <v>509</v>
      </c>
      <c r="K20">
        <v>8.4</v>
      </c>
      <c r="L20">
        <v>4275.6000000000004</v>
      </c>
    </row>
    <row r="21" spans="1:12" x14ac:dyDescent="0.3">
      <c r="A21">
        <v>21</v>
      </c>
      <c r="B21">
        <v>23</v>
      </c>
      <c r="D21">
        <v>12</v>
      </c>
      <c r="E21">
        <v>1</v>
      </c>
      <c r="F21">
        <v>0</v>
      </c>
      <c r="G21">
        <v>2</v>
      </c>
      <c r="H21" t="s">
        <v>27</v>
      </c>
      <c r="I21" t="s">
        <v>72</v>
      </c>
      <c r="J21">
        <v>478</v>
      </c>
      <c r="K21" t="s">
        <v>238</v>
      </c>
      <c r="L21">
        <v>4015.2</v>
      </c>
    </row>
    <row r="22" spans="1:12" x14ac:dyDescent="0.3">
      <c r="A22">
        <v>8</v>
      </c>
      <c r="B22">
        <v>23</v>
      </c>
      <c r="C22">
        <v>0</v>
      </c>
      <c r="D22">
        <v>4</v>
      </c>
      <c r="E22">
        <v>1</v>
      </c>
      <c r="F22">
        <v>0</v>
      </c>
      <c r="G22">
        <v>8</v>
      </c>
      <c r="H22" t="s">
        <v>18</v>
      </c>
      <c r="I22" t="s">
        <v>78</v>
      </c>
      <c r="J22">
        <v>399</v>
      </c>
      <c r="K22">
        <v>7.7</v>
      </c>
      <c r="L22">
        <v>3072.3</v>
      </c>
    </row>
    <row r="23" spans="1:12" x14ac:dyDescent="0.3">
      <c r="A23">
        <v>11</v>
      </c>
      <c r="B23">
        <v>22</v>
      </c>
      <c r="C23">
        <v>3</v>
      </c>
      <c r="D23">
        <v>8</v>
      </c>
      <c r="E23">
        <v>1</v>
      </c>
      <c r="F23">
        <v>0</v>
      </c>
      <c r="G23">
        <v>1</v>
      </c>
      <c r="H23" t="s">
        <v>22</v>
      </c>
      <c r="I23" t="s">
        <v>85</v>
      </c>
      <c r="J23">
        <v>479</v>
      </c>
      <c r="K23">
        <v>7.8</v>
      </c>
      <c r="L23">
        <v>3736.2</v>
      </c>
    </row>
    <row r="24" spans="1:12" x14ac:dyDescent="0.3">
      <c r="A24">
        <v>10</v>
      </c>
      <c r="B24">
        <v>19</v>
      </c>
      <c r="C24">
        <v>2</v>
      </c>
      <c r="D24">
        <v>5</v>
      </c>
      <c r="E24">
        <v>1</v>
      </c>
      <c r="F24">
        <v>0</v>
      </c>
      <c r="G24">
        <v>1</v>
      </c>
      <c r="H24" t="s">
        <v>24</v>
      </c>
      <c r="I24" t="s">
        <v>84</v>
      </c>
      <c r="J24">
        <v>366</v>
      </c>
      <c r="K24">
        <v>7.9</v>
      </c>
      <c r="L24">
        <v>2891.4</v>
      </c>
    </row>
    <row r="25" spans="1:12" x14ac:dyDescent="0.3">
      <c r="A25">
        <v>7</v>
      </c>
      <c r="B25">
        <v>22</v>
      </c>
      <c r="C25">
        <v>3</v>
      </c>
      <c r="D25">
        <v>20</v>
      </c>
      <c r="E25">
        <v>1</v>
      </c>
      <c r="F25">
        <v>0</v>
      </c>
      <c r="G25">
        <v>8</v>
      </c>
      <c r="H25" t="s">
        <v>28</v>
      </c>
      <c r="I25" t="s">
        <v>82</v>
      </c>
      <c r="J25">
        <v>683</v>
      </c>
      <c r="K25">
        <v>7.7</v>
      </c>
      <c r="L25">
        <v>5259.1</v>
      </c>
    </row>
    <row r="26" spans="1:12" x14ac:dyDescent="0.3">
      <c r="A26">
        <v>15</v>
      </c>
      <c r="B26">
        <v>22</v>
      </c>
      <c r="C26">
        <v>3</v>
      </c>
      <c r="D26">
        <v>16</v>
      </c>
      <c r="E26">
        <v>12</v>
      </c>
      <c r="F26">
        <v>0</v>
      </c>
      <c r="G26">
        <v>9</v>
      </c>
      <c r="H26" t="s">
        <v>23</v>
      </c>
      <c r="I26" t="s">
        <v>86</v>
      </c>
      <c r="J26">
        <v>633</v>
      </c>
      <c r="K26">
        <v>8.4</v>
      </c>
    </row>
    <row r="27" spans="1:12" x14ac:dyDescent="0.3">
      <c r="A27">
        <v>14</v>
      </c>
      <c r="B27">
        <v>22</v>
      </c>
      <c r="C27">
        <v>2</v>
      </c>
      <c r="D27">
        <v>21</v>
      </c>
      <c r="E27">
        <v>12</v>
      </c>
      <c r="F27">
        <v>0</v>
      </c>
      <c r="G27">
        <v>2</v>
      </c>
      <c r="H27" t="s">
        <v>29</v>
      </c>
      <c r="J27">
        <v>668</v>
      </c>
      <c r="K27">
        <v>8.6999999999999993</v>
      </c>
      <c r="L27">
        <v>5811.5999999999904</v>
      </c>
    </row>
    <row r="28" spans="1:12" x14ac:dyDescent="0.3">
      <c r="A28">
        <v>13</v>
      </c>
      <c r="C28">
        <v>3</v>
      </c>
      <c r="D28">
        <v>20</v>
      </c>
      <c r="E28">
        <v>1</v>
      </c>
      <c r="F28">
        <v>0</v>
      </c>
      <c r="G28">
        <v>8</v>
      </c>
      <c r="H28" t="s">
        <v>18</v>
      </c>
      <c r="I28" t="s">
        <v>87</v>
      </c>
      <c r="J28">
        <v>638</v>
      </c>
      <c r="K28">
        <v>7.7</v>
      </c>
      <c r="L28">
        <v>4912.6000000000004</v>
      </c>
    </row>
    <row r="29" spans="1:12" x14ac:dyDescent="0.3">
      <c r="A29">
        <v>5</v>
      </c>
      <c r="C29">
        <v>3</v>
      </c>
      <c r="D29">
        <v>6</v>
      </c>
      <c r="E29">
        <v>1</v>
      </c>
      <c r="G29">
        <v>1</v>
      </c>
      <c r="H29" t="s">
        <v>22</v>
      </c>
      <c r="I29" t="s">
        <v>87</v>
      </c>
      <c r="K29">
        <v>7.8</v>
      </c>
      <c r="L29">
        <v>3985.7999999999902</v>
      </c>
    </row>
    <row r="30" spans="1:12" x14ac:dyDescent="0.3">
      <c r="A30">
        <v>6</v>
      </c>
      <c r="B30">
        <v>22</v>
      </c>
      <c r="C30">
        <v>0</v>
      </c>
      <c r="D30">
        <v>5</v>
      </c>
      <c r="E30">
        <v>1</v>
      </c>
      <c r="F30">
        <v>0</v>
      </c>
      <c r="H30" t="s">
        <v>30</v>
      </c>
      <c r="I30" t="s">
        <v>88</v>
      </c>
      <c r="J30">
        <v>228</v>
      </c>
      <c r="K30">
        <v>9.1999999999999993</v>
      </c>
      <c r="L30">
        <v>2097.6</v>
      </c>
    </row>
    <row r="31" spans="1:12" x14ac:dyDescent="0.3">
      <c r="A31">
        <v>6</v>
      </c>
      <c r="B31">
        <v>22</v>
      </c>
      <c r="C31">
        <v>2</v>
      </c>
      <c r="D31">
        <v>9</v>
      </c>
      <c r="E31">
        <v>1</v>
      </c>
      <c r="F31">
        <v>0</v>
      </c>
      <c r="G31">
        <v>6</v>
      </c>
      <c r="H31" t="s">
        <v>16</v>
      </c>
      <c r="I31" t="s">
        <v>87</v>
      </c>
      <c r="J31">
        <v>569</v>
      </c>
      <c r="K31">
        <v>8.9</v>
      </c>
      <c r="L31">
        <v>5064.1000000000004</v>
      </c>
    </row>
    <row r="32" spans="1:12" x14ac:dyDescent="0.3">
      <c r="A32">
        <v>8</v>
      </c>
      <c r="B32">
        <v>18</v>
      </c>
      <c r="C32">
        <v>2</v>
      </c>
      <c r="D32">
        <v>12</v>
      </c>
      <c r="E32">
        <v>1</v>
      </c>
      <c r="F32">
        <v>0</v>
      </c>
      <c r="G32">
        <v>9</v>
      </c>
      <c r="H32" t="s">
        <v>19</v>
      </c>
      <c r="I32" t="s">
        <v>89</v>
      </c>
      <c r="J32">
        <v>469</v>
      </c>
      <c r="K32">
        <v>8.9</v>
      </c>
      <c r="L32">
        <v>4174.1000000000004</v>
      </c>
    </row>
    <row r="33" spans="1:12" x14ac:dyDescent="0.3">
      <c r="A33">
        <v>15</v>
      </c>
      <c r="B33">
        <v>22</v>
      </c>
      <c r="C33">
        <v>0</v>
      </c>
      <c r="D33">
        <v>7</v>
      </c>
      <c r="E33">
        <v>1</v>
      </c>
      <c r="F33">
        <v>0</v>
      </c>
      <c r="G33">
        <v>9</v>
      </c>
      <c r="H33" t="s">
        <v>31</v>
      </c>
      <c r="I33" t="s">
        <v>78</v>
      </c>
      <c r="J33">
        <v>453</v>
      </c>
      <c r="K33">
        <v>7.9</v>
      </c>
    </row>
    <row r="34" spans="1:12" x14ac:dyDescent="0.3">
      <c r="A34">
        <v>17</v>
      </c>
      <c r="B34">
        <v>23</v>
      </c>
      <c r="C34">
        <v>0</v>
      </c>
      <c r="D34">
        <v>8</v>
      </c>
      <c r="E34">
        <v>1</v>
      </c>
      <c r="F34">
        <v>0</v>
      </c>
      <c r="G34">
        <v>3</v>
      </c>
      <c r="H34" t="s">
        <v>32</v>
      </c>
      <c r="I34" t="s">
        <v>90</v>
      </c>
      <c r="J34">
        <v>531</v>
      </c>
      <c r="K34">
        <v>7.6</v>
      </c>
      <c r="L34">
        <v>4035.6</v>
      </c>
    </row>
    <row r="35" spans="1:12" x14ac:dyDescent="0.3">
      <c r="A35">
        <v>19</v>
      </c>
      <c r="B35">
        <v>23</v>
      </c>
      <c r="C35">
        <v>1</v>
      </c>
      <c r="D35">
        <v>13</v>
      </c>
      <c r="E35">
        <v>1</v>
      </c>
      <c r="F35">
        <v>0</v>
      </c>
      <c r="G35">
        <v>8</v>
      </c>
      <c r="H35" t="s">
        <v>15</v>
      </c>
      <c r="I35" t="s">
        <v>88</v>
      </c>
      <c r="J35">
        <v>527</v>
      </c>
      <c r="K35">
        <v>8.3000000000000007</v>
      </c>
      <c r="L35">
        <v>4374.1000000000004</v>
      </c>
    </row>
    <row r="36" spans="1:12" x14ac:dyDescent="0.3">
      <c r="A36">
        <v>23</v>
      </c>
      <c r="B36">
        <v>22</v>
      </c>
      <c r="C36">
        <v>0</v>
      </c>
      <c r="D36">
        <v>9</v>
      </c>
      <c r="E36">
        <v>12</v>
      </c>
      <c r="F36">
        <v>0</v>
      </c>
      <c r="G36">
        <v>12</v>
      </c>
      <c r="H36" t="s">
        <v>33</v>
      </c>
      <c r="I36" t="s">
        <v>83</v>
      </c>
      <c r="K36">
        <v>9.3000000000000007</v>
      </c>
      <c r="L36">
        <v>5291.7</v>
      </c>
    </row>
    <row r="37" spans="1:12" x14ac:dyDescent="0.3">
      <c r="A37">
        <v>23</v>
      </c>
      <c r="B37">
        <v>23</v>
      </c>
      <c r="C37">
        <v>1</v>
      </c>
      <c r="D37">
        <v>10</v>
      </c>
      <c r="E37">
        <v>12</v>
      </c>
      <c r="F37">
        <v>0</v>
      </c>
      <c r="G37">
        <v>9</v>
      </c>
      <c r="H37" t="s">
        <v>34</v>
      </c>
      <c r="I37" t="s">
        <v>91</v>
      </c>
      <c r="J37">
        <v>500</v>
      </c>
      <c r="K37">
        <v>7.6</v>
      </c>
      <c r="L37">
        <v>3800</v>
      </c>
    </row>
    <row r="38" spans="1:12" x14ac:dyDescent="0.3">
      <c r="A38">
        <v>12</v>
      </c>
      <c r="B38">
        <v>22</v>
      </c>
      <c r="C38">
        <v>3</v>
      </c>
      <c r="D38">
        <v>22</v>
      </c>
      <c r="E38">
        <v>1</v>
      </c>
      <c r="F38">
        <v>0</v>
      </c>
      <c r="G38">
        <v>5</v>
      </c>
      <c r="H38" t="s">
        <v>35</v>
      </c>
      <c r="I38" t="s">
        <v>92</v>
      </c>
      <c r="J38">
        <v>522</v>
      </c>
      <c r="K38">
        <v>8.1999999999999993</v>
      </c>
      <c r="L38">
        <v>4280.3999999999996</v>
      </c>
    </row>
    <row r="39" spans="1:12" x14ac:dyDescent="0.3">
      <c r="A39">
        <v>16</v>
      </c>
      <c r="B39">
        <v>23</v>
      </c>
      <c r="C39">
        <v>0</v>
      </c>
      <c r="D39">
        <v>8</v>
      </c>
      <c r="E39">
        <v>1</v>
      </c>
      <c r="F39">
        <v>0</v>
      </c>
      <c r="G39">
        <v>12</v>
      </c>
      <c r="H39" t="s">
        <v>22</v>
      </c>
      <c r="I39" t="s">
        <v>89</v>
      </c>
      <c r="J39">
        <v>503</v>
      </c>
      <c r="K39">
        <v>7.8</v>
      </c>
      <c r="L39">
        <v>3923.4</v>
      </c>
    </row>
    <row r="40" spans="1:12" x14ac:dyDescent="0.3">
      <c r="A40">
        <v>5</v>
      </c>
      <c r="B40">
        <v>20</v>
      </c>
      <c r="C40">
        <v>0</v>
      </c>
      <c r="D40">
        <v>14</v>
      </c>
      <c r="E40">
        <v>1</v>
      </c>
      <c r="F40">
        <v>0</v>
      </c>
      <c r="G40">
        <v>7</v>
      </c>
      <c r="H40" t="s">
        <v>35</v>
      </c>
      <c r="I40" t="s">
        <v>93</v>
      </c>
      <c r="J40">
        <v>492</v>
      </c>
      <c r="K40">
        <v>8.1999999999999993</v>
      </c>
    </row>
    <row r="41" spans="1:12" x14ac:dyDescent="0.3">
      <c r="A41">
        <v>7</v>
      </c>
      <c r="B41">
        <v>23</v>
      </c>
      <c r="C41">
        <v>2</v>
      </c>
      <c r="D41">
        <v>21</v>
      </c>
      <c r="E41">
        <v>7</v>
      </c>
      <c r="F41">
        <v>0</v>
      </c>
      <c r="G41">
        <v>8</v>
      </c>
      <c r="H41" t="s">
        <v>21</v>
      </c>
      <c r="I41" t="s">
        <v>94</v>
      </c>
      <c r="J41">
        <v>681</v>
      </c>
      <c r="L41">
        <v>5924.7</v>
      </c>
    </row>
    <row r="42" spans="1:12" x14ac:dyDescent="0.3">
      <c r="A42">
        <v>14</v>
      </c>
      <c r="B42">
        <v>22</v>
      </c>
      <c r="C42">
        <v>3</v>
      </c>
      <c r="D42">
        <v>3</v>
      </c>
      <c r="E42">
        <v>1</v>
      </c>
      <c r="F42">
        <v>0</v>
      </c>
      <c r="G42">
        <v>9</v>
      </c>
      <c r="H42" t="s">
        <v>35</v>
      </c>
      <c r="I42" t="s">
        <v>95</v>
      </c>
      <c r="J42">
        <v>434</v>
      </c>
      <c r="K42">
        <v>8.1999999999999993</v>
      </c>
      <c r="L42">
        <v>3558.7999999999902</v>
      </c>
    </row>
    <row r="43" spans="1:12" x14ac:dyDescent="0.3">
      <c r="A43">
        <v>7</v>
      </c>
      <c r="B43">
        <v>18</v>
      </c>
      <c r="C43">
        <v>3</v>
      </c>
      <c r="D43">
        <v>4</v>
      </c>
      <c r="E43">
        <v>1</v>
      </c>
      <c r="F43">
        <v>0</v>
      </c>
      <c r="G43">
        <v>8</v>
      </c>
      <c r="H43" t="s">
        <v>23</v>
      </c>
      <c r="I43" t="s">
        <v>88</v>
      </c>
      <c r="J43" t="s">
        <v>135</v>
      </c>
      <c r="K43">
        <v>8.4</v>
      </c>
      <c r="L43">
        <v>3502.8</v>
      </c>
    </row>
    <row r="44" spans="1:12" x14ac:dyDescent="0.3">
      <c r="A44">
        <v>21</v>
      </c>
      <c r="B44">
        <v>22</v>
      </c>
      <c r="C44">
        <v>2</v>
      </c>
      <c r="D44">
        <v>15</v>
      </c>
      <c r="E44">
        <v>1</v>
      </c>
      <c r="F44">
        <v>0</v>
      </c>
      <c r="G44">
        <v>6</v>
      </c>
      <c r="H44" t="s">
        <v>22</v>
      </c>
      <c r="I44" t="s">
        <v>72</v>
      </c>
      <c r="J44">
        <v>436</v>
      </c>
      <c r="K44">
        <v>7.8</v>
      </c>
      <c r="L44">
        <v>3400.7999999999902</v>
      </c>
    </row>
    <row r="45" spans="1:12" x14ac:dyDescent="0.3">
      <c r="A45">
        <v>20</v>
      </c>
      <c r="B45">
        <v>23</v>
      </c>
      <c r="C45">
        <v>3</v>
      </c>
      <c r="D45">
        <v>4</v>
      </c>
      <c r="E45">
        <v>12</v>
      </c>
      <c r="F45">
        <v>0</v>
      </c>
      <c r="G45">
        <v>9</v>
      </c>
      <c r="H45" t="s">
        <v>24</v>
      </c>
      <c r="I45" t="s">
        <v>71</v>
      </c>
      <c r="J45" t="s">
        <v>136</v>
      </c>
      <c r="K45">
        <v>7.9</v>
      </c>
      <c r="L45">
        <v>4621.5</v>
      </c>
    </row>
    <row r="46" spans="1:12" x14ac:dyDescent="0.3">
      <c r="A46">
        <v>19</v>
      </c>
      <c r="B46">
        <v>22</v>
      </c>
      <c r="C46">
        <v>3</v>
      </c>
      <c r="D46">
        <v>7</v>
      </c>
      <c r="E46">
        <v>12</v>
      </c>
      <c r="F46">
        <v>0</v>
      </c>
      <c r="G46">
        <v>4</v>
      </c>
      <c r="H46" t="s">
        <v>36</v>
      </c>
      <c r="I46" t="s">
        <v>96</v>
      </c>
      <c r="J46">
        <v>715</v>
      </c>
      <c r="L46">
        <v>6292</v>
      </c>
    </row>
    <row r="47" spans="1:12" x14ac:dyDescent="0.3">
      <c r="A47">
        <v>15</v>
      </c>
      <c r="B47">
        <v>22</v>
      </c>
      <c r="C47">
        <v>0</v>
      </c>
      <c r="D47">
        <v>5</v>
      </c>
      <c r="E47">
        <v>1</v>
      </c>
      <c r="F47">
        <v>0</v>
      </c>
      <c r="G47">
        <v>11</v>
      </c>
      <c r="H47" t="s">
        <v>37</v>
      </c>
      <c r="I47" t="s">
        <v>74</v>
      </c>
      <c r="J47">
        <v>303</v>
      </c>
      <c r="K47">
        <v>8.3000000000000007</v>
      </c>
      <c r="L47">
        <v>2514.9</v>
      </c>
    </row>
    <row r="48" spans="1:12" x14ac:dyDescent="0.3">
      <c r="A48">
        <v>14</v>
      </c>
      <c r="B48">
        <v>23</v>
      </c>
      <c r="C48">
        <v>2</v>
      </c>
      <c r="D48">
        <v>7</v>
      </c>
      <c r="E48">
        <v>1</v>
      </c>
      <c r="F48">
        <v>0</v>
      </c>
      <c r="G48">
        <v>12</v>
      </c>
      <c r="H48" t="s">
        <v>38</v>
      </c>
      <c r="I48" t="s">
        <v>97</v>
      </c>
      <c r="J48" t="s">
        <v>137</v>
      </c>
      <c r="K48">
        <v>7.4</v>
      </c>
      <c r="L48">
        <v>4321.6000000000004</v>
      </c>
    </row>
    <row r="49" spans="1:12" x14ac:dyDescent="0.3">
      <c r="A49">
        <v>18</v>
      </c>
      <c r="B49">
        <v>23</v>
      </c>
      <c r="C49">
        <v>2</v>
      </c>
      <c r="D49">
        <v>7</v>
      </c>
      <c r="E49">
        <v>1</v>
      </c>
      <c r="F49">
        <v>0</v>
      </c>
      <c r="G49">
        <v>11</v>
      </c>
      <c r="H49" t="s">
        <v>13</v>
      </c>
      <c r="I49" t="s">
        <v>77</v>
      </c>
      <c r="J49">
        <v>470</v>
      </c>
      <c r="K49">
        <v>8.3000000000000007</v>
      </c>
      <c r="L49">
        <v>3901</v>
      </c>
    </row>
    <row r="50" spans="1:12" x14ac:dyDescent="0.3">
      <c r="A50">
        <v>9</v>
      </c>
      <c r="B50">
        <v>18</v>
      </c>
      <c r="C50">
        <v>2</v>
      </c>
      <c r="D50">
        <v>10</v>
      </c>
      <c r="E50">
        <v>7</v>
      </c>
      <c r="F50">
        <v>0</v>
      </c>
      <c r="G50">
        <v>1</v>
      </c>
      <c r="H50" t="s">
        <v>27</v>
      </c>
      <c r="I50" t="s">
        <v>87</v>
      </c>
      <c r="J50">
        <v>444</v>
      </c>
      <c r="K50">
        <v>8.4</v>
      </c>
      <c r="L50">
        <v>3729.6</v>
      </c>
    </row>
    <row r="51" spans="1:12" x14ac:dyDescent="0.3">
      <c r="A51">
        <v>15</v>
      </c>
      <c r="B51">
        <v>23</v>
      </c>
      <c r="C51">
        <v>2</v>
      </c>
      <c r="D51">
        <v>10</v>
      </c>
      <c r="E51">
        <v>12</v>
      </c>
      <c r="F51">
        <v>0</v>
      </c>
      <c r="G51">
        <v>7</v>
      </c>
      <c r="H51" t="s">
        <v>32</v>
      </c>
      <c r="I51" t="s">
        <v>71</v>
      </c>
      <c r="J51">
        <v>557</v>
      </c>
      <c r="K51">
        <v>7.6</v>
      </c>
      <c r="L51">
        <v>4233.2</v>
      </c>
    </row>
    <row r="52" spans="1:12" x14ac:dyDescent="0.3">
      <c r="A52">
        <v>15</v>
      </c>
      <c r="B52">
        <v>22</v>
      </c>
      <c r="C52">
        <v>2</v>
      </c>
      <c r="D52">
        <v>16</v>
      </c>
      <c r="E52">
        <v>1</v>
      </c>
      <c r="F52">
        <v>0</v>
      </c>
      <c r="G52">
        <v>4</v>
      </c>
      <c r="H52" t="s">
        <v>39</v>
      </c>
      <c r="I52" t="s">
        <v>85</v>
      </c>
      <c r="J52">
        <v>650</v>
      </c>
      <c r="K52">
        <v>8.8000000000000007</v>
      </c>
      <c r="L52">
        <v>5720</v>
      </c>
    </row>
    <row r="53" spans="1:12" x14ac:dyDescent="0.3">
      <c r="A53">
        <v>20</v>
      </c>
      <c r="B53">
        <v>23</v>
      </c>
      <c r="C53">
        <v>3</v>
      </c>
      <c r="D53">
        <v>13</v>
      </c>
      <c r="E53">
        <v>12</v>
      </c>
      <c r="F53">
        <v>0</v>
      </c>
      <c r="G53">
        <v>8</v>
      </c>
      <c r="H53" t="s">
        <v>25</v>
      </c>
      <c r="I53" t="s">
        <v>98</v>
      </c>
      <c r="J53">
        <v>734</v>
      </c>
      <c r="K53">
        <v>8.1</v>
      </c>
      <c r="L53" t="s">
        <v>253</v>
      </c>
    </row>
    <row r="54" spans="1:12" x14ac:dyDescent="0.3">
      <c r="A54">
        <v>15</v>
      </c>
      <c r="B54">
        <v>23</v>
      </c>
      <c r="C54">
        <v>0</v>
      </c>
      <c r="D54">
        <v>19</v>
      </c>
      <c r="E54">
        <v>1</v>
      </c>
      <c r="F54">
        <v>0</v>
      </c>
      <c r="G54">
        <v>6</v>
      </c>
      <c r="H54" t="s">
        <v>20</v>
      </c>
      <c r="I54" t="s">
        <v>81</v>
      </c>
      <c r="J54">
        <v>556</v>
      </c>
      <c r="K54">
        <v>9.1</v>
      </c>
      <c r="L54">
        <v>5059.5999999999904</v>
      </c>
    </row>
    <row r="55" spans="1:12" x14ac:dyDescent="0.3">
      <c r="A55">
        <v>7</v>
      </c>
      <c r="B55">
        <v>21</v>
      </c>
      <c r="C55">
        <v>3</v>
      </c>
      <c r="D55">
        <v>20</v>
      </c>
      <c r="E55">
        <v>1</v>
      </c>
      <c r="F55">
        <v>0</v>
      </c>
      <c r="G55">
        <v>2</v>
      </c>
      <c r="H55" t="s">
        <v>36</v>
      </c>
      <c r="I55" t="s">
        <v>77</v>
      </c>
      <c r="J55" t="s">
        <v>138</v>
      </c>
      <c r="K55">
        <v>8.8000000000000007</v>
      </c>
      <c r="L55">
        <v>4576</v>
      </c>
    </row>
    <row r="56" spans="1:12" x14ac:dyDescent="0.3">
      <c r="A56">
        <v>17</v>
      </c>
      <c r="B56">
        <v>22</v>
      </c>
      <c r="C56">
        <v>3</v>
      </c>
      <c r="D56">
        <v>7</v>
      </c>
      <c r="E56">
        <v>1</v>
      </c>
      <c r="G56">
        <v>8</v>
      </c>
      <c r="H56" t="s">
        <v>30</v>
      </c>
      <c r="I56" t="s">
        <v>85</v>
      </c>
      <c r="J56">
        <v>480</v>
      </c>
      <c r="K56">
        <v>9.1999999999999993</v>
      </c>
      <c r="L56">
        <v>4416</v>
      </c>
    </row>
    <row r="57" spans="1:12" x14ac:dyDescent="0.3">
      <c r="A57">
        <v>10</v>
      </c>
      <c r="B57">
        <v>19</v>
      </c>
      <c r="C57">
        <v>0</v>
      </c>
      <c r="D57">
        <v>11</v>
      </c>
      <c r="E57">
        <v>1</v>
      </c>
      <c r="F57">
        <v>0</v>
      </c>
      <c r="G57">
        <v>1</v>
      </c>
      <c r="H57" t="s">
        <v>38</v>
      </c>
      <c r="I57" t="s">
        <v>99</v>
      </c>
      <c r="K57">
        <v>7.4</v>
      </c>
      <c r="L57">
        <v>2101.6</v>
      </c>
    </row>
    <row r="58" spans="1:12" x14ac:dyDescent="0.3">
      <c r="A58">
        <v>9</v>
      </c>
      <c r="B58">
        <v>19</v>
      </c>
      <c r="C58">
        <v>2</v>
      </c>
      <c r="D58">
        <v>17</v>
      </c>
      <c r="E58">
        <v>1</v>
      </c>
      <c r="F58">
        <v>0</v>
      </c>
      <c r="G58">
        <v>4</v>
      </c>
      <c r="H58" t="s">
        <v>16</v>
      </c>
      <c r="I58" t="s">
        <v>87</v>
      </c>
      <c r="J58">
        <v>380</v>
      </c>
      <c r="L58">
        <v>3382</v>
      </c>
    </row>
    <row r="59" spans="1:12" x14ac:dyDescent="0.3">
      <c r="A59">
        <v>12</v>
      </c>
      <c r="B59">
        <v>22</v>
      </c>
      <c r="C59">
        <v>3</v>
      </c>
      <c r="D59">
        <v>6</v>
      </c>
      <c r="E59">
        <v>12</v>
      </c>
      <c r="F59">
        <v>0</v>
      </c>
      <c r="G59">
        <v>4</v>
      </c>
      <c r="H59" t="s">
        <v>20</v>
      </c>
      <c r="I59" t="s">
        <v>72</v>
      </c>
      <c r="J59">
        <v>513</v>
      </c>
      <c r="K59">
        <v>9.1</v>
      </c>
      <c r="L59">
        <v>4668.3</v>
      </c>
    </row>
    <row r="60" spans="1:12" x14ac:dyDescent="0.3">
      <c r="A60">
        <v>23</v>
      </c>
      <c r="B60">
        <v>22</v>
      </c>
      <c r="C60">
        <v>0</v>
      </c>
      <c r="D60">
        <v>17</v>
      </c>
      <c r="E60">
        <v>1</v>
      </c>
      <c r="F60">
        <v>0</v>
      </c>
      <c r="G60">
        <v>9</v>
      </c>
      <c r="H60" t="s">
        <v>25</v>
      </c>
      <c r="I60" t="s">
        <v>97</v>
      </c>
      <c r="J60">
        <v>679</v>
      </c>
      <c r="K60">
        <v>8.1</v>
      </c>
      <c r="L60">
        <v>5499.9</v>
      </c>
    </row>
    <row r="61" spans="1:12" x14ac:dyDescent="0.3">
      <c r="A61">
        <v>8</v>
      </c>
      <c r="B61">
        <v>18</v>
      </c>
      <c r="C61">
        <v>1</v>
      </c>
      <c r="D61">
        <v>7</v>
      </c>
      <c r="E61">
        <v>1</v>
      </c>
      <c r="F61">
        <v>0</v>
      </c>
      <c r="G61">
        <v>12</v>
      </c>
      <c r="H61" t="s">
        <v>26</v>
      </c>
      <c r="I61" t="s">
        <v>92</v>
      </c>
      <c r="J61">
        <v>212</v>
      </c>
      <c r="K61">
        <v>8.5</v>
      </c>
      <c r="L61">
        <v>1802</v>
      </c>
    </row>
    <row r="62" spans="1:12" x14ac:dyDescent="0.3">
      <c r="A62">
        <v>13</v>
      </c>
      <c r="B62">
        <v>22</v>
      </c>
      <c r="C62">
        <v>3</v>
      </c>
      <c r="D62">
        <v>18</v>
      </c>
      <c r="E62">
        <v>1</v>
      </c>
      <c r="F62">
        <v>0</v>
      </c>
      <c r="G62">
        <v>4</v>
      </c>
      <c r="H62" t="s">
        <v>30</v>
      </c>
      <c r="I62" t="s">
        <v>78</v>
      </c>
      <c r="J62">
        <v>717</v>
      </c>
      <c r="K62" t="s">
        <v>239</v>
      </c>
      <c r="L62">
        <v>6596.4</v>
      </c>
    </row>
    <row r="63" spans="1:12" x14ac:dyDescent="0.3">
      <c r="A63">
        <v>18</v>
      </c>
      <c r="B63">
        <v>22</v>
      </c>
      <c r="C63">
        <v>0</v>
      </c>
      <c r="D63">
        <v>16</v>
      </c>
      <c r="E63">
        <v>1</v>
      </c>
      <c r="F63">
        <v>0</v>
      </c>
      <c r="G63">
        <v>6</v>
      </c>
      <c r="H63" t="s">
        <v>24</v>
      </c>
      <c r="I63" t="s">
        <v>84</v>
      </c>
      <c r="J63">
        <v>501</v>
      </c>
      <c r="K63">
        <v>7.9</v>
      </c>
      <c r="L63">
        <v>3957.9</v>
      </c>
    </row>
    <row r="64" spans="1:12" x14ac:dyDescent="0.3">
      <c r="A64">
        <v>11</v>
      </c>
      <c r="B64">
        <v>23</v>
      </c>
      <c r="D64">
        <v>21</v>
      </c>
      <c r="E64">
        <v>1</v>
      </c>
      <c r="F64">
        <v>0</v>
      </c>
      <c r="G64">
        <v>3</v>
      </c>
      <c r="I64" t="s">
        <v>73</v>
      </c>
      <c r="J64">
        <v>511</v>
      </c>
      <c r="K64">
        <v>8.4</v>
      </c>
      <c r="L64">
        <v>4292.3999999999996</v>
      </c>
    </row>
    <row r="65" spans="1:12" x14ac:dyDescent="0.3">
      <c r="A65">
        <v>14</v>
      </c>
      <c r="B65">
        <v>22</v>
      </c>
      <c r="C65">
        <v>2</v>
      </c>
      <c r="D65">
        <v>13</v>
      </c>
      <c r="E65">
        <v>1</v>
      </c>
      <c r="F65">
        <v>0</v>
      </c>
      <c r="G65">
        <v>6</v>
      </c>
      <c r="H65" t="s">
        <v>15</v>
      </c>
      <c r="J65">
        <v>490</v>
      </c>
      <c r="K65">
        <v>8.3000000000000007</v>
      </c>
      <c r="L65">
        <v>4067</v>
      </c>
    </row>
    <row r="66" spans="1:12" x14ac:dyDescent="0.3">
      <c r="A66">
        <v>13</v>
      </c>
      <c r="B66">
        <v>22</v>
      </c>
      <c r="C66">
        <v>2</v>
      </c>
      <c r="D66">
        <v>15</v>
      </c>
      <c r="E66">
        <v>1</v>
      </c>
      <c r="F66">
        <v>0</v>
      </c>
      <c r="G66">
        <v>3</v>
      </c>
      <c r="H66" t="s">
        <v>23</v>
      </c>
      <c r="I66" t="s">
        <v>96</v>
      </c>
      <c r="J66">
        <v>563</v>
      </c>
      <c r="K66">
        <v>8.4</v>
      </c>
    </row>
    <row r="67" spans="1:12" x14ac:dyDescent="0.3">
      <c r="A67">
        <v>23</v>
      </c>
      <c r="B67">
        <v>23</v>
      </c>
      <c r="C67">
        <v>2</v>
      </c>
      <c r="D67">
        <v>10</v>
      </c>
      <c r="E67">
        <v>1</v>
      </c>
      <c r="F67">
        <v>0</v>
      </c>
      <c r="G67">
        <v>12</v>
      </c>
      <c r="H67" t="s">
        <v>16</v>
      </c>
      <c r="I67" t="s">
        <v>100</v>
      </c>
      <c r="J67">
        <v>713</v>
      </c>
      <c r="K67">
        <v>8.9</v>
      </c>
      <c r="L67">
        <v>6345.7</v>
      </c>
    </row>
    <row r="68" spans="1:12" x14ac:dyDescent="0.3">
      <c r="A68">
        <v>9</v>
      </c>
      <c r="B68">
        <v>21</v>
      </c>
      <c r="C68">
        <v>3</v>
      </c>
      <c r="D68">
        <v>22</v>
      </c>
      <c r="E68">
        <v>1</v>
      </c>
      <c r="F68">
        <v>0</v>
      </c>
      <c r="H68" t="s">
        <v>36</v>
      </c>
      <c r="I68" t="s">
        <v>85</v>
      </c>
      <c r="J68">
        <v>527</v>
      </c>
      <c r="L68">
        <v>4637.6000000000004</v>
      </c>
    </row>
    <row r="69" spans="1:12" x14ac:dyDescent="0.3">
      <c r="A69">
        <v>18</v>
      </c>
      <c r="B69">
        <v>23</v>
      </c>
      <c r="C69">
        <v>1</v>
      </c>
      <c r="D69">
        <v>10</v>
      </c>
      <c r="E69">
        <v>1</v>
      </c>
      <c r="F69">
        <v>0</v>
      </c>
      <c r="G69">
        <v>10</v>
      </c>
      <c r="H69" t="s">
        <v>20</v>
      </c>
      <c r="I69" t="s">
        <v>87</v>
      </c>
      <c r="J69">
        <v>495</v>
      </c>
      <c r="K69">
        <v>9.1</v>
      </c>
      <c r="L69">
        <v>4504.5</v>
      </c>
    </row>
    <row r="70" spans="1:12" x14ac:dyDescent="0.3">
      <c r="A70">
        <v>7</v>
      </c>
      <c r="B70">
        <v>17</v>
      </c>
      <c r="C70">
        <v>3</v>
      </c>
      <c r="D70">
        <v>4</v>
      </c>
      <c r="E70">
        <v>1</v>
      </c>
      <c r="F70">
        <v>0</v>
      </c>
      <c r="G70">
        <v>1</v>
      </c>
      <c r="H70" t="s">
        <v>36</v>
      </c>
      <c r="I70" t="s">
        <v>101</v>
      </c>
      <c r="J70">
        <v>341</v>
      </c>
      <c r="K70">
        <v>8.8000000000000007</v>
      </c>
      <c r="L70">
        <v>3000.8</v>
      </c>
    </row>
    <row r="71" spans="1:12" x14ac:dyDescent="0.3">
      <c r="A71">
        <v>8</v>
      </c>
      <c r="B71">
        <v>18</v>
      </c>
      <c r="C71">
        <v>0</v>
      </c>
      <c r="D71">
        <v>17</v>
      </c>
      <c r="E71">
        <v>1</v>
      </c>
      <c r="F71">
        <v>0</v>
      </c>
      <c r="G71">
        <v>2</v>
      </c>
      <c r="H71" t="s">
        <v>36</v>
      </c>
      <c r="J71">
        <v>294</v>
      </c>
      <c r="K71">
        <v>8.8000000000000007</v>
      </c>
      <c r="L71">
        <v>2587.1999999999998</v>
      </c>
    </row>
    <row r="72" spans="1:12" x14ac:dyDescent="0.3">
      <c r="A72">
        <v>5</v>
      </c>
      <c r="B72">
        <v>17</v>
      </c>
      <c r="C72">
        <v>2</v>
      </c>
      <c r="D72">
        <v>7</v>
      </c>
      <c r="E72">
        <v>7</v>
      </c>
      <c r="F72">
        <v>0</v>
      </c>
      <c r="G72">
        <v>9</v>
      </c>
      <c r="H72" t="s">
        <v>22</v>
      </c>
      <c r="I72" t="s">
        <v>90</v>
      </c>
      <c r="J72">
        <v>456</v>
      </c>
      <c r="K72">
        <v>7.8</v>
      </c>
      <c r="L72">
        <v>3556.7999999999902</v>
      </c>
    </row>
    <row r="73" spans="1:12" x14ac:dyDescent="0.3">
      <c r="A73">
        <v>22</v>
      </c>
      <c r="B73">
        <v>23</v>
      </c>
      <c r="D73">
        <v>11</v>
      </c>
      <c r="E73">
        <v>1</v>
      </c>
      <c r="F73">
        <v>0</v>
      </c>
      <c r="G73">
        <v>1</v>
      </c>
      <c r="H73" t="s">
        <v>25</v>
      </c>
      <c r="I73" t="s">
        <v>84</v>
      </c>
      <c r="J73">
        <v>681</v>
      </c>
      <c r="K73">
        <v>8.1</v>
      </c>
      <c r="L73">
        <v>5516.0999999999904</v>
      </c>
    </row>
    <row r="74" spans="1:12" x14ac:dyDescent="0.3">
      <c r="A74">
        <v>20</v>
      </c>
      <c r="B74">
        <v>23</v>
      </c>
      <c r="C74">
        <v>1</v>
      </c>
      <c r="D74">
        <v>13</v>
      </c>
      <c r="E74">
        <v>1</v>
      </c>
      <c r="F74">
        <v>0</v>
      </c>
      <c r="G74">
        <v>11</v>
      </c>
      <c r="H74" t="s">
        <v>33</v>
      </c>
      <c r="I74" t="s">
        <v>93</v>
      </c>
      <c r="J74" t="s">
        <v>139</v>
      </c>
      <c r="K74">
        <v>9.3000000000000007</v>
      </c>
      <c r="L74">
        <v>5059.2</v>
      </c>
    </row>
    <row r="75" spans="1:12" x14ac:dyDescent="0.3">
      <c r="A75">
        <v>23</v>
      </c>
      <c r="B75">
        <v>22</v>
      </c>
      <c r="C75">
        <v>0</v>
      </c>
      <c r="D75">
        <v>12</v>
      </c>
      <c r="E75">
        <v>1</v>
      </c>
      <c r="F75">
        <v>0</v>
      </c>
      <c r="G75">
        <v>6</v>
      </c>
      <c r="I75" t="s">
        <v>90</v>
      </c>
      <c r="J75">
        <v>635</v>
      </c>
      <c r="K75">
        <v>7.7</v>
      </c>
      <c r="L75">
        <v>4889.5</v>
      </c>
    </row>
    <row r="76" spans="1:12" x14ac:dyDescent="0.3">
      <c r="A76">
        <v>16</v>
      </c>
      <c r="B76">
        <v>23</v>
      </c>
      <c r="C76">
        <v>3</v>
      </c>
      <c r="D76">
        <v>13</v>
      </c>
      <c r="E76">
        <v>12</v>
      </c>
      <c r="G76">
        <v>7</v>
      </c>
      <c r="H76" t="s">
        <v>23</v>
      </c>
      <c r="I76" t="s">
        <v>102</v>
      </c>
      <c r="J76" t="s">
        <v>140</v>
      </c>
      <c r="K76">
        <v>8.4</v>
      </c>
      <c r="L76">
        <v>4720.8</v>
      </c>
    </row>
    <row r="77" spans="1:12" x14ac:dyDescent="0.3">
      <c r="A77">
        <v>19</v>
      </c>
      <c r="B77">
        <v>22</v>
      </c>
      <c r="C77">
        <v>0</v>
      </c>
      <c r="F77">
        <v>0</v>
      </c>
      <c r="G77">
        <v>9</v>
      </c>
      <c r="H77" t="s">
        <v>13</v>
      </c>
      <c r="I77" t="s">
        <v>96</v>
      </c>
      <c r="J77">
        <v>480</v>
      </c>
      <c r="K77">
        <v>8.3000000000000007</v>
      </c>
      <c r="L77">
        <v>3984</v>
      </c>
    </row>
    <row r="78" spans="1:12" x14ac:dyDescent="0.3">
      <c r="A78">
        <v>6</v>
      </c>
      <c r="C78">
        <v>0</v>
      </c>
      <c r="D78">
        <v>9</v>
      </c>
      <c r="E78">
        <v>1</v>
      </c>
      <c r="F78">
        <v>0</v>
      </c>
      <c r="G78">
        <v>11</v>
      </c>
      <c r="H78" t="s">
        <v>40</v>
      </c>
      <c r="I78" t="s">
        <v>82</v>
      </c>
      <c r="J78">
        <v>370</v>
      </c>
      <c r="K78">
        <v>7.4</v>
      </c>
      <c r="L78">
        <v>2738</v>
      </c>
    </row>
    <row r="79" spans="1:12" x14ac:dyDescent="0.3">
      <c r="A79">
        <v>9</v>
      </c>
      <c r="B79">
        <v>18</v>
      </c>
      <c r="C79">
        <v>1</v>
      </c>
      <c r="D79">
        <v>14</v>
      </c>
      <c r="E79">
        <v>1</v>
      </c>
      <c r="F79">
        <v>0</v>
      </c>
      <c r="G79">
        <v>8</v>
      </c>
      <c r="H79" t="s">
        <v>22</v>
      </c>
      <c r="I79" t="s">
        <v>90</v>
      </c>
      <c r="J79">
        <v>306</v>
      </c>
      <c r="K79">
        <v>7.8</v>
      </c>
      <c r="L79">
        <v>2386.7999999999902</v>
      </c>
    </row>
    <row r="80" spans="1:12" x14ac:dyDescent="0.3">
      <c r="A80">
        <v>9</v>
      </c>
      <c r="B80">
        <v>20</v>
      </c>
      <c r="C80">
        <v>1</v>
      </c>
      <c r="D80">
        <v>22</v>
      </c>
      <c r="E80">
        <v>1</v>
      </c>
      <c r="F80">
        <v>0</v>
      </c>
      <c r="G80">
        <v>8</v>
      </c>
      <c r="H80" t="s">
        <v>33</v>
      </c>
      <c r="I80" t="s">
        <v>89</v>
      </c>
      <c r="K80">
        <v>9.3000000000000007</v>
      </c>
      <c r="L80">
        <v>5226.6000000000004</v>
      </c>
    </row>
    <row r="81" spans="1:12" x14ac:dyDescent="0.3">
      <c r="A81">
        <v>23</v>
      </c>
      <c r="B81">
        <v>22</v>
      </c>
      <c r="C81">
        <v>0</v>
      </c>
      <c r="D81">
        <v>12</v>
      </c>
      <c r="E81">
        <v>1</v>
      </c>
      <c r="F81">
        <v>0</v>
      </c>
      <c r="G81">
        <v>12</v>
      </c>
      <c r="H81" t="s">
        <v>41</v>
      </c>
      <c r="I81" t="s">
        <v>72</v>
      </c>
      <c r="J81">
        <v>417</v>
      </c>
      <c r="K81">
        <v>8.1</v>
      </c>
      <c r="L81">
        <v>3377.7</v>
      </c>
    </row>
    <row r="82" spans="1:12" x14ac:dyDescent="0.3">
      <c r="A82">
        <v>16</v>
      </c>
      <c r="B82">
        <v>23</v>
      </c>
      <c r="C82">
        <v>1</v>
      </c>
      <c r="D82">
        <v>16</v>
      </c>
      <c r="E82">
        <v>1</v>
      </c>
      <c r="F82">
        <v>0</v>
      </c>
      <c r="G82">
        <v>7</v>
      </c>
      <c r="H82" t="s">
        <v>33</v>
      </c>
      <c r="I82" t="s">
        <v>103</v>
      </c>
      <c r="J82">
        <v>495</v>
      </c>
      <c r="K82">
        <v>9.3000000000000007</v>
      </c>
      <c r="L82">
        <v>4603.5</v>
      </c>
    </row>
    <row r="83" spans="1:12" x14ac:dyDescent="0.3">
      <c r="A83">
        <v>5</v>
      </c>
      <c r="B83">
        <v>20</v>
      </c>
      <c r="C83">
        <v>3</v>
      </c>
      <c r="D83">
        <v>13</v>
      </c>
      <c r="E83">
        <v>1</v>
      </c>
      <c r="F83">
        <v>0</v>
      </c>
      <c r="G83">
        <v>3</v>
      </c>
      <c r="H83" t="s">
        <v>32</v>
      </c>
      <c r="I83" t="s">
        <v>93</v>
      </c>
      <c r="J83">
        <v>488</v>
      </c>
      <c r="K83">
        <v>7.6</v>
      </c>
      <c r="L83">
        <v>3708.7999999999902</v>
      </c>
    </row>
    <row r="84" spans="1:12" x14ac:dyDescent="0.3">
      <c r="A84">
        <v>10</v>
      </c>
      <c r="B84">
        <v>17</v>
      </c>
      <c r="C84">
        <v>2</v>
      </c>
      <c r="D84">
        <v>4</v>
      </c>
      <c r="E84">
        <v>1</v>
      </c>
      <c r="F84">
        <v>0</v>
      </c>
      <c r="G84">
        <v>8</v>
      </c>
      <c r="I84" t="s">
        <v>81</v>
      </c>
      <c r="J84">
        <v>225</v>
      </c>
      <c r="K84">
        <v>9.1</v>
      </c>
      <c r="L84">
        <v>2047.5</v>
      </c>
    </row>
    <row r="85" spans="1:12" x14ac:dyDescent="0.3">
      <c r="B85">
        <v>23</v>
      </c>
      <c r="C85">
        <v>0</v>
      </c>
      <c r="D85">
        <v>15</v>
      </c>
      <c r="E85">
        <v>1</v>
      </c>
      <c r="F85">
        <v>0</v>
      </c>
      <c r="G85">
        <v>10</v>
      </c>
      <c r="H85" t="s">
        <v>16</v>
      </c>
      <c r="I85" t="s">
        <v>71</v>
      </c>
      <c r="J85">
        <v>417</v>
      </c>
      <c r="K85">
        <v>8.9</v>
      </c>
      <c r="L85">
        <v>3711.3</v>
      </c>
    </row>
    <row r="86" spans="1:12" x14ac:dyDescent="0.3">
      <c r="A86">
        <v>20</v>
      </c>
      <c r="B86">
        <v>22</v>
      </c>
      <c r="D86">
        <v>17</v>
      </c>
      <c r="E86">
        <v>1</v>
      </c>
      <c r="F86">
        <v>0</v>
      </c>
      <c r="G86">
        <v>7</v>
      </c>
      <c r="H86" t="s">
        <v>26</v>
      </c>
      <c r="I86" t="s">
        <v>104</v>
      </c>
      <c r="J86">
        <v>670</v>
      </c>
      <c r="K86">
        <v>8.5</v>
      </c>
      <c r="L86">
        <v>5695</v>
      </c>
    </row>
    <row r="87" spans="1:12" x14ac:dyDescent="0.3">
      <c r="A87">
        <v>5</v>
      </c>
      <c r="B87">
        <v>19</v>
      </c>
      <c r="C87">
        <v>3</v>
      </c>
      <c r="D87">
        <v>15</v>
      </c>
      <c r="E87">
        <v>1</v>
      </c>
      <c r="F87">
        <v>0</v>
      </c>
      <c r="H87" t="s">
        <v>33</v>
      </c>
      <c r="I87" t="s">
        <v>92</v>
      </c>
      <c r="J87">
        <v>356</v>
      </c>
      <c r="K87">
        <v>9.3000000000000007</v>
      </c>
      <c r="L87">
        <v>3310.8</v>
      </c>
    </row>
    <row r="88" spans="1:12" x14ac:dyDescent="0.3">
      <c r="A88">
        <v>9</v>
      </c>
      <c r="B88">
        <v>19</v>
      </c>
      <c r="C88">
        <v>3</v>
      </c>
      <c r="D88">
        <v>3</v>
      </c>
      <c r="E88">
        <v>1</v>
      </c>
      <c r="F88">
        <v>0</v>
      </c>
      <c r="G88">
        <v>3</v>
      </c>
      <c r="H88" t="s">
        <v>30</v>
      </c>
      <c r="I88" t="s">
        <v>105</v>
      </c>
      <c r="K88">
        <v>9.1999999999999993</v>
      </c>
      <c r="L88">
        <v>3247.6</v>
      </c>
    </row>
    <row r="89" spans="1:12" x14ac:dyDescent="0.3">
      <c r="A89">
        <v>8</v>
      </c>
      <c r="B89">
        <v>20</v>
      </c>
      <c r="C89">
        <v>2</v>
      </c>
      <c r="D89">
        <v>6</v>
      </c>
      <c r="E89">
        <v>7</v>
      </c>
      <c r="F89">
        <v>0</v>
      </c>
      <c r="G89">
        <v>6</v>
      </c>
      <c r="H89" t="s">
        <v>38</v>
      </c>
      <c r="I89" t="s">
        <v>71</v>
      </c>
      <c r="J89">
        <v>397</v>
      </c>
      <c r="K89">
        <v>7.4</v>
      </c>
      <c r="L89">
        <v>2937.8</v>
      </c>
    </row>
    <row r="90" spans="1:12" x14ac:dyDescent="0.3">
      <c r="A90">
        <v>15</v>
      </c>
      <c r="B90">
        <v>23</v>
      </c>
      <c r="C90">
        <v>2</v>
      </c>
      <c r="D90">
        <v>7</v>
      </c>
      <c r="E90">
        <v>1</v>
      </c>
      <c r="F90">
        <v>0</v>
      </c>
      <c r="G90">
        <v>1</v>
      </c>
      <c r="H90" t="s">
        <v>16</v>
      </c>
      <c r="I90" t="s">
        <v>97</v>
      </c>
      <c r="J90">
        <v>389</v>
      </c>
      <c r="K90">
        <v>8.9</v>
      </c>
      <c r="L90">
        <v>3462.1</v>
      </c>
    </row>
    <row r="91" spans="1:12" x14ac:dyDescent="0.3">
      <c r="A91">
        <v>6</v>
      </c>
      <c r="B91">
        <v>19</v>
      </c>
      <c r="C91">
        <v>2</v>
      </c>
      <c r="D91">
        <v>15</v>
      </c>
      <c r="E91">
        <v>1</v>
      </c>
      <c r="F91">
        <v>0</v>
      </c>
      <c r="G91">
        <v>12</v>
      </c>
      <c r="H91" t="s">
        <v>20</v>
      </c>
      <c r="I91" t="s">
        <v>79</v>
      </c>
      <c r="J91">
        <v>480</v>
      </c>
      <c r="K91">
        <v>9.1</v>
      </c>
      <c r="L91">
        <v>4368</v>
      </c>
    </row>
    <row r="92" spans="1:12" x14ac:dyDescent="0.3">
      <c r="A92">
        <v>21</v>
      </c>
      <c r="B92">
        <v>23</v>
      </c>
      <c r="D92">
        <v>19</v>
      </c>
      <c r="E92">
        <v>1</v>
      </c>
      <c r="F92">
        <v>0</v>
      </c>
      <c r="H92" t="s">
        <v>42</v>
      </c>
      <c r="I92" t="s">
        <v>106</v>
      </c>
      <c r="J92">
        <v>757</v>
      </c>
      <c r="K92" t="s">
        <v>240</v>
      </c>
      <c r="L92">
        <v>5904.5999999999904</v>
      </c>
    </row>
    <row r="93" spans="1:12" x14ac:dyDescent="0.3">
      <c r="A93">
        <v>10</v>
      </c>
      <c r="B93">
        <v>19</v>
      </c>
      <c r="D93">
        <v>5</v>
      </c>
      <c r="E93">
        <v>7</v>
      </c>
      <c r="F93">
        <v>0</v>
      </c>
      <c r="G93">
        <v>2</v>
      </c>
      <c r="H93" t="s">
        <v>19</v>
      </c>
      <c r="I93" t="s">
        <v>85</v>
      </c>
      <c r="J93">
        <v>390</v>
      </c>
      <c r="K93">
        <v>8.9</v>
      </c>
      <c r="L93">
        <v>3471</v>
      </c>
    </row>
    <row r="94" spans="1:12" x14ac:dyDescent="0.3">
      <c r="A94">
        <v>5</v>
      </c>
      <c r="B94">
        <v>22</v>
      </c>
      <c r="C94">
        <v>2</v>
      </c>
      <c r="D94">
        <v>11</v>
      </c>
      <c r="E94">
        <v>1</v>
      </c>
      <c r="F94">
        <v>0</v>
      </c>
      <c r="G94">
        <v>2</v>
      </c>
      <c r="H94" t="s">
        <v>16</v>
      </c>
      <c r="I94" t="s">
        <v>81</v>
      </c>
      <c r="J94">
        <v>525</v>
      </c>
      <c r="K94">
        <v>8.9</v>
      </c>
      <c r="L94">
        <v>4672.5</v>
      </c>
    </row>
    <row r="95" spans="1:12" x14ac:dyDescent="0.3">
      <c r="A95">
        <v>14</v>
      </c>
      <c r="B95">
        <v>23</v>
      </c>
      <c r="C95">
        <v>1</v>
      </c>
      <c r="D95">
        <v>18</v>
      </c>
      <c r="E95">
        <v>1</v>
      </c>
      <c r="F95">
        <v>0</v>
      </c>
      <c r="G95">
        <v>6</v>
      </c>
      <c r="H95" t="s">
        <v>38</v>
      </c>
      <c r="I95" t="s">
        <v>81</v>
      </c>
      <c r="J95">
        <v>474</v>
      </c>
      <c r="K95">
        <v>7.4</v>
      </c>
      <c r="L95">
        <v>3507.6</v>
      </c>
    </row>
    <row r="96" spans="1:12" x14ac:dyDescent="0.3">
      <c r="A96">
        <v>14</v>
      </c>
      <c r="B96">
        <v>22</v>
      </c>
      <c r="C96">
        <v>3</v>
      </c>
      <c r="D96">
        <v>13</v>
      </c>
      <c r="E96">
        <v>1</v>
      </c>
      <c r="F96">
        <v>0</v>
      </c>
      <c r="G96">
        <v>3</v>
      </c>
      <c r="H96" t="s">
        <v>25</v>
      </c>
      <c r="I96" t="s">
        <v>79</v>
      </c>
      <c r="J96">
        <v>639</v>
      </c>
      <c r="K96">
        <v>8.1</v>
      </c>
      <c r="L96">
        <v>5175.8999999999996</v>
      </c>
    </row>
    <row r="97" spans="1:12" x14ac:dyDescent="0.3">
      <c r="A97">
        <v>7</v>
      </c>
      <c r="B97">
        <v>17</v>
      </c>
      <c r="C97">
        <v>0</v>
      </c>
      <c r="D97">
        <v>15</v>
      </c>
      <c r="E97">
        <v>1</v>
      </c>
      <c r="F97">
        <v>0</v>
      </c>
      <c r="G97">
        <v>2</v>
      </c>
      <c r="H97" t="s">
        <v>38</v>
      </c>
      <c r="I97" t="s">
        <v>74</v>
      </c>
      <c r="J97">
        <v>406</v>
      </c>
      <c r="K97">
        <v>7.4</v>
      </c>
      <c r="L97">
        <v>3004.4</v>
      </c>
    </row>
    <row r="98" spans="1:12" x14ac:dyDescent="0.3">
      <c r="A98">
        <v>19</v>
      </c>
      <c r="B98">
        <v>22</v>
      </c>
      <c r="C98">
        <v>3</v>
      </c>
      <c r="D98">
        <v>8</v>
      </c>
      <c r="E98">
        <v>1</v>
      </c>
      <c r="F98">
        <v>0</v>
      </c>
      <c r="G98">
        <v>4</v>
      </c>
      <c r="H98" t="s">
        <v>43</v>
      </c>
      <c r="I98" t="s">
        <v>107</v>
      </c>
      <c r="J98">
        <v>409</v>
      </c>
      <c r="K98">
        <v>7.6</v>
      </c>
    </row>
    <row r="99" spans="1:12" x14ac:dyDescent="0.3">
      <c r="A99">
        <v>19</v>
      </c>
      <c r="B99">
        <v>22</v>
      </c>
      <c r="C99">
        <v>1</v>
      </c>
      <c r="D99">
        <v>3</v>
      </c>
      <c r="E99">
        <v>1</v>
      </c>
      <c r="F99">
        <v>0</v>
      </c>
      <c r="G99">
        <v>10</v>
      </c>
      <c r="H99" t="s">
        <v>32</v>
      </c>
      <c r="I99" t="s">
        <v>106</v>
      </c>
      <c r="J99">
        <v>512</v>
      </c>
      <c r="K99">
        <v>7.6</v>
      </c>
      <c r="L99">
        <v>3891.2</v>
      </c>
    </row>
    <row r="100" spans="1:12" x14ac:dyDescent="0.3">
      <c r="B100">
        <v>23</v>
      </c>
      <c r="C100">
        <v>1</v>
      </c>
      <c r="D100">
        <v>3</v>
      </c>
      <c r="E100">
        <v>12</v>
      </c>
      <c r="F100">
        <v>0</v>
      </c>
      <c r="G100">
        <v>6</v>
      </c>
      <c r="H100" t="s">
        <v>38</v>
      </c>
      <c r="I100" t="s">
        <v>73</v>
      </c>
      <c r="J100">
        <v>596</v>
      </c>
      <c r="K100">
        <v>7.4</v>
      </c>
      <c r="L100">
        <v>4410.3999999999996</v>
      </c>
    </row>
    <row r="101" spans="1:12" x14ac:dyDescent="0.3">
      <c r="B101">
        <v>23</v>
      </c>
      <c r="C101">
        <v>1</v>
      </c>
      <c r="D101">
        <v>19</v>
      </c>
      <c r="E101">
        <v>12</v>
      </c>
      <c r="F101">
        <v>0</v>
      </c>
      <c r="G101">
        <v>9</v>
      </c>
      <c r="H101" t="s">
        <v>36</v>
      </c>
      <c r="I101" t="s">
        <v>80</v>
      </c>
      <c r="J101">
        <v>634</v>
      </c>
      <c r="K101">
        <v>8.8000000000000007</v>
      </c>
      <c r="L101">
        <v>5579.2</v>
      </c>
    </row>
    <row r="102" spans="1:12" x14ac:dyDescent="0.3">
      <c r="A102">
        <v>15</v>
      </c>
      <c r="B102">
        <v>23</v>
      </c>
      <c r="C102">
        <v>0</v>
      </c>
      <c r="D102">
        <v>4</v>
      </c>
      <c r="E102">
        <v>1</v>
      </c>
      <c r="F102">
        <v>0</v>
      </c>
      <c r="G102">
        <v>10</v>
      </c>
      <c r="H102" t="s">
        <v>36</v>
      </c>
      <c r="I102" t="s">
        <v>108</v>
      </c>
      <c r="J102">
        <v>382</v>
      </c>
      <c r="K102">
        <v>8.8000000000000007</v>
      </c>
      <c r="L102" t="s">
        <v>254</v>
      </c>
    </row>
    <row r="103" spans="1:12" x14ac:dyDescent="0.3">
      <c r="A103">
        <v>8</v>
      </c>
      <c r="B103">
        <v>18</v>
      </c>
      <c r="C103">
        <v>3</v>
      </c>
      <c r="D103">
        <v>10</v>
      </c>
      <c r="E103">
        <v>1</v>
      </c>
      <c r="F103">
        <v>0</v>
      </c>
      <c r="G103">
        <v>11</v>
      </c>
      <c r="H103" t="s">
        <v>26</v>
      </c>
      <c r="I103" t="s">
        <v>107</v>
      </c>
      <c r="J103">
        <v>296</v>
      </c>
      <c r="K103">
        <v>8.5</v>
      </c>
      <c r="L103">
        <v>2516</v>
      </c>
    </row>
    <row r="104" spans="1:12" x14ac:dyDescent="0.3">
      <c r="A104">
        <v>17</v>
      </c>
      <c r="C104">
        <v>1</v>
      </c>
      <c r="D104">
        <v>6</v>
      </c>
      <c r="E104">
        <v>1</v>
      </c>
      <c r="F104">
        <v>0</v>
      </c>
      <c r="G104">
        <v>8</v>
      </c>
      <c r="H104" t="s">
        <v>25</v>
      </c>
      <c r="I104" t="s">
        <v>106</v>
      </c>
      <c r="J104">
        <v>504</v>
      </c>
      <c r="K104">
        <v>8.1</v>
      </c>
      <c r="L104">
        <v>4082.3999999999901</v>
      </c>
    </row>
    <row r="105" spans="1:12" x14ac:dyDescent="0.3">
      <c r="A105">
        <v>10</v>
      </c>
      <c r="B105">
        <v>18</v>
      </c>
      <c r="C105">
        <v>3</v>
      </c>
      <c r="D105">
        <v>16</v>
      </c>
      <c r="E105">
        <v>1</v>
      </c>
      <c r="F105">
        <v>0</v>
      </c>
      <c r="G105">
        <v>5</v>
      </c>
      <c r="H105" t="s">
        <v>16</v>
      </c>
      <c r="I105" t="s">
        <v>107</v>
      </c>
      <c r="J105">
        <v>405</v>
      </c>
      <c r="K105">
        <v>8.9</v>
      </c>
      <c r="L105">
        <v>3604.5</v>
      </c>
    </row>
    <row r="106" spans="1:12" x14ac:dyDescent="0.3">
      <c r="A106">
        <v>6</v>
      </c>
      <c r="B106">
        <v>20</v>
      </c>
      <c r="C106">
        <v>1</v>
      </c>
      <c r="D106">
        <v>3</v>
      </c>
      <c r="E106">
        <v>7</v>
      </c>
      <c r="F106">
        <v>0</v>
      </c>
      <c r="G106">
        <v>9</v>
      </c>
      <c r="H106" t="s">
        <v>19</v>
      </c>
      <c r="I106" t="s">
        <v>74</v>
      </c>
      <c r="K106">
        <v>8.9</v>
      </c>
      <c r="L106">
        <v>4289.8</v>
      </c>
    </row>
    <row r="107" spans="1:12" x14ac:dyDescent="0.3">
      <c r="A107">
        <v>14</v>
      </c>
      <c r="B107">
        <v>23</v>
      </c>
      <c r="C107">
        <v>1</v>
      </c>
      <c r="D107">
        <v>19</v>
      </c>
      <c r="E107">
        <v>1</v>
      </c>
      <c r="G107">
        <v>5</v>
      </c>
      <c r="H107" t="s">
        <v>25</v>
      </c>
      <c r="I107" t="s">
        <v>71</v>
      </c>
      <c r="J107">
        <v>608</v>
      </c>
      <c r="K107">
        <v>8.1</v>
      </c>
      <c r="L107">
        <v>4924.8</v>
      </c>
    </row>
    <row r="108" spans="1:12" x14ac:dyDescent="0.3">
      <c r="C108">
        <v>3</v>
      </c>
      <c r="D108">
        <v>14</v>
      </c>
      <c r="E108">
        <v>1</v>
      </c>
      <c r="F108">
        <v>0</v>
      </c>
      <c r="G108">
        <v>4</v>
      </c>
      <c r="H108" t="s">
        <v>33</v>
      </c>
      <c r="J108">
        <v>697</v>
      </c>
      <c r="K108">
        <v>9.3000000000000007</v>
      </c>
      <c r="L108">
        <v>6482.1</v>
      </c>
    </row>
    <row r="109" spans="1:12" x14ac:dyDescent="0.3">
      <c r="A109">
        <v>15</v>
      </c>
      <c r="B109">
        <v>23</v>
      </c>
      <c r="C109">
        <v>2</v>
      </c>
      <c r="D109">
        <v>21</v>
      </c>
      <c r="E109">
        <v>1</v>
      </c>
      <c r="F109">
        <v>0</v>
      </c>
      <c r="G109">
        <v>2</v>
      </c>
      <c r="H109" t="s">
        <v>44</v>
      </c>
      <c r="I109" t="s">
        <v>93</v>
      </c>
      <c r="J109">
        <v>591</v>
      </c>
      <c r="K109">
        <v>8.1999999999999993</v>
      </c>
      <c r="L109">
        <v>4846.2</v>
      </c>
    </row>
    <row r="110" spans="1:12" x14ac:dyDescent="0.3">
      <c r="A110">
        <v>13</v>
      </c>
      <c r="B110">
        <v>23</v>
      </c>
      <c r="C110">
        <v>2</v>
      </c>
      <c r="D110">
        <v>17</v>
      </c>
      <c r="E110">
        <v>1</v>
      </c>
      <c r="F110">
        <v>0</v>
      </c>
      <c r="G110">
        <v>4</v>
      </c>
      <c r="H110" t="s">
        <v>35</v>
      </c>
      <c r="I110" t="s">
        <v>70</v>
      </c>
      <c r="J110">
        <v>532</v>
      </c>
      <c r="K110">
        <v>8.1999999999999993</v>
      </c>
      <c r="L110">
        <v>4362.3999999999996</v>
      </c>
    </row>
    <row r="111" spans="1:12" x14ac:dyDescent="0.3">
      <c r="A111">
        <v>16</v>
      </c>
      <c r="B111">
        <v>23</v>
      </c>
      <c r="C111">
        <v>3</v>
      </c>
      <c r="D111">
        <v>20</v>
      </c>
      <c r="E111">
        <v>1</v>
      </c>
      <c r="G111">
        <v>11</v>
      </c>
      <c r="H111" t="s">
        <v>19</v>
      </c>
      <c r="I111" t="s">
        <v>94</v>
      </c>
      <c r="J111">
        <v>533</v>
      </c>
      <c r="K111">
        <v>8.9</v>
      </c>
      <c r="L111">
        <v>4743.7</v>
      </c>
    </row>
    <row r="112" spans="1:12" x14ac:dyDescent="0.3">
      <c r="A112">
        <v>15</v>
      </c>
      <c r="B112">
        <v>22</v>
      </c>
      <c r="D112">
        <v>12</v>
      </c>
      <c r="E112">
        <v>1</v>
      </c>
      <c r="F112">
        <v>0</v>
      </c>
      <c r="G112">
        <v>1</v>
      </c>
      <c r="H112" t="s">
        <v>24</v>
      </c>
      <c r="I112" t="s">
        <v>106</v>
      </c>
      <c r="J112">
        <v>429</v>
      </c>
      <c r="K112" t="s">
        <v>241</v>
      </c>
      <c r="L112">
        <v>3389.1</v>
      </c>
    </row>
    <row r="113" spans="1:12" x14ac:dyDescent="0.3">
      <c r="A113">
        <v>17</v>
      </c>
      <c r="B113">
        <v>23</v>
      </c>
      <c r="C113">
        <v>1</v>
      </c>
      <c r="E113">
        <v>1</v>
      </c>
      <c r="F113">
        <v>0</v>
      </c>
      <c r="G113">
        <v>3</v>
      </c>
      <c r="H113" t="s">
        <v>45</v>
      </c>
      <c r="I113" t="s">
        <v>72</v>
      </c>
      <c r="J113">
        <v>493</v>
      </c>
      <c r="K113">
        <v>7.9</v>
      </c>
      <c r="L113">
        <v>3894.7</v>
      </c>
    </row>
    <row r="114" spans="1:12" x14ac:dyDescent="0.3">
      <c r="A114">
        <v>23</v>
      </c>
      <c r="B114">
        <v>23</v>
      </c>
      <c r="C114">
        <v>3</v>
      </c>
      <c r="D114">
        <v>16</v>
      </c>
      <c r="E114">
        <v>1</v>
      </c>
      <c r="F114">
        <v>0</v>
      </c>
      <c r="G114">
        <v>12</v>
      </c>
      <c r="H114" t="s">
        <v>46</v>
      </c>
      <c r="I114" t="s">
        <v>84</v>
      </c>
      <c r="J114">
        <v>589</v>
      </c>
      <c r="K114">
        <v>8.3000000000000007</v>
      </c>
      <c r="L114">
        <v>4888.7</v>
      </c>
    </row>
    <row r="115" spans="1:12" x14ac:dyDescent="0.3">
      <c r="A115">
        <v>10</v>
      </c>
      <c r="B115">
        <v>18</v>
      </c>
      <c r="C115">
        <v>2</v>
      </c>
      <c r="D115">
        <v>9</v>
      </c>
      <c r="E115">
        <v>1</v>
      </c>
      <c r="F115">
        <v>0</v>
      </c>
      <c r="H115" t="s">
        <v>30</v>
      </c>
      <c r="I115" t="s">
        <v>109</v>
      </c>
      <c r="J115">
        <v>490</v>
      </c>
      <c r="K115">
        <v>9.1999999999999993</v>
      </c>
      <c r="L115">
        <v>4508</v>
      </c>
    </row>
    <row r="116" spans="1:12" x14ac:dyDescent="0.3">
      <c r="A116">
        <v>8</v>
      </c>
      <c r="B116">
        <v>17</v>
      </c>
      <c r="C116">
        <v>1</v>
      </c>
      <c r="D116">
        <v>8</v>
      </c>
      <c r="E116">
        <v>1</v>
      </c>
      <c r="F116">
        <v>0</v>
      </c>
      <c r="G116">
        <v>7</v>
      </c>
      <c r="H116" t="s">
        <v>36</v>
      </c>
      <c r="I116" t="s">
        <v>80</v>
      </c>
      <c r="J116">
        <v>412</v>
      </c>
      <c r="K116">
        <v>8.8000000000000007</v>
      </c>
      <c r="L116">
        <v>3625.6</v>
      </c>
    </row>
    <row r="117" spans="1:12" x14ac:dyDescent="0.3">
      <c r="A117">
        <v>10</v>
      </c>
      <c r="B117">
        <v>22</v>
      </c>
      <c r="C117">
        <v>2</v>
      </c>
      <c r="D117">
        <v>16</v>
      </c>
      <c r="E117">
        <v>1</v>
      </c>
      <c r="F117">
        <v>0</v>
      </c>
      <c r="G117">
        <v>3</v>
      </c>
      <c r="H117" t="s">
        <v>33</v>
      </c>
      <c r="I117" t="s">
        <v>91</v>
      </c>
      <c r="J117">
        <v>613</v>
      </c>
      <c r="K117">
        <v>9.3000000000000007</v>
      </c>
      <c r="L117">
        <v>5700.9</v>
      </c>
    </row>
    <row r="118" spans="1:12" x14ac:dyDescent="0.3">
      <c r="A118">
        <v>15</v>
      </c>
      <c r="B118">
        <v>23</v>
      </c>
      <c r="C118">
        <v>1</v>
      </c>
      <c r="D118">
        <v>10</v>
      </c>
      <c r="E118">
        <v>1</v>
      </c>
      <c r="F118">
        <v>0</v>
      </c>
      <c r="G118">
        <v>6</v>
      </c>
      <c r="H118" t="s">
        <v>21</v>
      </c>
      <c r="I118" t="s">
        <v>94</v>
      </c>
      <c r="J118">
        <v>573</v>
      </c>
      <c r="K118">
        <v>8.6999999999999993</v>
      </c>
      <c r="L118">
        <v>4985.0999999999904</v>
      </c>
    </row>
    <row r="119" spans="1:12" x14ac:dyDescent="0.3">
      <c r="A119">
        <v>10</v>
      </c>
      <c r="B119">
        <v>23</v>
      </c>
      <c r="C119">
        <v>1</v>
      </c>
      <c r="D119">
        <v>17</v>
      </c>
      <c r="E119">
        <v>1</v>
      </c>
      <c r="F119">
        <v>0</v>
      </c>
      <c r="G119">
        <v>10</v>
      </c>
      <c r="H119" t="s">
        <v>30</v>
      </c>
      <c r="I119" t="s">
        <v>107</v>
      </c>
      <c r="J119">
        <v>444</v>
      </c>
      <c r="K119">
        <v>9.1999999999999993</v>
      </c>
      <c r="L119">
        <v>4084.7999999999902</v>
      </c>
    </row>
    <row r="120" spans="1:12" x14ac:dyDescent="0.3">
      <c r="A120">
        <v>6</v>
      </c>
      <c r="B120">
        <v>18</v>
      </c>
      <c r="C120">
        <v>0</v>
      </c>
      <c r="D120">
        <v>12</v>
      </c>
      <c r="E120">
        <v>7</v>
      </c>
      <c r="G120">
        <v>4</v>
      </c>
      <c r="H120" t="s">
        <v>21</v>
      </c>
      <c r="I120" t="s">
        <v>75</v>
      </c>
      <c r="J120">
        <v>491</v>
      </c>
      <c r="K120">
        <v>8.6999999999999993</v>
      </c>
      <c r="L120">
        <v>4271.7</v>
      </c>
    </row>
    <row r="121" spans="1:12" x14ac:dyDescent="0.3">
      <c r="A121">
        <v>23</v>
      </c>
      <c r="B121">
        <v>23</v>
      </c>
      <c r="C121">
        <v>3</v>
      </c>
      <c r="D121">
        <v>14</v>
      </c>
      <c r="E121">
        <v>1</v>
      </c>
      <c r="F121">
        <v>0</v>
      </c>
      <c r="G121">
        <v>10</v>
      </c>
      <c r="I121" t="s">
        <v>92</v>
      </c>
      <c r="J121">
        <v>686</v>
      </c>
      <c r="K121">
        <v>8.1</v>
      </c>
      <c r="L121">
        <v>5556.5999999999904</v>
      </c>
    </row>
    <row r="122" spans="1:12" x14ac:dyDescent="0.3">
      <c r="A122">
        <v>23</v>
      </c>
      <c r="B122">
        <v>22</v>
      </c>
      <c r="C122">
        <v>3</v>
      </c>
      <c r="D122">
        <v>6</v>
      </c>
      <c r="E122">
        <v>1</v>
      </c>
      <c r="F122">
        <v>0</v>
      </c>
      <c r="G122">
        <v>2</v>
      </c>
      <c r="H122" t="s">
        <v>47</v>
      </c>
      <c r="I122" t="s">
        <v>80</v>
      </c>
      <c r="J122">
        <v>431</v>
      </c>
      <c r="K122">
        <v>9.1</v>
      </c>
      <c r="L122">
        <v>3922.1</v>
      </c>
    </row>
    <row r="123" spans="1:12" x14ac:dyDescent="0.3">
      <c r="A123">
        <v>21</v>
      </c>
      <c r="B123">
        <v>23</v>
      </c>
      <c r="C123">
        <v>2</v>
      </c>
      <c r="D123">
        <v>14</v>
      </c>
      <c r="E123">
        <v>12</v>
      </c>
      <c r="F123">
        <v>0</v>
      </c>
      <c r="G123">
        <v>10</v>
      </c>
      <c r="H123" t="s">
        <v>25</v>
      </c>
      <c r="J123">
        <v>838</v>
      </c>
      <c r="K123">
        <v>8.1</v>
      </c>
      <c r="L123">
        <v>6787.7999999999902</v>
      </c>
    </row>
    <row r="124" spans="1:12" x14ac:dyDescent="0.3">
      <c r="A124">
        <v>7</v>
      </c>
      <c r="B124">
        <v>23</v>
      </c>
      <c r="C124">
        <v>2</v>
      </c>
      <c r="D124">
        <v>14</v>
      </c>
      <c r="E124">
        <v>1</v>
      </c>
      <c r="F124">
        <v>0</v>
      </c>
      <c r="G124">
        <v>11</v>
      </c>
      <c r="H124" t="s">
        <v>33</v>
      </c>
      <c r="I124" t="s">
        <v>85</v>
      </c>
      <c r="J124">
        <v>546</v>
      </c>
      <c r="K124">
        <v>9.3000000000000007</v>
      </c>
      <c r="L124">
        <v>5077.8</v>
      </c>
    </row>
    <row r="125" spans="1:12" x14ac:dyDescent="0.3">
      <c r="A125">
        <v>10</v>
      </c>
      <c r="B125">
        <v>19</v>
      </c>
      <c r="C125">
        <v>3</v>
      </c>
      <c r="D125">
        <v>9</v>
      </c>
      <c r="E125">
        <v>1</v>
      </c>
      <c r="F125">
        <v>0</v>
      </c>
      <c r="G125">
        <v>7</v>
      </c>
      <c r="H125" t="s">
        <v>25</v>
      </c>
      <c r="I125" t="s">
        <v>73</v>
      </c>
      <c r="J125">
        <v>381</v>
      </c>
      <c r="K125">
        <v>8.1</v>
      </c>
      <c r="L125">
        <v>3086.1</v>
      </c>
    </row>
    <row r="126" spans="1:12" x14ac:dyDescent="0.3">
      <c r="A126">
        <v>21</v>
      </c>
      <c r="B126">
        <v>23</v>
      </c>
      <c r="C126">
        <v>3</v>
      </c>
      <c r="E126">
        <v>1</v>
      </c>
      <c r="F126">
        <v>0</v>
      </c>
      <c r="G126">
        <v>4</v>
      </c>
      <c r="H126" t="s">
        <v>25</v>
      </c>
      <c r="I126" t="s">
        <v>90</v>
      </c>
      <c r="J126">
        <v>519</v>
      </c>
      <c r="K126">
        <v>8.1</v>
      </c>
      <c r="L126">
        <v>4203.8999999999996</v>
      </c>
    </row>
    <row r="127" spans="1:12" x14ac:dyDescent="0.3">
      <c r="A127">
        <v>6</v>
      </c>
      <c r="B127">
        <v>20</v>
      </c>
      <c r="C127">
        <v>2</v>
      </c>
      <c r="D127">
        <v>19</v>
      </c>
      <c r="G127">
        <v>9</v>
      </c>
      <c r="H127" t="s">
        <v>35</v>
      </c>
      <c r="I127" t="s">
        <v>105</v>
      </c>
      <c r="J127">
        <v>587</v>
      </c>
      <c r="K127">
        <v>8.1999999999999993</v>
      </c>
      <c r="L127">
        <v>4813.3999999999996</v>
      </c>
    </row>
    <row r="128" spans="1:12" x14ac:dyDescent="0.3">
      <c r="A128">
        <v>6</v>
      </c>
      <c r="B128">
        <v>18</v>
      </c>
      <c r="C128">
        <v>0</v>
      </c>
      <c r="D128">
        <v>9</v>
      </c>
      <c r="E128">
        <v>1</v>
      </c>
      <c r="F128">
        <v>0</v>
      </c>
      <c r="G128">
        <v>8</v>
      </c>
      <c r="H128" t="s">
        <v>48</v>
      </c>
      <c r="I128" t="s">
        <v>90</v>
      </c>
      <c r="J128">
        <v>301</v>
      </c>
      <c r="K128" t="s">
        <v>242</v>
      </c>
      <c r="L128">
        <v>2618.6999999999998</v>
      </c>
    </row>
    <row r="129" spans="1:12" x14ac:dyDescent="0.3">
      <c r="B129">
        <v>23</v>
      </c>
      <c r="C129">
        <v>1</v>
      </c>
      <c r="D129">
        <v>9</v>
      </c>
      <c r="E129">
        <v>1</v>
      </c>
      <c r="F129">
        <v>0</v>
      </c>
      <c r="G129">
        <v>1</v>
      </c>
      <c r="H129" t="s">
        <v>25</v>
      </c>
      <c r="I129" t="s">
        <v>72</v>
      </c>
      <c r="J129">
        <v>386</v>
      </c>
      <c r="K129" t="s">
        <v>243</v>
      </c>
      <c r="L129">
        <v>3126.6</v>
      </c>
    </row>
    <row r="130" spans="1:12" x14ac:dyDescent="0.3">
      <c r="A130">
        <v>12</v>
      </c>
      <c r="B130">
        <v>22</v>
      </c>
      <c r="C130">
        <v>3</v>
      </c>
      <c r="D130">
        <v>22</v>
      </c>
      <c r="F130">
        <v>0</v>
      </c>
      <c r="G130">
        <v>4</v>
      </c>
      <c r="H130" t="s">
        <v>24</v>
      </c>
      <c r="I130" t="s">
        <v>106</v>
      </c>
      <c r="J130" t="s">
        <v>141</v>
      </c>
      <c r="K130">
        <v>7.9</v>
      </c>
      <c r="L130">
        <v>4732.1000000000004</v>
      </c>
    </row>
    <row r="131" spans="1:12" x14ac:dyDescent="0.3">
      <c r="A131">
        <v>9</v>
      </c>
      <c r="B131">
        <v>20</v>
      </c>
      <c r="C131">
        <v>3</v>
      </c>
      <c r="D131">
        <v>21</v>
      </c>
      <c r="E131">
        <v>1</v>
      </c>
      <c r="F131">
        <v>0</v>
      </c>
      <c r="G131">
        <v>4</v>
      </c>
      <c r="H131" t="s">
        <v>20</v>
      </c>
      <c r="J131">
        <v>582</v>
      </c>
      <c r="K131">
        <v>9.1</v>
      </c>
      <c r="L131">
        <v>5296.2</v>
      </c>
    </row>
    <row r="132" spans="1:12" x14ac:dyDescent="0.3">
      <c r="A132">
        <v>12</v>
      </c>
      <c r="B132">
        <v>23</v>
      </c>
      <c r="C132">
        <v>0</v>
      </c>
      <c r="D132">
        <v>6</v>
      </c>
      <c r="E132">
        <v>1</v>
      </c>
      <c r="F132">
        <v>0</v>
      </c>
      <c r="G132">
        <v>6</v>
      </c>
      <c r="H132" t="s">
        <v>22</v>
      </c>
      <c r="I132" t="s">
        <v>90</v>
      </c>
      <c r="J132">
        <v>337</v>
      </c>
      <c r="K132">
        <v>7.8</v>
      </c>
      <c r="L132">
        <v>2628.6</v>
      </c>
    </row>
    <row r="133" spans="1:12" x14ac:dyDescent="0.3">
      <c r="A133">
        <v>14</v>
      </c>
      <c r="B133">
        <v>23</v>
      </c>
      <c r="C133">
        <v>0</v>
      </c>
      <c r="D133">
        <v>20</v>
      </c>
      <c r="E133">
        <v>1</v>
      </c>
      <c r="F133">
        <v>0</v>
      </c>
      <c r="G133">
        <v>10</v>
      </c>
      <c r="H133" t="s">
        <v>24</v>
      </c>
      <c r="I133" t="s">
        <v>71</v>
      </c>
      <c r="J133" t="s">
        <v>142</v>
      </c>
      <c r="K133">
        <v>7.9</v>
      </c>
      <c r="L133">
        <v>5229.8</v>
      </c>
    </row>
    <row r="134" spans="1:12" x14ac:dyDescent="0.3">
      <c r="A134">
        <v>23</v>
      </c>
      <c r="B134">
        <v>23</v>
      </c>
      <c r="C134">
        <v>3</v>
      </c>
      <c r="D134">
        <v>14</v>
      </c>
      <c r="F134">
        <v>0</v>
      </c>
      <c r="G134">
        <v>6</v>
      </c>
      <c r="H134" t="s">
        <v>48</v>
      </c>
      <c r="I134" t="s">
        <v>81</v>
      </c>
      <c r="J134">
        <v>517</v>
      </c>
      <c r="K134">
        <v>8.6999999999999993</v>
      </c>
      <c r="L134">
        <v>4497.8999999999996</v>
      </c>
    </row>
    <row r="135" spans="1:12" x14ac:dyDescent="0.3">
      <c r="A135">
        <v>5</v>
      </c>
      <c r="C135">
        <v>0</v>
      </c>
      <c r="D135">
        <v>20</v>
      </c>
      <c r="E135">
        <v>1</v>
      </c>
      <c r="F135">
        <v>0</v>
      </c>
      <c r="G135">
        <v>12</v>
      </c>
      <c r="H135" t="s">
        <v>22</v>
      </c>
      <c r="I135" t="s">
        <v>93</v>
      </c>
      <c r="J135">
        <v>464</v>
      </c>
      <c r="K135">
        <v>7.8</v>
      </c>
      <c r="L135">
        <v>3619.2</v>
      </c>
    </row>
    <row r="136" spans="1:12" x14ac:dyDescent="0.3">
      <c r="A136">
        <v>11</v>
      </c>
      <c r="B136">
        <v>22</v>
      </c>
      <c r="C136">
        <v>0</v>
      </c>
      <c r="D136">
        <v>6</v>
      </c>
      <c r="E136">
        <v>12</v>
      </c>
      <c r="F136">
        <v>0</v>
      </c>
      <c r="G136">
        <v>2</v>
      </c>
      <c r="H136" t="s">
        <v>49</v>
      </c>
      <c r="I136" t="s">
        <v>106</v>
      </c>
      <c r="J136">
        <v>332</v>
      </c>
      <c r="K136">
        <v>8.5</v>
      </c>
      <c r="L136">
        <v>2822</v>
      </c>
    </row>
    <row r="137" spans="1:12" x14ac:dyDescent="0.3">
      <c r="A137">
        <v>11</v>
      </c>
      <c r="B137">
        <v>23</v>
      </c>
      <c r="C137">
        <v>3</v>
      </c>
      <c r="D137">
        <v>16</v>
      </c>
      <c r="E137">
        <v>1</v>
      </c>
      <c r="F137">
        <v>0</v>
      </c>
      <c r="G137">
        <v>2</v>
      </c>
      <c r="H137" t="s">
        <v>33</v>
      </c>
      <c r="I137" t="s">
        <v>91</v>
      </c>
      <c r="J137">
        <v>391</v>
      </c>
      <c r="K137" t="s">
        <v>143</v>
      </c>
      <c r="L137">
        <v>3636.3</v>
      </c>
    </row>
    <row r="138" spans="1:12" x14ac:dyDescent="0.3">
      <c r="B138">
        <v>23</v>
      </c>
      <c r="D138">
        <v>20</v>
      </c>
      <c r="E138">
        <v>12</v>
      </c>
      <c r="F138">
        <v>0</v>
      </c>
      <c r="G138">
        <v>12</v>
      </c>
      <c r="H138" t="s">
        <v>25</v>
      </c>
      <c r="J138">
        <v>707</v>
      </c>
      <c r="K138">
        <v>8.1</v>
      </c>
      <c r="L138">
        <v>5726.7</v>
      </c>
    </row>
    <row r="139" spans="1:12" x14ac:dyDescent="0.3">
      <c r="A139">
        <v>17</v>
      </c>
      <c r="B139">
        <v>23</v>
      </c>
      <c r="C139">
        <v>2</v>
      </c>
      <c r="D139">
        <v>13</v>
      </c>
      <c r="E139">
        <v>1</v>
      </c>
      <c r="F139">
        <v>0</v>
      </c>
      <c r="G139">
        <v>6</v>
      </c>
      <c r="H139" t="s">
        <v>25</v>
      </c>
      <c r="I139" t="s">
        <v>106</v>
      </c>
      <c r="J139">
        <v>500</v>
      </c>
      <c r="K139">
        <v>8.1</v>
      </c>
      <c r="L139">
        <v>4050</v>
      </c>
    </row>
    <row r="140" spans="1:12" x14ac:dyDescent="0.3">
      <c r="A140">
        <v>8</v>
      </c>
      <c r="B140">
        <v>17</v>
      </c>
      <c r="C140">
        <v>0</v>
      </c>
      <c r="D140">
        <v>14</v>
      </c>
      <c r="E140">
        <v>1</v>
      </c>
      <c r="F140">
        <v>0</v>
      </c>
      <c r="G140">
        <v>6</v>
      </c>
      <c r="H140" t="s">
        <v>33</v>
      </c>
      <c r="I140" t="s">
        <v>70</v>
      </c>
      <c r="J140">
        <v>335</v>
      </c>
      <c r="K140">
        <v>9.3000000000000007</v>
      </c>
      <c r="L140">
        <v>3115.5</v>
      </c>
    </row>
    <row r="141" spans="1:12" x14ac:dyDescent="0.3">
      <c r="A141">
        <v>12</v>
      </c>
      <c r="B141">
        <v>22</v>
      </c>
      <c r="C141">
        <v>3</v>
      </c>
      <c r="D141">
        <v>11</v>
      </c>
      <c r="E141">
        <v>1</v>
      </c>
      <c r="F141">
        <v>0</v>
      </c>
      <c r="G141">
        <v>8</v>
      </c>
      <c r="H141" t="s">
        <v>33</v>
      </c>
      <c r="I141" t="s">
        <v>109</v>
      </c>
      <c r="J141">
        <v>573</v>
      </c>
      <c r="L141">
        <v>5328.9</v>
      </c>
    </row>
    <row r="142" spans="1:12" x14ac:dyDescent="0.3">
      <c r="A142">
        <v>13</v>
      </c>
      <c r="B142">
        <v>23</v>
      </c>
      <c r="C142">
        <v>2</v>
      </c>
      <c r="D142">
        <v>7</v>
      </c>
      <c r="E142">
        <v>1</v>
      </c>
      <c r="F142">
        <v>0</v>
      </c>
      <c r="G142">
        <v>5</v>
      </c>
      <c r="I142" t="s">
        <v>95</v>
      </c>
      <c r="J142">
        <v>511</v>
      </c>
      <c r="K142">
        <v>7.4</v>
      </c>
      <c r="L142">
        <v>3781.4</v>
      </c>
    </row>
    <row r="143" spans="1:12" x14ac:dyDescent="0.3">
      <c r="B143">
        <v>23</v>
      </c>
      <c r="C143">
        <v>2</v>
      </c>
      <c r="D143">
        <v>17</v>
      </c>
      <c r="E143">
        <v>1</v>
      </c>
      <c r="F143">
        <v>0</v>
      </c>
      <c r="G143">
        <v>7</v>
      </c>
      <c r="H143" t="s">
        <v>26</v>
      </c>
      <c r="I143" t="s">
        <v>82</v>
      </c>
      <c r="J143">
        <v>689</v>
      </c>
      <c r="K143">
        <v>8.5</v>
      </c>
      <c r="L143">
        <v>5856.5</v>
      </c>
    </row>
    <row r="144" spans="1:12" x14ac:dyDescent="0.3">
      <c r="A144">
        <v>23</v>
      </c>
      <c r="B144">
        <v>23</v>
      </c>
      <c r="C144">
        <v>2</v>
      </c>
      <c r="D144">
        <v>7</v>
      </c>
      <c r="E144">
        <v>12</v>
      </c>
      <c r="F144">
        <v>0</v>
      </c>
      <c r="G144">
        <v>6</v>
      </c>
      <c r="H144" t="s">
        <v>27</v>
      </c>
      <c r="I144" t="s">
        <v>83</v>
      </c>
      <c r="J144">
        <v>543</v>
      </c>
      <c r="K144">
        <v>8.4</v>
      </c>
      <c r="L144">
        <v>4561.2</v>
      </c>
    </row>
    <row r="145" spans="1:12" x14ac:dyDescent="0.3">
      <c r="A145">
        <v>9</v>
      </c>
      <c r="B145">
        <v>22</v>
      </c>
      <c r="C145">
        <v>2</v>
      </c>
      <c r="D145">
        <v>9</v>
      </c>
      <c r="E145">
        <v>1</v>
      </c>
      <c r="F145">
        <v>0</v>
      </c>
      <c r="G145">
        <v>8</v>
      </c>
      <c r="H145" t="s">
        <v>12</v>
      </c>
      <c r="I145" t="s">
        <v>83</v>
      </c>
      <c r="J145">
        <v>527</v>
      </c>
      <c r="K145">
        <v>8.1</v>
      </c>
      <c r="L145">
        <v>4268.7</v>
      </c>
    </row>
    <row r="146" spans="1:12" x14ac:dyDescent="0.3">
      <c r="A146">
        <v>20</v>
      </c>
      <c r="B146">
        <v>23</v>
      </c>
      <c r="C146">
        <v>3</v>
      </c>
      <c r="D146">
        <v>18</v>
      </c>
      <c r="E146">
        <v>1</v>
      </c>
      <c r="F146">
        <v>0</v>
      </c>
      <c r="G146">
        <v>11</v>
      </c>
      <c r="H146" t="s">
        <v>20</v>
      </c>
      <c r="I146" t="s">
        <v>110</v>
      </c>
      <c r="J146">
        <v>634</v>
      </c>
      <c r="K146">
        <v>9.1</v>
      </c>
      <c r="L146" t="s">
        <v>255</v>
      </c>
    </row>
    <row r="147" spans="1:12" x14ac:dyDescent="0.3">
      <c r="A147">
        <v>20</v>
      </c>
      <c r="B147">
        <v>23</v>
      </c>
      <c r="C147">
        <v>2</v>
      </c>
      <c r="D147">
        <v>8</v>
      </c>
      <c r="E147">
        <v>1</v>
      </c>
      <c r="F147">
        <v>0</v>
      </c>
      <c r="G147">
        <v>12</v>
      </c>
      <c r="H147" t="s">
        <v>25</v>
      </c>
      <c r="I147" t="s">
        <v>80</v>
      </c>
      <c r="J147">
        <v>632</v>
      </c>
      <c r="K147">
        <v>8.1</v>
      </c>
      <c r="L147">
        <v>5119.2</v>
      </c>
    </row>
    <row r="148" spans="1:12" x14ac:dyDescent="0.3">
      <c r="A148">
        <v>22</v>
      </c>
      <c r="B148">
        <v>23</v>
      </c>
      <c r="C148">
        <v>2</v>
      </c>
      <c r="D148">
        <v>8</v>
      </c>
      <c r="E148">
        <v>1</v>
      </c>
      <c r="F148">
        <v>0</v>
      </c>
      <c r="G148">
        <v>1</v>
      </c>
      <c r="H148" t="s">
        <v>21</v>
      </c>
      <c r="I148" t="s">
        <v>106</v>
      </c>
      <c r="J148">
        <v>658</v>
      </c>
      <c r="K148">
        <v>8.6999999999999993</v>
      </c>
      <c r="L148">
        <v>5724.5999999999904</v>
      </c>
    </row>
    <row r="149" spans="1:12" x14ac:dyDescent="0.3">
      <c r="A149">
        <v>17</v>
      </c>
      <c r="B149">
        <v>22</v>
      </c>
      <c r="C149">
        <v>0</v>
      </c>
      <c r="D149">
        <v>16</v>
      </c>
      <c r="E149">
        <v>12</v>
      </c>
      <c r="F149">
        <v>0</v>
      </c>
      <c r="G149">
        <v>6</v>
      </c>
      <c r="H149" t="s">
        <v>36</v>
      </c>
      <c r="I149" t="s">
        <v>82</v>
      </c>
      <c r="J149" t="s">
        <v>143</v>
      </c>
      <c r="K149" t="s">
        <v>244</v>
      </c>
      <c r="L149">
        <v>4558.3999999999996</v>
      </c>
    </row>
    <row r="150" spans="1:12" x14ac:dyDescent="0.3">
      <c r="A150">
        <v>11</v>
      </c>
      <c r="B150">
        <v>22</v>
      </c>
      <c r="C150">
        <v>3</v>
      </c>
      <c r="D150">
        <v>19</v>
      </c>
      <c r="E150">
        <v>1</v>
      </c>
      <c r="F150">
        <v>0</v>
      </c>
      <c r="G150">
        <v>2</v>
      </c>
      <c r="H150" t="s">
        <v>30</v>
      </c>
      <c r="I150" t="s">
        <v>86</v>
      </c>
      <c r="J150">
        <v>536</v>
      </c>
      <c r="K150">
        <v>9.1999999999999993</v>
      </c>
      <c r="L150">
        <v>4931.2</v>
      </c>
    </row>
    <row r="151" spans="1:12" x14ac:dyDescent="0.3">
      <c r="A151">
        <v>6</v>
      </c>
      <c r="B151">
        <v>19</v>
      </c>
      <c r="C151">
        <v>1</v>
      </c>
      <c r="E151">
        <v>1</v>
      </c>
      <c r="F151">
        <v>0</v>
      </c>
      <c r="G151">
        <v>8</v>
      </c>
      <c r="H151" t="s">
        <v>32</v>
      </c>
      <c r="I151" t="s">
        <v>77</v>
      </c>
      <c r="J151">
        <v>340</v>
      </c>
      <c r="K151">
        <v>7.6</v>
      </c>
    </row>
    <row r="152" spans="1:12" x14ac:dyDescent="0.3">
      <c r="A152">
        <v>5</v>
      </c>
      <c r="C152">
        <v>3</v>
      </c>
      <c r="D152">
        <v>14</v>
      </c>
      <c r="E152">
        <v>7</v>
      </c>
      <c r="F152">
        <v>0</v>
      </c>
      <c r="G152">
        <v>8</v>
      </c>
      <c r="H152" t="s">
        <v>16</v>
      </c>
      <c r="I152" t="s">
        <v>78</v>
      </c>
      <c r="K152">
        <v>8.9</v>
      </c>
      <c r="L152">
        <v>4325.3999999999996</v>
      </c>
    </row>
    <row r="153" spans="1:12" x14ac:dyDescent="0.3">
      <c r="A153">
        <v>11</v>
      </c>
      <c r="B153">
        <v>22</v>
      </c>
      <c r="C153">
        <v>0</v>
      </c>
      <c r="D153">
        <v>5</v>
      </c>
      <c r="E153">
        <v>1</v>
      </c>
      <c r="F153">
        <v>0</v>
      </c>
      <c r="G153">
        <v>11</v>
      </c>
      <c r="H153" t="s">
        <v>25</v>
      </c>
      <c r="J153">
        <v>236</v>
      </c>
      <c r="K153">
        <v>8.1</v>
      </c>
      <c r="L153">
        <v>1911.6</v>
      </c>
    </row>
    <row r="154" spans="1:12" x14ac:dyDescent="0.3">
      <c r="A154">
        <v>20</v>
      </c>
      <c r="B154">
        <v>23</v>
      </c>
      <c r="C154">
        <v>2</v>
      </c>
      <c r="D154">
        <v>21</v>
      </c>
      <c r="E154">
        <v>12</v>
      </c>
      <c r="F154">
        <v>0</v>
      </c>
      <c r="H154" t="s">
        <v>50</v>
      </c>
      <c r="I154" t="s">
        <v>90</v>
      </c>
      <c r="J154" t="s">
        <v>144</v>
      </c>
      <c r="K154">
        <v>9.3000000000000007</v>
      </c>
      <c r="L154">
        <v>7254</v>
      </c>
    </row>
    <row r="155" spans="1:12" x14ac:dyDescent="0.3">
      <c r="A155">
        <v>11</v>
      </c>
      <c r="B155">
        <v>22</v>
      </c>
      <c r="C155">
        <v>2</v>
      </c>
      <c r="D155">
        <v>14</v>
      </c>
      <c r="E155">
        <v>1</v>
      </c>
      <c r="F155">
        <v>0</v>
      </c>
      <c r="G155">
        <v>3</v>
      </c>
      <c r="H155" t="s">
        <v>51</v>
      </c>
      <c r="I155" t="s">
        <v>98</v>
      </c>
      <c r="J155">
        <v>394</v>
      </c>
      <c r="L155">
        <v>3467.2</v>
      </c>
    </row>
    <row r="156" spans="1:12" x14ac:dyDescent="0.3">
      <c r="A156">
        <v>17</v>
      </c>
      <c r="C156">
        <v>2</v>
      </c>
      <c r="E156">
        <v>1</v>
      </c>
      <c r="F156">
        <v>0</v>
      </c>
      <c r="G156">
        <v>7</v>
      </c>
      <c r="H156" t="s">
        <v>38</v>
      </c>
      <c r="I156" t="s">
        <v>106</v>
      </c>
      <c r="J156">
        <v>413</v>
      </c>
      <c r="K156">
        <v>7.4</v>
      </c>
      <c r="L156">
        <v>3056.2</v>
      </c>
    </row>
    <row r="157" spans="1:12" x14ac:dyDescent="0.3">
      <c r="A157">
        <v>14</v>
      </c>
      <c r="B157">
        <v>23</v>
      </c>
      <c r="C157">
        <v>0</v>
      </c>
      <c r="D157">
        <v>15</v>
      </c>
      <c r="E157">
        <v>1</v>
      </c>
      <c r="F157">
        <v>0</v>
      </c>
      <c r="G157">
        <v>1</v>
      </c>
      <c r="H157" t="s">
        <v>21</v>
      </c>
      <c r="I157" t="s">
        <v>107</v>
      </c>
      <c r="J157">
        <v>413</v>
      </c>
      <c r="K157">
        <v>8.6999999999999993</v>
      </c>
      <c r="L157">
        <v>3593.1</v>
      </c>
    </row>
    <row r="158" spans="1:12" x14ac:dyDescent="0.3">
      <c r="A158">
        <v>16</v>
      </c>
      <c r="B158">
        <v>22</v>
      </c>
      <c r="C158">
        <v>2</v>
      </c>
      <c r="D158">
        <v>3</v>
      </c>
      <c r="E158">
        <v>1</v>
      </c>
      <c r="F158">
        <v>0</v>
      </c>
      <c r="G158">
        <v>10</v>
      </c>
      <c r="H158" t="s">
        <v>52</v>
      </c>
      <c r="I158" t="s">
        <v>73</v>
      </c>
      <c r="J158">
        <v>337</v>
      </c>
      <c r="K158">
        <v>9.3000000000000007</v>
      </c>
      <c r="L158">
        <v>3134.1</v>
      </c>
    </row>
    <row r="159" spans="1:12" x14ac:dyDescent="0.3">
      <c r="A159">
        <v>18</v>
      </c>
      <c r="B159">
        <v>22</v>
      </c>
      <c r="C159">
        <v>1</v>
      </c>
      <c r="D159">
        <v>19</v>
      </c>
      <c r="E159">
        <v>1</v>
      </c>
      <c r="F159">
        <v>0</v>
      </c>
      <c r="G159">
        <v>3</v>
      </c>
      <c r="H159" t="s">
        <v>13</v>
      </c>
      <c r="I159" t="s">
        <v>75</v>
      </c>
      <c r="J159">
        <v>546</v>
      </c>
      <c r="K159">
        <v>8.3000000000000007</v>
      </c>
      <c r="L159">
        <v>4531.8</v>
      </c>
    </row>
    <row r="160" spans="1:12" x14ac:dyDescent="0.3">
      <c r="A160">
        <v>13</v>
      </c>
      <c r="B160">
        <v>23</v>
      </c>
      <c r="C160">
        <v>3</v>
      </c>
      <c r="D160">
        <v>6</v>
      </c>
      <c r="E160">
        <v>1</v>
      </c>
      <c r="F160">
        <v>0</v>
      </c>
      <c r="G160">
        <v>4</v>
      </c>
      <c r="H160" t="s">
        <v>38</v>
      </c>
      <c r="I160" t="s">
        <v>92</v>
      </c>
      <c r="J160">
        <v>536</v>
      </c>
      <c r="K160">
        <v>7.4</v>
      </c>
      <c r="L160">
        <v>3966.4</v>
      </c>
    </row>
    <row r="161" spans="1:12" x14ac:dyDescent="0.3">
      <c r="A161">
        <v>5</v>
      </c>
      <c r="B161">
        <v>22</v>
      </c>
      <c r="C161">
        <v>2</v>
      </c>
      <c r="D161">
        <v>4</v>
      </c>
      <c r="E161">
        <v>1</v>
      </c>
      <c r="F161">
        <v>0</v>
      </c>
      <c r="G161">
        <v>11</v>
      </c>
      <c r="H161" t="s">
        <v>23</v>
      </c>
      <c r="I161" t="s">
        <v>84</v>
      </c>
      <c r="J161">
        <v>253</v>
      </c>
      <c r="K161">
        <v>8.4</v>
      </c>
      <c r="L161">
        <v>2125.1999999999998</v>
      </c>
    </row>
    <row r="162" spans="1:12" x14ac:dyDescent="0.3">
      <c r="A162">
        <v>10</v>
      </c>
      <c r="B162">
        <v>20</v>
      </c>
      <c r="C162">
        <v>3</v>
      </c>
      <c r="D162">
        <v>12</v>
      </c>
      <c r="E162">
        <v>1</v>
      </c>
      <c r="F162">
        <v>0</v>
      </c>
      <c r="G162">
        <v>1</v>
      </c>
      <c r="H162" t="s">
        <v>15</v>
      </c>
      <c r="I162" t="s">
        <v>85</v>
      </c>
      <c r="J162">
        <v>387</v>
      </c>
      <c r="K162">
        <v>8.3000000000000007</v>
      </c>
    </row>
    <row r="163" spans="1:12" x14ac:dyDescent="0.3">
      <c r="A163">
        <v>17</v>
      </c>
      <c r="B163">
        <v>22</v>
      </c>
      <c r="C163">
        <v>1</v>
      </c>
      <c r="D163">
        <v>10</v>
      </c>
      <c r="E163">
        <v>1</v>
      </c>
      <c r="F163">
        <v>0</v>
      </c>
      <c r="G163">
        <v>4</v>
      </c>
      <c r="I163" t="s">
        <v>96</v>
      </c>
      <c r="J163">
        <v>556</v>
      </c>
      <c r="K163">
        <v>7.8</v>
      </c>
      <c r="L163">
        <v>4336.8</v>
      </c>
    </row>
    <row r="164" spans="1:12" x14ac:dyDescent="0.3">
      <c r="A164">
        <v>7</v>
      </c>
      <c r="C164">
        <v>2</v>
      </c>
      <c r="D164">
        <v>17</v>
      </c>
      <c r="E164">
        <v>1</v>
      </c>
      <c r="F164">
        <v>0</v>
      </c>
      <c r="G164">
        <v>2</v>
      </c>
      <c r="H164" t="s">
        <v>23</v>
      </c>
      <c r="J164">
        <v>480</v>
      </c>
      <c r="K164">
        <v>8.4</v>
      </c>
      <c r="L164">
        <v>4032</v>
      </c>
    </row>
    <row r="165" spans="1:12" x14ac:dyDescent="0.3">
      <c r="B165">
        <v>23</v>
      </c>
      <c r="C165">
        <v>3</v>
      </c>
      <c r="E165">
        <v>12</v>
      </c>
      <c r="F165">
        <v>0</v>
      </c>
      <c r="G165">
        <v>8</v>
      </c>
      <c r="H165" t="s">
        <v>26</v>
      </c>
      <c r="I165" t="s">
        <v>106</v>
      </c>
      <c r="J165">
        <v>690</v>
      </c>
      <c r="K165">
        <v>8.5</v>
      </c>
      <c r="L165">
        <v>5865</v>
      </c>
    </row>
    <row r="166" spans="1:12" x14ac:dyDescent="0.3">
      <c r="A166">
        <v>9</v>
      </c>
      <c r="B166">
        <v>22</v>
      </c>
      <c r="C166">
        <v>2</v>
      </c>
      <c r="E166">
        <v>1</v>
      </c>
      <c r="F166">
        <v>0</v>
      </c>
      <c r="G166">
        <v>1</v>
      </c>
      <c r="H166" t="s">
        <v>32</v>
      </c>
      <c r="I166" t="s">
        <v>91</v>
      </c>
      <c r="J166">
        <v>504</v>
      </c>
      <c r="K166">
        <v>7.6</v>
      </c>
      <c r="L166">
        <v>3830.3999999999901</v>
      </c>
    </row>
    <row r="167" spans="1:12" x14ac:dyDescent="0.3">
      <c r="A167">
        <v>14</v>
      </c>
      <c r="B167">
        <v>22</v>
      </c>
      <c r="C167">
        <v>1</v>
      </c>
      <c r="D167">
        <v>10</v>
      </c>
      <c r="E167">
        <v>1</v>
      </c>
      <c r="F167">
        <v>0</v>
      </c>
      <c r="G167">
        <v>2</v>
      </c>
      <c r="H167" t="s">
        <v>15</v>
      </c>
      <c r="I167" t="s">
        <v>111</v>
      </c>
      <c r="J167">
        <v>429</v>
      </c>
      <c r="K167">
        <v>8.3000000000000007</v>
      </c>
      <c r="L167">
        <v>3560.7</v>
      </c>
    </row>
    <row r="168" spans="1:12" x14ac:dyDescent="0.3">
      <c r="A168">
        <v>5</v>
      </c>
      <c r="B168">
        <v>20</v>
      </c>
      <c r="C168">
        <v>1</v>
      </c>
      <c r="D168">
        <v>18</v>
      </c>
      <c r="E168">
        <v>1</v>
      </c>
      <c r="G168">
        <v>3</v>
      </c>
      <c r="H168" t="s">
        <v>38</v>
      </c>
      <c r="I168" t="s">
        <v>90</v>
      </c>
      <c r="J168">
        <v>532</v>
      </c>
      <c r="K168">
        <v>7.4</v>
      </c>
      <c r="L168">
        <v>3936.8</v>
      </c>
    </row>
    <row r="169" spans="1:12" x14ac:dyDescent="0.3">
      <c r="A169">
        <v>17</v>
      </c>
      <c r="B169">
        <v>22</v>
      </c>
      <c r="C169">
        <v>2</v>
      </c>
      <c r="D169">
        <v>15</v>
      </c>
      <c r="E169">
        <v>12</v>
      </c>
      <c r="F169">
        <v>0</v>
      </c>
      <c r="G169">
        <v>12</v>
      </c>
      <c r="H169" t="s">
        <v>26</v>
      </c>
      <c r="I169" t="s">
        <v>88</v>
      </c>
      <c r="J169">
        <v>584</v>
      </c>
      <c r="K169">
        <v>8.5</v>
      </c>
      <c r="L169">
        <v>4964</v>
      </c>
    </row>
    <row r="170" spans="1:12" x14ac:dyDescent="0.3">
      <c r="A170">
        <v>7</v>
      </c>
      <c r="B170">
        <v>21</v>
      </c>
      <c r="C170">
        <v>3</v>
      </c>
      <c r="D170">
        <v>22</v>
      </c>
      <c r="E170">
        <v>1</v>
      </c>
      <c r="F170">
        <v>0</v>
      </c>
      <c r="G170">
        <v>12</v>
      </c>
      <c r="H170" t="s">
        <v>24</v>
      </c>
      <c r="I170" t="s">
        <v>73</v>
      </c>
      <c r="J170">
        <v>675</v>
      </c>
      <c r="K170">
        <v>7.9</v>
      </c>
      <c r="L170">
        <v>5332.5</v>
      </c>
    </row>
    <row r="171" spans="1:12" x14ac:dyDescent="0.3">
      <c r="B171">
        <v>23</v>
      </c>
      <c r="C171">
        <v>1</v>
      </c>
      <c r="E171">
        <v>1</v>
      </c>
      <c r="F171">
        <v>0</v>
      </c>
      <c r="G171">
        <v>4</v>
      </c>
      <c r="H171" t="s">
        <v>16</v>
      </c>
      <c r="I171" t="s">
        <v>107</v>
      </c>
      <c r="J171">
        <v>643</v>
      </c>
      <c r="K171">
        <v>8.9</v>
      </c>
      <c r="L171">
        <v>5722.7</v>
      </c>
    </row>
    <row r="172" spans="1:12" x14ac:dyDescent="0.3">
      <c r="A172">
        <v>7</v>
      </c>
      <c r="B172">
        <v>20</v>
      </c>
      <c r="C172">
        <v>2</v>
      </c>
      <c r="D172">
        <v>22</v>
      </c>
      <c r="E172">
        <v>1</v>
      </c>
      <c r="F172">
        <v>0</v>
      </c>
      <c r="G172">
        <v>9</v>
      </c>
      <c r="H172" t="s">
        <v>20</v>
      </c>
      <c r="I172" t="s">
        <v>93</v>
      </c>
      <c r="J172">
        <v>522</v>
      </c>
      <c r="K172">
        <v>9.1</v>
      </c>
      <c r="L172">
        <v>4750.2</v>
      </c>
    </row>
    <row r="173" spans="1:12" x14ac:dyDescent="0.3">
      <c r="A173">
        <v>16</v>
      </c>
      <c r="B173">
        <v>23</v>
      </c>
      <c r="C173">
        <v>1</v>
      </c>
      <c r="D173">
        <v>15</v>
      </c>
      <c r="E173">
        <v>1</v>
      </c>
      <c r="F173">
        <v>0</v>
      </c>
      <c r="G173">
        <v>11</v>
      </c>
      <c r="H173" t="s">
        <v>22</v>
      </c>
      <c r="J173">
        <v>657</v>
      </c>
      <c r="K173">
        <v>7.8</v>
      </c>
      <c r="L173">
        <v>5124.5999999999904</v>
      </c>
    </row>
    <row r="174" spans="1:12" x14ac:dyDescent="0.3">
      <c r="A174">
        <v>20</v>
      </c>
      <c r="B174">
        <v>23</v>
      </c>
      <c r="C174">
        <v>1</v>
      </c>
      <c r="D174">
        <v>20</v>
      </c>
      <c r="E174">
        <v>12</v>
      </c>
      <c r="F174">
        <v>0</v>
      </c>
      <c r="G174">
        <v>10</v>
      </c>
      <c r="H174" t="s">
        <v>32</v>
      </c>
      <c r="I174" t="s">
        <v>77</v>
      </c>
      <c r="J174">
        <v>845</v>
      </c>
      <c r="K174">
        <v>7.6</v>
      </c>
      <c r="L174">
        <v>6422</v>
      </c>
    </row>
    <row r="175" spans="1:12" x14ac:dyDescent="0.3">
      <c r="A175">
        <v>17</v>
      </c>
      <c r="B175">
        <v>23</v>
      </c>
      <c r="C175">
        <v>1</v>
      </c>
      <c r="D175">
        <v>14</v>
      </c>
      <c r="E175">
        <v>1</v>
      </c>
      <c r="G175">
        <v>4</v>
      </c>
      <c r="H175" t="s">
        <v>18</v>
      </c>
      <c r="I175" t="s">
        <v>96</v>
      </c>
      <c r="J175">
        <v>388</v>
      </c>
      <c r="K175">
        <v>7.7</v>
      </c>
      <c r="L175">
        <v>2987.6</v>
      </c>
    </row>
    <row r="176" spans="1:12" x14ac:dyDescent="0.3">
      <c r="A176">
        <v>6</v>
      </c>
      <c r="B176">
        <v>23</v>
      </c>
      <c r="C176">
        <v>1</v>
      </c>
      <c r="D176">
        <v>12</v>
      </c>
      <c r="E176">
        <v>7</v>
      </c>
      <c r="F176">
        <v>0</v>
      </c>
      <c r="G176">
        <v>5</v>
      </c>
      <c r="H176" t="s">
        <v>24</v>
      </c>
      <c r="I176" t="s">
        <v>89</v>
      </c>
      <c r="J176">
        <v>649</v>
      </c>
      <c r="K176" t="s">
        <v>241</v>
      </c>
      <c r="L176">
        <v>5127.1000000000004</v>
      </c>
    </row>
    <row r="177" spans="1:12" x14ac:dyDescent="0.3">
      <c r="A177">
        <v>5</v>
      </c>
      <c r="C177">
        <v>2</v>
      </c>
      <c r="D177">
        <v>16</v>
      </c>
      <c r="E177">
        <v>1</v>
      </c>
      <c r="F177">
        <v>0</v>
      </c>
      <c r="G177">
        <v>3</v>
      </c>
      <c r="H177" t="s">
        <v>50</v>
      </c>
      <c r="I177" t="s">
        <v>80</v>
      </c>
      <c r="J177">
        <v>398</v>
      </c>
      <c r="K177">
        <v>9.3000000000000007</v>
      </c>
      <c r="L177">
        <v>3701.4</v>
      </c>
    </row>
    <row r="178" spans="1:12" x14ac:dyDescent="0.3">
      <c r="A178">
        <v>8</v>
      </c>
      <c r="B178">
        <v>20</v>
      </c>
      <c r="C178">
        <v>3</v>
      </c>
      <c r="D178">
        <v>16</v>
      </c>
      <c r="E178">
        <v>1</v>
      </c>
      <c r="F178">
        <v>0</v>
      </c>
      <c r="G178">
        <v>12</v>
      </c>
      <c r="H178" t="s">
        <v>25</v>
      </c>
      <c r="I178" t="s">
        <v>112</v>
      </c>
      <c r="J178">
        <v>634</v>
      </c>
      <c r="K178">
        <v>8.1</v>
      </c>
      <c r="L178">
        <v>5135.3999999999996</v>
      </c>
    </row>
    <row r="179" spans="1:12" x14ac:dyDescent="0.3">
      <c r="A179">
        <v>20</v>
      </c>
      <c r="B179">
        <v>22</v>
      </c>
      <c r="C179">
        <v>1</v>
      </c>
      <c r="D179">
        <v>10</v>
      </c>
      <c r="E179">
        <v>1</v>
      </c>
      <c r="F179">
        <v>0</v>
      </c>
      <c r="G179">
        <v>11</v>
      </c>
      <c r="H179" t="s">
        <v>53</v>
      </c>
      <c r="I179" t="s">
        <v>92</v>
      </c>
      <c r="J179">
        <v>611</v>
      </c>
      <c r="K179">
        <v>7.7</v>
      </c>
      <c r="L179">
        <v>4704.7</v>
      </c>
    </row>
    <row r="180" spans="1:12" x14ac:dyDescent="0.3">
      <c r="A180">
        <v>16</v>
      </c>
      <c r="B180">
        <v>23</v>
      </c>
      <c r="C180">
        <v>3</v>
      </c>
      <c r="D180">
        <v>10</v>
      </c>
      <c r="E180">
        <v>1</v>
      </c>
      <c r="F180">
        <v>0</v>
      </c>
      <c r="G180">
        <v>2</v>
      </c>
      <c r="I180" t="s">
        <v>70</v>
      </c>
      <c r="J180" t="s">
        <v>145</v>
      </c>
      <c r="K180">
        <v>9.1</v>
      </c>
      <c r="L180">
        <v>5378.0999999999904</v>
      </c>
    </row>
    <row r="181" spans="1:12" x14ac:dyDescent="0.3">
      <c r="A181">
        <v>22</v>
      </c>
      <c r="B181">
        <v>23</v>
      </c>
      <c r="C181">
        <v>0</v>
      </c>
      <c r="D181">
        <v>15</v>
      </c>
      <c r="E181">
        <v>12</v>
      </c>
      <c r="F181">
        <v>0</v>
      </c>
      <c r="G181">
        <v>11</v>
      </c>
      <c r="H181" t="s">
        <v>38</v>
      </c>
      <c r="I181" t="s">
        <v>89</v>
      </c>
      <c r="J181">
        <v>735</v>
      </c>
      <c r="K181">
        <v>7.4</v>
      </c>
      <c r="L181">
        <v>5439</v>
      </c>
    </row>
    <row r="182" spans="1:12" x14ac:dyDescent="0.3">
      <c r="A182">
        <v>23</v>
      </c>
      <c r="B182">
        <v>22</v>
      </c>
      <c r="C182">
        <v>1</v>
      </c>
      <c r="D182">
        <v>10</v>
      </c>
      <c r="E182">
        <v>1</v>
      </c>
      <c r="F182">
        <v>0</v>
      </c>
      <c r="G182">
        <v>3</v>
      </c>
      <c r="H182" t="s">
        <v>17</v>
      </c>
      <c r="I182" t="s">
        <v>91</v>
      </c>
      <c r="J182">
        <v>449</v>
      </c>
      <c r="K182">
        <v>8.6999999999999993</v>
      </c>
      <c r="L182">
        <v>3906.2999999999902</v>
      </c>
    </row>
    <row r="183" spans="1:12" x14ac:dyDescent="0.3">
      <c r="A183">
        <v>13</v>
      </c>
      <c r="D183">
        <v>11</v>
      </c>
      <c r="E183">
        <v>1</v>
      </c>
      <c r="F183">
        <v>0</v>
      </c>
      <c r="G183">
        <v>1</v>
      </c>
      <c r="H183" t="s">
        <v>16</v>
      </c>
      <c r="I183" t="s">
        <v>89</v>
      </c>
      <c r="J183">
        <v>396</v>
      </c>
      <c r="K183">
        <v>8.9</v>
      </c>
      <c r="L183">
        <v>3524.4</v>
      </c>
    </row>
    <row r="184" spans="1:12" x14ac:dyDescent="0.3">
      <c r="A184">
        <v>18</v>
      </c>
      <c r="B184">
        <v>23</v>
      </c>
      <c r="C184">
        <v>0</v>
      </c>
      <c r="D184">
        <v>13</v>
      </c>
      <c r="E184">
        <v>1</v>
      </c>
      <c r="F184">
        <v>0</v>
      </c>
      <c r="G184">
        <v>4</v>
      </c>
      <c r="H184" t="s">
        <v>25</v>
      </c>
      <c r="I184" t="s">
        <v>79</v>
      </c>
      <c r="J184">
        <v>420</v>
      </c>
      <c r="K184">
        <v>8.1</v>
      </c>
      <c r="L184">
        <v>3402</v>
      </c>
    </row>
    <row r="185" spans="1:12" x14ac:dyDescent="0.3">
      <c r="A185">
        <v>22</v>
      </c>
      <c r="B185">
        <v>22</v>
      </c>
      <c r="C185">
        <v>0</v>
      </c>
      <c r="D185">
        <v>15</v>
      </c>
      <c r="E185">
        <v>1</v>
      </c>
      <c r="F185">
        <v>0</v>
      </c>
      <c r="G185">
        <v>3</v>
      </c>
      <c r="H185" t="s">
        <v>22</v>
      </c>
      <c r="I185" t="s">
        <v>72</v>
      </c>
      <c r="J185">
        <v>592</v>
      </c>
      <c r="K185">
        <v>7.8</v>
      </c>
      <c r="L185">
        <v>4617.5999999999904</v>
      </c>
    </row>
    <row r="186" spans="1:12" x14ac:dyDescent="0.3">
      <c r="A186">
        <v>6</v>
      </c>
      <c r="B186">
        <v>17</v>
      </c>
      <c r="C186">
        <v>2</v>
      </c>
      <c r="D186">
        <v>14</v>
      </c>
      <c r="E186">
        <v>1</v>
      </c>
      <c r="F186">
        <v>0</v>
      </c>
      <c r="G186">
        <v>7</v>
      </c>
      <c r="H186" t="s">
        <v>25</v>
      </c>
      <c r="I186" t="s">
        <v>87</v>
      </c>
      <c r="J186">
        <v>395</v>
      </c>
      <c r="K186" t="s">
        <v>243</v>
      </c>
      <c r="L186">
        <v>3199.5</v>
      </c>
    </row>
    <row r="187" spans="1:12" x14ac:dyDescent="0.3">
      <c r="A187">
        <v>8</v>
      </c>
      <c r="C187">
        <v>2</v>
      </c>
      <c r="D187">
        <v>20</v>
      </c>
      <c r="E187">
        <v>1</v>
      </c>
      <c r="F187">
        <v>0</v>
      </c>
      <c r="G187">
        <v>3</v>
      </c>
      <c r="H187" t="s">
        <v>33</v>
      </c>
      <c r="I187" t="s">
        <v>72</v>
      </c>
      <c r="J187">
        <v>522</v>
      </c>
      <c r="K187">
        <v>9.3000000000000007</v>
      </c>
      <c r="L187">
        <v>4854.6000000000004</v>
      </c>
    </row>
    <row r="188" spans="1:12" x14ac:dyDescent="0.3">
      <c r="A188">
        <v>10</v>
      </c>
      <c r="C188">
        <v>3</v>
      </c>
      <c r="D188">
        <v>5</v>
      </c>
      <c r="E188">
        <v>1</v>
      </c>
      <c r="F188">
        <v>0</v>
      </c>
      <c r="G188">
        <v>1</v>
      </c>
      <c r="H188" t="s">
        <v>18</v>
      </c>
      <c r="I188" t="s">
        <v>83</v>
      </c>
      <c r="J188" t="s">
        <v>146</v>
      </c>
      <c r="K188">
        <v>7.7</v>
      </c>
      <c r="L188">
        <v>3103.1</v>
      </c>
    </row>
    <row r="189" spans="1:12" x14ac:dyDescent="0.3">
      <c r="A189">
        <v>10</v>
      </c>
      <c r="B189">
        <v>20</v>
      </c>
      <c r="C189">
        <v>3</v>
      </c>
      <c r="D189">
        <v>21</v>
      </c>
      <c r="E189">
        <v>7</v>
      </c>
      <c r="F189">
        <v>0</v>
      </c>
      <c r="G189">
        <v>4</v>
      </c>
      <c r="H189" t="s">
        <v>21</v>
      </c>
      <c r="I189" t="s">
        <v>105</v>
      </c>
      <c r="J189">
        <v>634</v>
      </c>
      <c r="K189">
        <v>8.6999999999999993</v>
      </c>
      <c r="L189" t="s">
        <v>256</v>
      </c>
    </row>
    <row r="190" spans="1:12" x14ac:dyDescent="0.3">
      <c r="A190">
        <v>23</v>
      </c>
      <c r="B190">
        <v>23</v>
      </c>
      <c r="C190">
        <v>3</v>
      </c>
      <c r="D190">
        <v>11</v>
      </c>
      <c r="E190">
        <v>1</v>
      </c>
      <c r="F190">
        <v>0</v>
      </c>
      <c r="G190">
        <v>8</v>
      </c>
      <c r="H190" t="s">
        <v>18</v>
      </c>
      <c r="I190" t="s">
        <v>88</v>
      </c>
      <c r="J190">
        <v>611</v>
      </c>
      <c r="K190">
        <v>7.7</v>
      </c>
      <c r="L190">
        <v>4704.7</v>
      </c>
    </row>
    <row r="191" spans="1:12" x14ac:dyDescent="0.3">
      <c r="A191">
        <v>12</v>
      </c>
      <c r="B191">
        <v>23</v>
      </c>
      <c r="D191">
        <v>15</v>
      </c>
      <c r="E191">
        <v>1</v>
      </c>
      <c r="F191">
        <v>0</v>
      </c>
      <c r="G191">
        <v>3</v>
      </c>
      <c r="H191" t="s">
        <v>36</v>
      </c>
      <c r="I191" t="s">
        <v>92</v>
      </c>
      <c r="J191">
        <v>475</v>
      </c>
      <c r="K191" t="s">
        <v>244</v>
      </c>
      <c r="L191" t="s">
        <v>257</v>
      </c>
    </row>
    <row r="192" spans="1:12" x14ac:dyDescent="0.3">
      <c r="A192">
        <v>15</v>
      </c>
      <c r="B192">
        <v>23</v>
      </c>
      <c r="C192">
        <v>2</v>
      </c>
      <c r="D192">
        <v>18</v>
      </c>
      <c r="E192">
        <v>12</v>
      </c>
      <c r="F192">
        <v>0</v>
      </c>
      <c r="G192">
        <v>6</v>
      </c>
      <c r="H192" t="s">
        <v>22</v>
      </c>
      <c r="I192" t="s">
        <v>105</v>
      </c>
      <c r="J192">
        <v>544</v>
      </c>
      <c r="K192">
        <v>7.8</v>
      </c>
      <c r="L192">
        <v>4243.2</v>
      </c>
    </row>
    <row r="193" spans="1:12" x14ac:dyDescent="0.3">
      <c r="A193">
        <v>20</v>
      </c>
      <c r="B193">
        <v>22</v>
      </c>
      <c r="C193">
        <v>1</v>
      </c>
      <c r="D193">
        <v>4</v>
      </c>
      <c r="E193">
        <v>1</v>
      </c>
      <c r="F193">
        <v>0</v>
      </c>
      <c r="H193" t="s">
        <v>38</v>
      </c>
      <c r="I193" t="s">
        <v>93</v>
      </c>
      <c r="J193">
        <v>337</v>
      </c>
      <c r="K193">
        <v>7.4</v>
      </c>
      <c r="L193">
        <v>2493.8000000000002</v>
      </c>
    </row>
    <row r="194" spans="1:12" x14ac:dyDescent="0.3">
      <c r="A194">
        <v>17</v>
      </c>
      <c r="B194">
        <v>22</v>
      </c>
      <c r="C194">
        <v>2</v>
      </c>
      <c r="D194">
        <v>4</v>
      </c>
      <c r="E194">
        <v>12</v>
      </c>
      <c r="F194">
        <v>0</v>
      </c>
      <c r="G194">
        <v>11</v>
      </c>
      <c r="H194" t="s">
        <v>33</v>
      </c>
      <c r="I194" t="s">
        <v>93</v>
      </c>
      <c r="J194">
        <v>564</v>
      </c>
      <c r="K194">
        <v>9.3000000000000007</v>
      </c>
      <c r="L194">
        <v>5245.2</v>
      </c>
    </row>
    <row r="195" spans="1:12" x14ac:dyDescent="0.3">
      <c r="A195">
        <v>11</v>
      </c>
      <c r="B195">
        <v>22</v>
      </c>
      <c r="C195">
        <v>3</v>
      </c>
      <c r="D195">
        <v>16</v>
      </c>
      <c r="E195">
        <v>12</v>
      </c>
      <c r="F195">
        <v>0</v>
      </c>
      <c r="G195">
        <v>12</v>
      </c>
      <c r="H195" t="s">
        <v>16</v>
      </c>
      <c r="I195" t="s">
        <v>82</v>
      </c>
      <c r="J195">
        <v>638</v>
      </c>
      <c r="K195" t="s">
        <v>236</v>
      </c>
      <c r="L195">
        <v>5678.2</v>
      </c>
    </row>
    <row r="196" spans="1:12" x14ac:dyDescent="0.3">
      <c r="A196">
        <v>7</v>
      </c>
      <c r="B196">
        <v>21</v>
      </c>
      <c r="C196">
        <v>1</v>
      </c>
      <c r="D196">
        <v>22</v>
      </c>
      <c r="E196">
        <v>1</v>
      </c>
      <c r="F196">
        <v>0</v>
      </c>
      <c r="G196">
        <v>7</v>
      </c>
      <c r="H196" t="s">
        <v>36</v>
      </c>
      <c r="I196" t="s">
        <v>111</v>
      </c>
      <c r="J196" t="s">
        <v>147</v>
      </c>
      <c r="K196">
        <v>8.8000000000000007</v>
      </c>
      <c r="L196">
        <v>4268</v>
      </c>
    </row>
    <row r="197" spans="1:12" x14ac:dyDescent="0.3">
      <c r="A197">
        <v>5</v>
      </c>
      <c r="B197">
        <v>19</v>
      </c>
      <c r="C197">
        <v>0</v>
      </c>
      <c r="D197">
        <v>9</v>
      </c>
      <c r="E197">
        <v>1</v>
      </c>
      <c r="F197">
        <v>0</v>
      </c>
      <c r="G197">
        <v>1</v>
      </c>
      <c r="H197" t="s">
        <v>21</v>
      </c>
      <c r="I197" t="s">
        <v>93</v>
      </c>
      <c r="J197">
        <v>201</v>
      </c>
      <c r="K197">
        <v>8.6999999999999993</v>
      </c>
    </row>
    <row r="198" spans="1:12" x14ac:dyDescent="0.3">
      <c r="A198">
        <v>10</v>
      </c>
      <c r="B198">
        <v>21</v>
      </c>
      <c r="D198">
        <v>13</v>
      </c>
      <c r="E198">
        <v>1</v>
      </c>
      <c r="F198">
        <v>0</v>
      </c>
      <c r="G198">
        <v>10</v>
      </c>
      <c r="H198" t="s">
        <v>26</v>
      </c>
      <c r="I198" t="s">
        <v>113</v>
      </c>
      <c r="J198">
        <v>425</v>
      </c>
      <c r="K198">
        <v>8.5</v>
      </c>
      <c r="L198">
        <v>3612.5</v>
      </c>
    </row>
    <row r="199" spans="1:12" x14ac:dyDescent="0.3">
      <c r="A199">
        <v>14</v>
      </c>
      <c r="B199">
        <v>22</v>
      </c>
      <c r="C199">
        <v>0</v>
      </c>
      <c r="D199">
        <v>3</v>
      </c>
      <c r="E199">
        <v>1</v>
      </c>
      <c r="G199">
        <v>9</v>
      </c>
      <c r="H199" t="s">
        <v>24</v>
      </c>
      <c r="I199" t="s">
        <v>72</v>
      </c>
      <c r="J199">
        <v>287</v>
      </c>
      <c r="K199">
        <v>7.9</v>
      </c>
      <c r="L199">
        <v>2267.3000000000002</v>
      </c>
    </row>
    <row r="200" spans="1:12" x14ac:dyDescent="0.3">
      <c r="A200">
        <v>14</v>
      </c>
      <c r="B200">
        <v>22</v>
      </c>
      <c r="C200">
        <v>3</v>
      </c>
      <c r="D200">
        <v>15</v>
      </c>
      <c r="E200">
        <v>1</v>
      </c>
      <c r="F200">
        <v>0</v>
      </c>
      <c r="G200">
        <v>4</v>
      </c>
      <c r="H200" t="s">
        <v>38</v>
      </c>
      <c r="I200" t="s">
        <v>72</v>
      </c>
      <c r="J200" t="s">
        <v>148</v>
      </c>
      <c r="K200">
        <v>7.4</v>
      </c>
      <c r="L200">
        <v>5091.2</v>
      </c>
    </row>
    <row r="201" spans="1:12" x14ac:dyDescent="0.3">
      <c r="A201">
        <v>23</v>
      </c>
      <c r="B201">
        <v>23</v>
      </c>
      <c r="C201">
        <v>2</v>
      </c>
      <c r="D201">
        <v>18</v>
      </c>
      <c r="E201">
        <v>1</v>
      </c>
      <c r="F201">
        <v>0</v>
      </c>
      <c r="G201">
        <v>4</v>
      </c>
      <c r="H201" t="s">
        <v>23</v>
      </c>
      <c r="I201" t="s">
        <v>114</v>
      </c>
      <c r="J201">
        <v>665</v>
      </c>
      <c r="K201">
        <v>8.4</v>
      </c>
      <c r="L201">
        <v>5586</v>
      </c>
    </row>
    <row r="202" spans="1:12" x14ac:dyDescent="0.3">
      <c r="A202">
        <v>20</v>
      </c>
      <c r="B202">
        <v>23</v>
      </c>
      <c r="C202">
        <v>1</v>
      </c>
      <c r="D202">
        <v>14</v>
      </c>
      <c r="E202">
        <v>1</v>
      </c>
      <c r="F202">
        <v>0</v>
      </c>
      <c r="G202">
        <v>11</v>
      </c>
      <c r="I202" t="s">
        <v>89</v>
      </c>
      <c r="J202">
        <v>658</v>
      </c>
      <c r="K202">
        <v>7.7</v>
      </c>
      <c r="L202" t="s">
        <v>258</v>
      </c>
    </row>
    <row r="203" spans="1:12" x14ac:dyDescent="0.3">
      <c r="A203">
        <v>20</v>
      </c>
      <c r="B203">
        <v>23</v>
      </c>
      <c r="C203">
        <v>1</v>
      </c>
      <c r="D203">
        <v>7</v>
      </c>
      <c r="E203">
        <v>12</v>
      </c>
      <c r="F203">
        <v>0</v>
      </c>
      <c r="G203">
        <v>11</v>
      </c>
      <c r="I203" t="s">
        <v>87</v>
      </c>
      <c r="J203">
        <v>695</v>
      </c>
      <c r="K203">
        <v>9.3000000000000007</v>
      </c>
      <c r="L203">
        <v>6463.5</v>
      </c>
    </row>
    <row r="204" spans="1:12" x14ac:dyDescent="0.3">
      <c r="A204">
        <v>22</v>
      </c>
      <c r="B204">
        <v>23</v>
      </c>
      <c r="C204">
        <v>3</v>
      </c>
      <c r="D204">
        <v>14</v>
      </c>
      <c r="E204">
        <v>1</v>
      </c>
      <c r="F204">
        <v>0</v>
      </c>
      <c r="G204">
        <v>4</v>
      </c>
      <c r="H204" t="s">
        <v>23</v>
      </c>
      <c r="I204" t="s">
        <v>87</v>
      </c>
      <c r="J204">
        <v>566</v>
      </c>
      <c r="K204">
        <v>8.4</v>
      </c>
      <c r="L204">
        <v>4754.3999999999996</v>
      </c>
    </row>
    <row r="205" spans="1:12" x14ac:dyDescent="0.3">
      <c r="A205">
        <v>15</v>
      </c>
      <c r="B205">
        <v>23</v>
      </c>
      <c r="D205">
        <v>14</v>
      </c>
      <c r="E205">
        <v>1</v>
      </c>
      <c r="F205">
        <v>0</v>
      </c>
      <c r="G205">
        <v>9</v>
      </c>
      <c r="I205" t="s">
        <v>78</v>
      </c>
      <c r="J205">
        <v>679</v>
      </c>
      <c r="K205">
        <v>7.4</v>
      </c>
      <c r="L205">
        <v>5024.6000000000004</v>
      </c>
    </row>
    <row r="206" spans="1:12" x14ac:dyDescent="0.3">
      <c r="A206">
        <v>7</v>
      </c>
      <c r="B206">
        <v>18</v>
      </c>
      <c r="C206">
        <v>2</v>
      </c>
      <c r="D206">
        <v>19</v>
      </c>
      <c r="E206">
        <v>1</v>
      </c>
      <c r="F206">
        <v>0</v>
      </c>
      <c r="G206">
        <v>3</v>
      </c>
      <c r="H206" t="s">
        <v>52</v>
      </c>
      <c r="I206" t="s">
        <v>82</v>
      </c>
      <c r="J206">
        <v>486</v>
      </c>
      <c r="K206">
        <v>9.3000000000000007</v>
      </c>
      <c r="L206">
        <v>4519.8</v>
      </c>
    </row>
    <row r="207" spans="1:12" x14ac:dyDescent="0.3">
      <c r="A207">
        <v>17</v>
      </c>
      <c r="B207">
        <v>23</v>
      </c>
      <c r="C207">
        <v>1</v>
      </c>
      <c r="D207">
        <v>3</v>
      </c>
      <c r="E207">
        <v>1</v>
      </c>
      <c r="G207">
        <v>9</v>
      </c>
      <c r="H207" t="s">
        <v>54</v>
      </c>
      <c r="I207" t="s">
        <v>74</v>
      </c>
      <c r="J207">
        <v>316</v>
      </c>
      <c r="K207">
        <v>9.1999999999999993</v>
      </c>
      <c r="L207">
        <v>2907.2</v>
      </c>
    </row>
    <row r="208" spans="1:12" x14ac:dyDescent="0.3">
      <c r="A208">
        <v>6</v>
      </c>
      <c r="B208">
        <v>22</v>
      </c>
      <c r="C208">
        <v>3</v>
      </c>
      <c r="D208">
        <v>9</v>
      </c>
      <c r="E208">
        <v>1</v>
      </c>
      <c r="F208">
        <v>0</v>
      </c>
      <c r="G208">
        <v>10</v>
      </c>
      <c r="H208" t="s">
        <v>35</v>
      </c>
      <c r="I208" t="s">
        <v>96</v>
      </c>
      <c r="J208">
        <v>544</v>
      </c>
      <c r="K208">
        <v>8.1999999999999993</v>
      </c>
      <c r="L208">
        <v>4460.7999999999902</v>
      </c>
    </row>
    <row r="209" spans="1:12" x14ac:dyDescent="0.3">
      <c r="A209">
        <v>20</v>
      </c>
      <c r="B209">
        <v>23</v>
      </c>
      <c r="C209">
        <v>2</v>
      </c>
      <c r="D209">
        <v>13</v>
      </c>
      <c r="E209">
        <v>1</v>
      </c>
      <c r="F209">
        <v>0</v>
      </c>
      <c r="G209">
        <v>6</v>
      </c>
      <c r="H209" t="s">
        <v>38</v>
      </c>
      <c r="I209" t="s">
        <v>91</v>
      </c>
      <c r="J209">
        <v>445</v>
      </c>
      <c r="K209">
        <v>7.4</v>
      </c>
      <c r="L209">
        <v>3293</v>
      </c>
    </row>
    <row r="210" spans="1:12" x14ac:dyDescent="0.3">
      <c r="A210">
        <v>10</v>
      </c>
      <c r="B210">
        <v>22</v>
      </c>
      <c r="C210">
        <v>3</v>
      </c>
      <c r="D210">
        <v>9</v>
      </c>
      <c r="E210">
        <v>1</v>
      </c>
      <c r="F210">
        <v>0</v>
      </c>
      <c r="G210">
        <v>12</v>
      </c>
      <c r="H210" t="s">
        <v>19</v>
      </c>
      <c r="J210">
        <v>486</v>
      </c>
      <c r="K210">
        <v>8.9</v>
      </c>
      <c r="L210">
        <v>4325.3999999999996</v>
      </c>
    </row>
    <row r="211" spans="1:12" x14ac:dyDescent="0.3">
      <c r="A211">
        <v>18</v>
      </c>
      <c r="C211">
        <v>3</v>
      </c>
      <c r="D211">
        <v>18</v>
      </c>
      <c r="E211">
        <v>1</v>
      </c>
      <c r="F211">
        <v>0</v>
      </c>
      <c r="H211" t="s">
        <v>38</v>
      </c>
      <c r="I211" t="s">
        <v>106</v>
      </c>
      <c r="J211">
        <v>677</v>
      </c>
      <c r="K211">
        <v>7.4</v>
      </c>
      <c r="L211" t="s">
        <v>259</v>
      </c>
    </row>
    <row r="212" spans="1:12" x14ac:dyDescent="0.3">
      <c r="A212">
        <v>16</v>
      </c>
      <c r="B212">
        <v>22</v>
      </c>
      <c r="C212">
        <v>0</v>
      </c>
      <c r="D212">
        <v>4</v>
      </c>
      <c r="E212">
        <v>1</v>
      </c>
      <c r="F212">
        <v>0</v>
      </c>
      <c r="G212">
        <v>6</v>
      </c>
      <c r="H212" t="s">
        <v>18</v>
      </c>
      <c r="I212" t="s">
        <v>70</v>
      </c>
      <c r="J212">
        <v>470</v>
      </c>
      <c r="K212">
        <v>7.7</v>
      </c>
      <c r="L212">
        <v>3619</v>
      </c>
    </row>
    <row r="213" spans="1:12" x14ac:dyDescent="0.3">
      <c r="A213">
        <v>19</v>
      </c>
      <c r="B213">
        <v>23</v>
      </c>
      <c r="C213">
        <v>1</v>
      </c>
      <c r="D213">
        <v>17</v>
      </c>
      <c r="E213">
        <v>12</v>
      </c>
      <c r="F213">
        <v>0</v>
      </c>
      <c r="G213">
        <v>2</v>
      </c>
      <c r="H213" t="s">
        <v>35</v>
      </c>
      <c r="I213" t="s">
        <v>87</v>
      </c>
      <c r="J213">
        <v>509</v>
      </c>
      <c r="K213">
        <v>8.1999999999999993</v>
      </c>
      <c r="L213">
        <v>4173.7999999999902</v>
      </c>
    </row>
    <row r="214" spans="1:12" x14ac:dyDescent="0.3">
      <c r="A214">
        <v>14</v>
      </c>
      <c r="B214">
        <v>23</v>
      </c>
      <c r="C214">
        <v>0</v>
      </c>
      <c r="D214">
        <v>17</v>
      </c>
      <c r="E214">
        <v>1</v>
      </c>
      <c r="F214">
        <v>0</v>
      </c>
      <c r="G214">
        <v>12</v>
      </c>
      <c r="H214" t="s">
        <v>52</v>
      </c>
      <c r="I214" t="s">
        <v>84</v>
      </c>
      <c r="J214">
        <v>602</v>
      </c>
      <c r="K214">
        <v>9.3000000000000007</v>
      </c>
      <c r="L214">
        <v>5598.6</v>
      </c>
    </row>
    <row r="215" spans="1:12" x14ac:dyDescent="0.3">
      <c r="A215">
        <v>16</v>
      </c>
      <c r="B215">
        <v>23</v>
      </c>
      <c r="C215">
        <v>0</v>
      </c>
      <c r="D215">
        <v>17</v>
      </c>
      <c r="E215">
        <v>1</v>
      </c>
      <c r="F215">
        <v>0</v>
      </c>
      <c r="G215">
        <v>7</v>
      </c>
      <c r="H215" t="s">
        <v>15</v>
      </c>
      <c r="I215" t="s">
        <v>94</v>
      </c>
      <c r="J215">
        <v>405</v>
      </c>
      <c r="K215">
        <v>8.3000000000000007</v>
      </c>
      <c r="L215">
        <v>3361.5</v>
      </c>
    </row>
    <row r="216" spans="1:12" x14ac:dyDescent="0.3">
      <c r="A216">
        <v>6</v>
      </c>
      <c r="B216">
        <v>19</v>
      </c>
      <c r="C216">
        <v>1</v>
      </c>
      <c r="E216">
        <v>1</v>
      </c>
      <c r="G216">
        <v>8</v>
      </c>
      <c r="H216" t="s">
        <v>40</v>
      </c>
      <c r="I216" t="s">
        <v>83</v>
      </c>
      <c r="J216">
        <v>420</v>
      </c>
      <c r="K216">
        <v>7.4</v>
      </c>
      <c r="L216">
        <v>3108</v>
      </c>
    </row>
    <row r="217" spans="1:12" x14ac:dyDescent="0.3">
      <c r="A217">
        <v>21</v>
      </c>
      <c r="B217">
        <v>23</v>
      </c>
      <c r="C217">
        <v>3</v>
      </c>
      <c r="D217">
        <v>4</v>
      </c>
      <c r="E217">
        <v>1</v>
      </c>
      <c r="F217">
        <v>0</v>
      </c>
      <c r="G217">
        <v>6</v>
      </c>
      <c r="H217" t="s">
        <v>26</v>
      </c>
      <c r="I217" t="s">
        <v>96</v>
      </c>
      <c r="J217">
        <v>490</v>
      </c>
      <c r="K217" t="s">
        <v>245</v>
      </c>
      <c r="L217">
        <v>4165</v>
      </c>
    </row>
    <row r="218" spans="1:12" x14ac:dyDescent="0.3">
      <c r="A218">
        <v>12</v>
      </c>
      <c r="C218">
        <v>2</v>
      </c>
      <c r="D218">
        <v>22</v>
      </c>
      <c r="E218">
        <v>1</v>
      </c>
      <c r="F218">
        <v>0</v>
      </c>
      <c r="G218">
        <v>11</v>
      </c>
      <c r="I218" t="s">
        <v>92</v>
      </c>
      <c r="J218">
        <v>588</v>
      </c>
      <c r="K218">
        <v>8.8000000000000007</v>
      </c>
      <c r="L218">
        <v>5174.3999999999996</v>
      </c>
    </row>
    <row r="219" spans="1:12" x14ac:dyDescent="0.3">
      <c r="A219">
        <v>15</v>
      </c>
      <c r="B219">
        <v>23</v>
      </c>
      <c r="C219">
        <v>1</v>
      </c>
      <c r="D219">
        <v>20</v>
      </c>
      <c r="E219">
        <v>12</v>
      </c>
      <c r="F219">
        <v>0</v>
      </c>
      <c r="G219">
        <v>2</v>
      </c>
      <c r="H219" t="s">
        <v>22</v>
      </c>
      <c r="I219" t="s">
        <v>109</v>
      </c>
      <c r="J219">
        <v>493</v>
      </c>
      <c r="K219">
        <v>7.8</v>
      </c>
      <c r="L219" t="s">
        <v>260</v>
      </c>
    </row>
    <row r="220" spans="1:12" x14ac:dyDescent="0.3">
      <c r="A220">
        <v>9</v>
      </c>
      <c r="B220">
        <v>19</v>
      </c>
      <c r="C220">
        <v>3</v>
      </c>
      <c r="D220">
        <v>6</v>
      </c>
      <c r="E220">
        <v>1</v>
      </c>
      <c r="F220">
        <v>0</v>
      </c>
      <c r="G220">
        <v>3</v>
      </c>
      <c r="H220" t="s">
        <v>25</v>
      </c>
      <c r="I220" t="s">
        <v>88</v>
      </c>
      <c r="J220">
        <v>467</v>
      </c>
      <c r="K220">
        <v>8.1</v>
      </c>
      <c r="L220">
        <v>3782.7</v>
      </c>
    </row>
    <row r="221" spans="1:12" x14ac:dyDescent="0.3">
      <c r="A221">
        <v>19</v>
      </c>
      <c r="B221">
        <v>23</v>
      </c>
      <c r="C221">
        <v>3</v>
      </c>
      <c r="D221">
        <v>16</v>
      </c>
      <c r="E221">
        <v>12</v>
      </c>
      <c r="F221">
        <v>0</v>
      </c>
      <c r="G221">
        <v>7</v>
      </c>
      <c r="H221" t="s">
        <v>23</v>
      </c>
      <c r="I221" t="s">
        <v>115</v>
      </c>
      <c r="J221">
        <v>646</v>
      </c>
      <c r="K221">
        <v>8.4</v>
      </c>
      <c r="L221">
        <v>5426.4</v>
      </c>
    </row>
    <row r="222" spans="1:12" x14ac:dyDescent="0.3">
      <c r="A222">
        <v>6</v>
      </c>
      <c r="B222">
        <v>23</v>
      </c>
      <c r="D222">
        <v>18</v>
      </c>
      <c r="E222">
        <v>1</v>
      </c>
      <c r="F222">
        <v>0</v>
      </c>
      <c r="G222">
        <v>2</v>
      </c>
      <c r="H222" t="s">
        <v>26</v>
      </c>
      <c r="I222" t="s">
        <v>72</v>
      </c>
      <c r="J222">
        <v>365</v>
      </c>
      <c r="K222">
        <v>8.5</v>
      </c>
      <c r="L222" t="s">
        <v>261</v>
      </c>
    </row>
    <row r="223" spans="1:12" x14ac:dyDescent="0.3">
      <c r="A223">
        <v>9</v>
      </c>
      <c r="B223">
        <v>19</v>
      </c>
      <c r="D223">
        <v>21</v>
      </c>
      <c r="E223">
        <v>1</v>
      </c>
      <c r="F223">
        <v>0</v>
      </c>
      <c r="G223">
        <v>4</v>
      </c>
      <c r="H223" t="s">
        <v>20</v>
      </c>
      <c r="I223" t="s">
        <v>116</v>
      </c>
      <c r="J223">
        <v>452</v>
      </c>
      <c r="K223">
        <v>9.1</v>
      </c>
      <c r="L223">
        <v>4113.2</v>
      </c>
    </row>
    <row r="224" spans="1:12" x14ac:dyDescent="0.3">
      <c r="A224">
        <v>8</v>
      </c>
      <c r="B224">
        <v>18</v>
      </c>
      <c r="C224">
        <v>0</v>
      </c>
      <c r="D224">
        <v>21</v>
      </c>
      <c r="E224">
        <v>1</v>
      </c>
      <c r="F224">
        <v>0</v>
      </c>
      <c r="G224">
        <v>8</v>
      </c>
      <c r="H224" t="s">
        <v>53</v>
      </c>
      <c r="I224" t="s">
        <v>80</v>
      </c>
      <c r="J224">
        <v>489</v>
      </c>
      <c r="K224">
        <v>7.7</v>
      </c>
      <c r="L224">
        <v>3765.3</v>
      </c>
    </row>
    <row r="225" spans="1:12" x14ac:dyDescent="0.3">
      <c r="A225">
        <v>16</v>
      </c>
      <c r="B225">
        <v>22</v>
      </c>
      <c r="C225">
        <v>3</v>
      </c>
      <c r="D225">
        <v>17</v>
      </c>
      <c r="E225">
        <v>1</v>
      </c>
      <c r="F225">
        <v>0</v>
      </c>
      <c r="H225" t="s">
        <v>20</v>
      </c>
      <c r="I225" t="s">
        <v>71</v>
      </c>
      <c r="J225">
        <v>641</v>
      </c>
      <c r="K225">
        <v>9.1</v>
      </c>
      <c r="L225" t="s">
        <v>262</v>
      </c>
    </row>
    <row r="226" spans="1:12" x14ac:dyDescent="0.3">
      <c r="A226">
        <v>6</v>
      </c>
      <c r="B226">
        <v>19</v>
      </c>
      <c r="C226">
        <v>1</v>
      </c>
      <c r="D226">
        <v>15</v>
      </c>
      <c r="E226">
        <v>1</v>
      </c>
      <c r="F226">
        <v>0</v>
      </c>
      <c r="G226">
        <v>8</v>
      </c>
      <c r="H226" t="s">
        <v>35</v>
      </c>
      <c r="I226" t="s">
        <v>106</v>
      </c>
      <c r="J226">
        <v>297</v>
      </c>
      <c r="K226">
        <v>8.1999999999999993</v>
      </c>
      <c r="L226">
        <v>2435.3999999999901</v>
      </c>
    </row>
    <row r="227" spans="1:12" x14ac:dyDescent="0.3">
      <c r="A227">
        <v>19</v>
      </c>
      <c r="B227">
        <v>23</v>
      </c>
      <c r="C227">
        <v>0</v>
      </c>
      <c r="D227">
        <v>22</v>
      </c>
      <c r="E227">
        <v>1</v>
      </c>
      <c r="F227">
        <v>0</v>
      </c>
      <c r="G227">
        <v>5</v>
      </c>
      <c r="H227" t="s">
        <v>21</v>
      </c>
      <c r="I227" t="s">
        <v>87</v>
      </c>
      <c r="J227">
        <v>594</v>
      </c>
      <c r="K227">
        <v>8.6999999999999993</v>
      </c>
      <c r="L227">
        <v>5167.7999999999902</v>
      </c>
    </row>
    <row r="228" spans="1:12" x14ac:dyDescent="0.3">
      <c r="A228">
        <v>18</v>
      </c>
      <c r="B228">
        <v>22</v>
      </c>
      <c r="C228">
        <v>2</v>
      </c>
      <c r="D228">
        <v>8</v>
      </c>
      <c r="E228">
        <v>1</v>
      </c>
      <c r="F228">
        <v>0</v>
      </c>
      <c r="G228">
        <v>5</v>
      </c>
      <c r="H228" t="s">
        <v>47</v>
      </c>
      <c r="I228" t="s">
        <v>72</v>
      </c>
      <c r="J228">
        <v>587</v>
      </c>
      <c r="K228">
        <v>9.1</v>
      </c>
      <c r="L228">
        <v>5341.7</v>
      </c>
    </row>
    <row r="229" spans="1:12" x14ac:dyDescent="0.3">
      <c r="A229">
        <v>5</v>
      </c>
      <c r="B229">
        <v>17</v>
      </c>
      <c r="C229">
        <v>3</v>
      </c>
      <c r="D229">
        <v>14</v>
      </c>
      <c r="E229">
        <v>1</v>
      </c>
      <c r="F229">
        <v>0</v>
      </c>
      <c r="G229">
        <v>10</v>
      </c>
      <c r="H229" t="s">
        <v>55</v>
      </c>
      <c r="I229" t="s">
        <v>89</v>
      </c>
      <c r="J229">
        <v>550</v>
      </c>
      <c r="K229">
        <v>7.8</v>
      </c>
      <c r="L229">
        <v>4290</v>
      </c>
    </row>
    <row r="230" spans="1:12" x14ac:dyDescent="0.3">
      <c r="A230">
        <v>14</v>
      </c>
      <c r="B230">
        <v>22</v>
      </c>
      <c r="C230">
        <v>0</v>
      </c>
      <c r="D230">
        <v>5</v>
      </c>
      <c r="F230">
        <v>0</v>
      </c>
      <c r="G230">
        <v>3</v>
      </c>
      <c r="H230" t="s">
        <v>22</v>
      </c>
      <c r="I230" t="s">
        <v>117</v>
      </c>
      <c r="J230">
        <v>310</v>
      </c>
      <c r="K230">
        <v>7.8</v>
      </c>
      <c r="L230">
        <v>2418</v>
      </c>
    </row>
    <row r="231" spans="1:12" x14ac:dyDescent="0.3">
      <c r="A231">
        <v>9</v>
      </c>
      <c r="B231">
        <v>19</v>
      </c>
      <c r="C231">
        <v>0</v>
      </c>
      <c r="D231">
        <v>9</v>
      </c>
      <c r="E231">
        <v>1</v>
      </c>
      <c r="F231">
        <v>0</v>
      </c>
      <c r="G231">
        <v>8</v>
      </c>
      <c r="H231" t="s">
        <v>21</v>
      </c>
      <c r="I231" t="s">
        <v>78</v>
      </c>
      <c r="J231">
        <v>486</v>
      </c>
      <c r="K231">
        <v>8.6999999999999993</v>
      </c>
      <c r="L231">
        <v>4228.2</v>
      </c>
    </row>
    <row r="232" spans="1:12" x14ac:dyDescent="0.3">
      <c r="A232">
        <v>23</v>
      </c>
      <c r="B232">
        <v>22</v>
      </c>
      <c r="C232">
        <v>0</v>
      </c>
      <c r="D232">
        <v>10</v>
      </c>
      <c r="E232">
        <v>1</v>
      </c>
      <c r="F232">
        <v>0</v>
      </c>
      <c r="G232">
        <v>8</v>
      </c>
      <c r="H232" t="s">
        <v>18</v>
      </c>
      <c r="I232" t="s">
        <v>91</v>
      </c>
      <c r="J232" t="s">
        <v>149</v>
      </c>
      <c r="K232">
        <v>7.7</v>
      </c>
    </row>
    <row r="233" spans="1:12" x14ac:dyDescent="0.3">
      <c r="A233">
        <v>7</v>
      </c>
      <c r="B233">
        <v>18</v>
      </c>
      <c r="C233">
        <v>1</v>
      </c>
      <c r="D233">
        <v>13</v>
      </c>
      <c r="E233">
        <v>1</v>
      </c>
      <c r="F233">
        <v>0</v>
      </c>
      <c r="G233">
        <v>1</v>
      </c>
      <c r="H233" t="s">
        <v>21</v>
      </c>
      <c r="I233" t="s">
        <v>94</v>
      </c>
      <c r="K233">
        <v>8.6999999999999993</v>
      </c>
      <c r="L233">
        <v>4149.8999999999996</v>
      </c>
    </row>
    <row r="234" spans="1:12" x14ac:dyDescent="0.3">
      <c r="A234">
        <v>9</v>
      </c>
      <c r="B234">
        <v>23</v>
      </c>
      <c r="C234">
        <v>0</v>
      </c>
      <c r="D234">
        <v>11</v>
      </c>
      <c r="E234">
        <v>1</v>
      </c>
      <c r="F234">
        <v>0</v>
      </c>
      <c r="G234">
        <v>5</v>
      </c>
      <c r="H234" t="s">
        <v>24</v>
      </c>
      <c r="I234" t="s">
        <v>70</v>
      </c>
      <c r="J234">
        <v>557</v>
      </c>
      <c r="K234">
        <v>7.9</v>
      </c>
      <c r="L234">
        <v>4400.3</v>
      </c>
    </row>
    <row r="235" spans="1:12" x14ac:dyDescent="0.3">
      <c r="A235">
        <v>12</v>
      </c>
      <c r="B235">
        <v>23</v>
      </c>
      <c r="C235">
        <v>3</v>
      </c>
      <c r="D235">
        <v>19</v>
      </c>
      <c r="E235">
        <v>12</v>
      </c>
      <c r="F235">
        <v>0</v>
      </c>
      <c r="G235">
        <v>8</v>
      </c>
      <c r="H235" t="s">
        <v>35</v>
      </c>
      <c r="I235" t="s">
        <v>79</v>
      </c>
      <c r="J235">
        <v>646</v>
      </c>
      <c r="K235">
        <v>8.1999999999999993</v>
      </c>
      <c r="L235">
        <v>5297.2</v>
      </c>
    </row>
    <row r="236" spans="1:12" x14ac:dyDescent="0.3">
      <c r="A236">
        <v>6</v>
      </c>
      <c r="B236">
        <v>22</v>
      </c>
      <c r="C236">
        <v>1</v>
      </c>
      <c r="D236">
        <v>4</v>
      </c>
      <c r="E236">
        <v>1</v>
      </c>
      <c r="F236">
        <v>0</v>
      </c>
      <c r="G236">
        <v>1</v>
      </c>
      <c r="H236" t="s">
        <v>25</v>
      </c>
      <c r="I236" t="s">
        <v>95</v>
      </c>
      <c r="J236">
        <v>487</v>
      </c>
      <c r="K236" t="s">
        <v>243</v>
      </c>
      <c r="L236">
        <v>3944.7</v>
      </c>
    </row>
    <row r="237" spans="1:12" x14ac:dyDescent="0.3">
      <c r="A237">
        <v>9</v>
      </c>
      <c r="B237">
        <v>20</v>
      </c>
      <c r="C237">
        <v>1</v>
      </c>
      <c r="D237">
        <v>14</v>
      </c>
      <c r="E237">
        <v>7</v>
      </c>
      <c r="F237">
        <v>0</v>
      </c>
      <c r="G237">
        <v>9</v>
      </c>
      <c r="H237" t="s">
        <v>26</v>
      </c>
      <c r="I237" t="s">
        <v>87</v>
      </c>
      <c r="J237">
        <v>527</v>
      </c>
      <c r="K237">
        <v>8.5</v>
      </c>
      <c r="L237">
        <v>4479.5</v>
      </c>
    </row>
    <row r="238" spans="1:12" x14ac:dyDescent="0.3">
      <c r="A238">
        <v>21</v>
      </c>
      <c r="B238">
        <v>23</v>
      </c>
      <c r="C238">
        <v>0</v>
      </c>
      <c r="D238">
        <v>6</v>
      </c>
      <c r="E238">
        <v>1</v>
      </c>
      <c r="F238">
        <v>0</v>
      </c>
      <c r="G238">
        <v>7</v>
      </c>
      <c r="H238" t="s">
        <v>22</v>
      </c>
      <c r="I238" t="s">
        <v>105</v>
      </c>
      <c r="K238">
        <v>7.8</v>
      </c>
      <c r="L238">
        <v>3861</v>
      </c>
    </row>
    <row r="239" spans="1:12" x14ac:dyDescent="0.3">
      <c r="A239">
        <v>20</v>
      </c>
      <c r="E239">
        <v>1</v>
      </c>
      <c r="F239">
        <v>0</v>
      </c>
      <c r="G239">
        <v>8</v>
      </c>
      <c r="H239" t="s">
        <v>44</v>
      </c>
      <c r="I239" t="s">
        <v>83</v>
      </c>
      <c r="J239">
        <v>512</v>
      </c>
      <c r="K239">
        <v>8.1999999999999993</v>
      </c>
      <c r="L239">
        <v>4198.3999999999996</v>
      </c>
    </row>
    <row r="240" spans="1:12" x14ac:dyDescent="0.3">
      <c r="A240">
        <v>17</v>
      </c>
      <c r="B240">
        <v>23</v>
      </c>
      <c r="D240">
        <v>6</v>
      </c>
      <c r="E240">
        <v>1</v>
      </c>
      <c r="F240">
        <v>0</v>
      </c>
      <c r="G240">
        <v>6</v>
      </c>
      <c r="H240" t="s">
        <v>52</v>
      </c>
      <c r="I240" t="s">
        <v>104</v>
      </c>
      <c r="J240">
        <v>490</v>
      </c>
      <c r="K240">
        <v>9.3000000000000007</v>
      </c>
      <c r="L240">
        <v>4557</v>
      </c>
    </row>
    <row r="241" spans="1:12" x14ac:dyDescent="0.3">
      <c r="A241">
        <v>8</v>
      </c>
      <c r="B241">
        <v>22</v>
      </c>
      <c r="C241">
        <v>2</v>
      </c>
      <c r="D241">
        <v>9</v>
      </c>
      <c r="E241">
        <v>7</v>
      </c>
      <c r="F241">
        <v>0</v>
      </c>
      <c r="G241">
        <v>7</v>
      </c>
      <c r="H241" t="s">
        <v>30</v>
      </c>
      <c r="I241" t="s">
        <v>101</v>
      </c>
      <c r="J241">
        <v>432</v>
      </c>
      <c r="K241">
        <v>9.1999999999999993</v>
      </c>
      <c r="L241">
        <v>3974.3999999999901</v>
      </c>
    </row>
    <row r="242" spans="1:12" x14ac:dyDescent="0.3">
      <c r="A242">
        <v>22</v>
      </c>
      <c r="B242">
        <v>22</v>
      </c>
      <c r="C242">
        <v>2</v>
      </c>
      <c r="D242">
        <v>22</v>
      </c>
      <c r="E242">
        <v>1</v>
      </c>
      <c r="F242">
        <v>0</v>
      </c>
      <c r="G242">
        <v>11</v>
      </c>
      <c r="H242" t="s">
        <v>56</v>
      </c>
      <c r="J242">
        <v>632</v>
      </c>
      <c r="L242">
        <v>5372</v>
      </c>
    </row>
    <row r="243" spans="1:12" x14ac:dyDescent="0.3">
      <c r="A243">
        <v>11</v>
      </c>
      <c r="C243">
        <v>2</v>
      </c>
      <c r="D243">
        <v>11</v>
      </c>
      <c r="E243">
        <v>1</v>
      </c>
      <c r="F243">
        <v>0</v>
      </c>
      <c r="G243">
        <v>7</v>
      </c>
      <c r="H243" t="s">
        <v>15</v>
      </c>
      <c r="I243" t="s">
        <v>73</v>
      </c>
      <c r="J243">
        <v>361</v>
      </c>
      <c r="K243">
        <v>8.3000000000000007</v>
      </c>
      <c r="L243">
        <v>2996.3</v>
      </c>
    </row>
    <row r="244" spans="1:12" x14ac:dyDescent="0.3">
      <c r="A244">
        <v>7</v>
      </c>
      <c r="B244">
        <v>21</v>
      </c>
      <c r="C244">
        <v>1</v>
      </c>
      <c r="D244">
        <v>19</v>
      </c>
      <c r="E244">
        <v>1</v>
      </c>
      <c r="F244">
        <v>0</v>
      </c>
      <c r="G244">
        <v>6</v>
      </c>
      <c r="H244" t="s">
        <v>33</v>
      </c>
      <c r="I244" t="s">
        <v>73</v>
      </c>
      <c r="K244">
        <v>9.3000000000000007</v>
      </c>
      <c r="L244">
        <v>3292.2</v>
      </c>
    </row>
    <row r="245" spans="1:12" x14ac:dyDescent="0.3">
      <c r="A245">
        <v>15</v>
      </c>
      <c r="B245">
        <v>23</v>
      </c>
      <c r="C245">
        <v>1</v>
      </c>
      <c r="D245">
        <v>5</v>
      </c>
      <c r="E245">
        <v>1</v>
      </c>
      <c r="F245">
        <v>0</v>
      </c>
      <c r="G245">
        <v>11</v>
      </c>
      <c r="H245" t="s">
        <v>53</v>
      </c>
      <c r="I245" t="s">
        <v>93</v>
      </c>
      <c r="J245">
        <v>519</v>
      </c>
      <c r="K245" t="s">
        <v>246</v>
      </c>
      <c r="L245">
        <v>3996.3</v>
      </c>
    </row>
    <row r="246" spans="1:12" x14ac:dyDescent="0.3">
      <c r="A246">
        <v>12</v>
      </c>
      <c r="B246">
        <v>23</v>
      </c>
      <c r="C246">
        <v>0</v>
      </c>
      <c r="D246">
        <v>8</v>
      </c>
      <c r="E246">
        <v>1</v>
      </c>
      <c r="G246">
        <v>1</v>
      </c>
      <c r="H246" t="s">
        <v>38</v>
      </c>
      <c r="I246" t="s">
        <v>106</v>
      </c>
      <c r="J246">
        <v>517</v>
      </c>
      <c r="K246">
        <v>7.4</v>
      </c>
      <c r="L246">
        <v>3825.8</v>
      </c>
    </row>
    <row r="247" spans="1:12" x14ac:dyDescent="0.3">
      <c r="A247">
        <v>5</v>
      </c>
      <c r="B247">
        <v>21</v>
      </c>
      <c r="C247">
        <v>3</v>
      </c>
      <c r="D247">
        <v>6</v>
      </c>
      <c r="E247">
        <v>1</v>
      </c>
      <c r="F247">
        <v>0</v>
      </c>
      <c r="G247">
        <v>5</v>
      </c>
      <c r="H247" t="s">
        <v>22</v>
      </c>
      <c r="I247" t="s">
        <v>75</v>
      </c>
      <c r="J247">
        <v>436</v>
      </c>
      <c r="K247">
        <v>7.8</v>
      </c>
      <c r="L247">
        <v>3400.7999999999902</v>
      </c>
    </row>
    <row r="248" spans="1:12" x14ac:dyDescent="0.3">
      <c r="B248">
        <v>23</v>
      </c>
      <c r="C248">
        <v>0</v>
      </c>
      <c r="D248">
        <v>5</v>
      </c>
      <c r="E248">
        <v>1</v>
      </c>
      <c r="F248">
        <v>0</v>
      </c>
      <c r="G248">
        <v>1</v>
      </c>
      <c r="H248" t="s">
        <v>20</v>
      </c>
      <c r="I248" t="s">
        <v>81</v>
      </c>
      <c r="J248">
        <v>490</v>
      </c>
      <c r="K248">
        <v>9.1</v>
      </c>
      <c r="L248">
        <v>4459</v>
      </c>
    </row>
    <row r="249" spans="1:12" x14ac:dyDescent="0.3">
      <c r="A249">
        <v>21</v>
      </c>
      <c r="B249">
        <v>23</v>
      </c>
      <c r="C249">
        <v>3</v>
      </c>
      <c r="D249">
        <v>12</v>
      </c>
      <c r="E249">
        <v>1</v>
      </c>
      <c r="F249">
        <v>0</v>
      </c>
      <c r="G249">
        <v>7</v>
      </c>
      <c r="H249" t="s">
        <v>30</v>
      </c>
      <c r="I249" t="s">
        <v>71</v>
      </c>
      <c r="J249">
        <v>640</v>
      </c>
      <c r="K249">
        <v>9.1999999999999993</v>
      </c>
      <c r="L249">
        <v>5888</v>
      </c>
    </row>
    <row r="250" spans="1:12" x14ac:dyDescent="0.3">
      <c r="A250">
        <v>14</v>
      </c>
      <c r="B250">
        <v>22</v>
      </c>
      <c r="C250">
        <v>0</v>
      </c>
      <c r="D250">
        <v>18</v>
      </c>
      <c r="E250">
        <v>1</v>
      </c>
      <c r="F250">
        <v>0</v>
      </c>
      <c r="G250">
        <v>4</v>
      </c>
      <c r="H250" t="s">
        <v>32</v>
      </c>
      <c r="I250" t="s">
        <v>92</v>
      </c>
      <c r="J250">
        <v>505</v>
      </c>
      <c r="K250">
        <v>7.6</v>
      </c>
      <c r="L250">
        <v>3838</v>
      </c>
    </row>
    <row r="251" spans="1:12" x14ac:dyDescent="0.3">
      <c r="A251">
        <v>10</v>
      </c>
      <c r="B251">
        <v>20</v>
      </c>
      <c r="C251">
        <v>2</v>
      </c>
      <c r="D251">
        <v>3</v>
      </c>
      <c r="E251">
        <v>1</v>
      </c>
      <c r="F251">
        <v>0</v>
      </c>
      <c r="G251">
        <v>6</v>
      </c>
      <c r="H251" t="s">
        <v>24</v>
      </c>
      <c r="I251" t="s">
        <v>70</v>
      </c>
      <c r="J251">
        <v>362</v>
      </c>
      <c r="K251" t="s">
        <v>241</v>
      </c>
      <c r="L251">
        <v>2859.8</v>
      </c>
    </row>
    <row r="252" spans="1:12" x14ac:dyDescent="0.3">
      <c r="A252">
        <v>20</v>
      </c>
      <c r="B252">
        <v>22</v>
      </c>
      <c r="C252">
        <v>1</v>
      </c>
      <c r="D252">
        <v>5</v>
      </c>
      <c r="E252">
        <v>12</v>
      </c>
      <c r="F252">
        <v>0</v>
      </c>
      <c r="G252">
        <v>2</v>
      </c>
      <c r="H252" t="s">
        <v>23</v>
      </c>
      <c r="I252" t="s">
        <v>70</v>
      </c>
      <c r="J252">
        <v>528</v>
      </c>
      <c r="K252">
        <v>8.4</v>
      </c>
      <c r="L252">
        <v>4435.2</v>
      </c>
    </row>
    <row r="253" spans="1:12" x14ac:dyDescent="0.3">
      <c r="A253">
        <v>9</v>
      </c>
      <c r="B253">
        <v>21</v>
      </c>
      <c r="D253">
        <v>17</v>
      </c>
      <c r="E253">
        <v>1</v>
      </c>
      <c r="F253">
        <v>0</v>
      </c>
      <c r="G253">
        <v>9</v>
      </c>
      <c r="I253" t="s">
        <v>104</v>
      </c>
      <c r="J253">
        <v>387</v>
      </c>
      <c r="K253">
        <v>9.3000000000000007</v>
      </c>
      <c r="L253" t="s">
        <v>263</v>
      </c>
    </row>
    <row r="254" spans="1:12" x14ac:dyDescent="0.3">
      <c r="A254">
        <v>8</v>
      </c>
      <c r="B254">
        <v>20</v>
      </c>
      <c r="C254">
        <v>0</v>
      </c>
      <c r="E254">
        <v>1</v>
      </c>
      <c r="F254">
        <v>0</v>
      </c>
      <c r="G254">
        <v>7</v>
      </c>
      <c r="H254" t="s">
        <v>32</v>
      </c>
      <c r="I254" t="s">
        <v>93</v>
      </c>
      <c r="J254">
        <v>334</v>
      </c>
      <c r="K254">
        <v>7.6</v>
      </c>
      <c r="L254">
        <v>2538.4</v>
      </c>
    </row>
    <row r="255" spans="1:12" x14ac:dyDescent="0.3">
      <c r="A255">
        <v>12</v>
      </c>
      <c r="B255">
        <v>22</v>
      </c>
      <c r="C255">
        <v>2</v>
      </c>
      <c r="D255">
        <v>17</v>
      </c>
      <c r="E255">
        <v>1</v>
      </c>
      <c r="F255">
        <v>0</v>
      </c>
      <c r="G255">
        <v>6</v>
      </c>
      <c r="H255" t="s">
        <v>24</v>
      </c>
      <c r="I255" t="s">
        <v>74</v>
      </c>
      <c r="J255">
        <v>474</v>
      </c>
      <c r="K255">
        <v>7.9</v>
      </c>
      <c r="L255">
        <v>3744.6</v>
      </c>
    </row>
    <row r="256" spans="1:12" x14ac:dyDescent="0.3">
      <c r="B256">
        <v>22</v>
      </c>
      <c r="C256">
        <v>3</v>
      </c>
      <c r="D256">
        <v>9</v>
      </c>
      <c r="E256">
        <v>1</v>
      </c>
      <c r="F256">
        <v>0</v>
      </c>
      <c r="G256">
        <v>4</v>
      </c>
      <c r="H256" t="s">
        <v>30</v>
      </c>
      <c r="I256" t="s">
        <v>79</v>
      </c>
      <c r="J256">
        <v>394</v>
      </c>
    </row>
    <row r="257" spans="1:12" x14ac:dyDescent="0.3">
      <c r="A257">
        <v>16</v>
      </c>
      <c r="B257">
        <v>23</v>
      </c>
      <c r="C257">
        <v>1</v>
      </c>
      <c r="D257">
        <v>5</v>
      </c>
      <c r="E257">
        <v>12</v>
      </c>
      <c r="F257">
        <v>0</v>
      </c>
      <c r="G257">
        <v>8</v>
      </c>
      <c r="H257" t="s">
        <v>53</v>
      </c>
      <c r="I257" t="s">
        <v>74</v>
      </c>
      <c r="J257">
        <v>519</v>
      </c>
      <c r="K257">
        <v>7.7</v>
      </c>
      <c r="L257">
        <v>3996.3</v>
      </c>
    </row>
    <row r="258" spans="1:12" x14ac:dyDescent="0.3">
      <c r="A258">
        <v>23</v>
      </c>
      <c r="B258">
        <v>22</v>
      </c>
      <c r="C258">
        <v>2</v>
      </c>
      <c r="D258">
        <v>14</v>
      </c>
      <c r="E258">
        <v>1</v>
      </c>
      <c r="F258">
        <v>0</v>
      </c>
      <c r="G258">
        <v>4</v>
      </c>
      <c r="H258" t="s">
        <v>20</v>
      </c>
      <c r="I258" t="s">
        <v>97</v>
      </c>
      <c r="J258">
        <v>530</v>
      </c>
    </row>
    <row r="259" spans="1:12" x14ac:dyDescent="0.3">
      <c r="A259">
        <v>20</v>
      </c>
      <c r="B259">
        <v>23</v>
      </c>
      <c r="C259">
        <v>3</v>
      </c>
      <c r="D259">
        <v>19</v>
      </c>
      <c r="E259">
        <v>1</v>
      </c>
      <c r="F259">
        <v>0</v>
      </c>
      <c r="G259">
        <v>11</v>
      </c>
      <c r="H259" t="s">
        <v>15</v>
      </c>
      <c r="I259" t="s">
        <v>91</v>
      </c>
      <c r="J259">
        <v>569</v>
      </c>
      <c r="K259">
        <v>8.3000000000000007</v>
      </c>
      <c r="L259">
        <v>4722.7</v>
      </c>
    </row>
    <row r="260" spans="1:12" x14ac:dyDescent="0.3">
      <c r="A260">
        <v>11</v>
      </c>
      <c r="B260">
        <v>22</v>
      </c>
      <c r="C260">
        <v>2</v>
      </c>
      <c r="D260">
        <v>19</v>
      </c>
      <c r="E260">
        <v>1</v>
      </c>
      <c r="G260">
        <v>11</v>
      </c>
      <c r="H260" t="s">
        <v>16</v>
      </c>
      <c r="I260" t="s">
        <v>91</v>
      </c>
      <c r="J260">
        <v>420</v>
      </c>
      <c r="K260">
        <v>8.9</v>
      </c>
      <c r="L260">
        <v>3738</v>
      </c>
    </row>
    <row r="261" spans="1:12" x14ac:dyDescent="0.3">
      <c r="A261">
        <v>23</v>
      </c>
      <c r="B261">
        <v>23</v>
      </c>
      <c r="C261">
        <v>0</v>
      </c>
      <c r="D261">
        <v>9</v>
      </c>
      <c r="E261">
        <v>12</v>
      </c>
      <c r="F261">
        <v>0</v>
      </c>
      <c r="G261">
        <v>9</v>
      </c>
      <c r="H261" t="s">
        <v>57</v>
      </c>
      <c r="J261">
        <v>607</v>
      </c>
      <c r="K261">
        <v>9.1999999999999993</v>
      </c>
      <c r="L261">
        <v>5584.4</v>
      </c>
    </row>
    <row r="262" spans="1:12" x14ac:dyDescent="0.3">
      <c r="A262">
        <v>20</v>
      </c>
      <c r="B262">
        <v>23</v>
      </c>
      <c r="C262">
        <v>3</v>
      </c>
      <c r="D262">
        <v>7</v>
      </c>
      <c r="E262">
        <v>1</v>
      </c>
      <c r="F262">
        <v>0</v>
      </c>
      <c r="G262">
        <v>4</v>
      </c>
      <c r="H262" t="s">
        <v>24</v>
      </c>
      <c r="I262" t="s">
        <v>88</v>
      </c>
      <c r="J262">
        <v>478</v>
      </c>
      <c r="K262">
        <v>7.9</v>
      </c>
      <c r="L262">
        <v>3776.2</v>
      </c>
    </row>
    <row r="263" spans="1:12" x14ac:dyDescent="0.3">
      <c r="A263">
        <v>19</v>
      </c>
      <c r="B263">
        <v>23</v>
      </c>
      <c r="C263">
        <v>1</v>
      </c>
      <c r="D263">
        <v>15</v>
      </c>
      <c r="F263">
        <v>0</v>
      </c>
      <c r="G263">
        <v>8</v>
      </c>
      <c r="H263" t="s">
        <v>18</v>
      </c>
      <c r="I263" t="s">
        <v>108</v>
      </c>
      <c r="J263">
        <v>533</v>
      </c>
      <c r="K263">
        <v>7.7</v>
      </c>
      <c r="L263">
        <v>4104.1000000000004</v>
      </c>
    </row>
    <row r="264" spans="1:12" x14ac:dyDescent="0.3">
      <c r="A264">
        <v>22</v>
      </c>
      <c r="B264">
        <v>23</v>
      </c>
      <c r="C264">
        <v>0</v>
      </c>
      <c r="D264">
        <v>15</v>
      </c>
      <c r="E264">
        <v>1</v>
      </c>
      <c r="F264">
        <v>0</v>
      </c>
      <c r="G264">
        <v>12</v>
      </c>
      <c r="H264" t="s">
        <v>35</v>
      </c>
      <c r="I264" t="s">
        <v>110</v>
      </c>
      <c r="J264">
        <v>691</v>
      </c>
      <c r="K264">
        <v>8.1999999999999993</v>
      </c>
      <c r="L264">
        <v>5666.2</v>
      </c>
    </row>
    <row r="265" spans="1:12" x14ac:dyDescent="0.3">
      <c r="A265">
        <v>5</v>
      </c>
      <c r="B265">
        <v>22</v>
      </c>
      <c r="C265">
        <v>2</v>
      </c>
      <c r="D265">
        <v>4</v>
      </c>
      <c r="E265">
        <v>1</v>
      </c>
      <c r="F265">
        <v>0</v>
      </c>
      <c r="G265">
        <v>11</v>
      </c>
      <c r="H265" t="s">
        <v>58</v>
      </c>
      <c r="I265" t="s">
        <v>84</v>
      </c>
      <c r="J265">
        <v>253</v>
      </c>
      <c r="K265">
        <v>8.4</v>
      </c>
      <c r="L265">
        <v>2125.1999999999998</v>
      </c>
    </row>
    <row r="266" spans="1:12" x14ac:dyDescent="0.3">
      <c r="A266">
        <v>8</v>
      </c>
      <c r="B266">
        <v>20</v>
      </c>
      <c r="C266">
        <v>0</v>
      </c>
      <c r="D266">
        <v>19</v>
      </c>
      <c r="E266">
        <v>1</v>
      </c>
      <c r="F266">
        <v>0</v>
      </c>
      <c r="G266">
        <v>5</v>
      </c>
      <c r="H266" t="s">
        <v>21</v>
      </c>
      <c r="I266" t="s">
        <v>72</v>
      </c>
      <c r="J266">
        <v>501</v>
      </c>
      <c r="K266">
        <v>8.6999999999999993</v>
      </c>
      <c r="L266">
        <v>4358.7</v>
      </c>
    </row>
    <row r="267" spans="1:12" x14ac:dyDescent="0.3">
      <c r="A267">
        <v>16</v>
      </c>
      <c r="B267">
        <v>22</v>
      </c>
      <c r="C267">
        <v>0</v>
      </c>
      <c r="D267">
        <v>7</v>
      </c>
      <c r="F267">
        <v>0</v>
      </c>
      <c r="G267">
        <v>3</v>
      </c>
      <c r="H267" t="s">
        <v>30</v>
      </c>
      <c r="I267" t="s">
        <v>97</v>
      </c>
      <c r="J267">
        <v>422</v>
      </c>
      <c r="K267">
        <v>9.1999999999999993</v>
      </c>
      <c r="L267">
        <v>3882.3999999999901</v>
      </c>
    </row>
    <row r="268" spans="1:12" x14ac:dyDescent="0.3">
      <c r="A268">
        <v>21</v>
      </c>
      <c r="B268">
        <v>23</v>
      </c>
      <c r="C268">
        <v>3</v>
      </c>
      <c r="D268">
        <v>7</v>
      </c>
      <c r="E268">
        <v>1</v>
      </c>
      <c r="F268">
        <v>0</v>
      </c>
      <c r="G268">
        <v>1</v>
      </c>
      <c r="H268" t="s">
        <v>22</v>
      </c>
      <c r="I268" t="s">
        <v>71</v>
      </c>
      <c r="J268">
        <v>485</v>
      </c>
      <c r="K268">
        <v>7.8</v>
      </c>
      <c r="L268">
        <v>3783</v>
      </c>
    </row>
    <row r="269" spans="1:12" x14ac:dyDescent="0.3">
      <c r="B269">
        <v>23</v>
      </c>
      <c r="C269">
        <v>1</v>
      </c>
      <c r="D269">
        <v>11</v>
      </c>
      <c r="E269">
        <v>12</v>
      </c>
      <c r="F269">
        <v>0</v>
      </c>
      <c r="G269">
        <v>10</v>
      </c>
      <c r="H269" t="s">
        <v>35</v>
      </c>
      <c r="I269" t="s">
        <v>83</v>
      </c>
      <c r="J269">
        <v>665</v>
      </c>
      <c r="K269">
        <v>8.1999999999999993</v>
      </c>
      <c r="L269" t="s">
        <v>264</v>
      </c>
    </row>
    <row r="270" spans="1:12" x14ac:dyDescent="0.3">
      <c r="A270">
        <v>9</v>
      </c>
      <c r="B270">
        <v>22</v>
      </c>
      <c r="C270">
        <v>3</v>
      </c>
      <c r="D270">
        <v>3</v>
      </c>
      <c r="E270">
        <v>1</v>
      </c>
      <c r="F270">
        <v>0</v>
      </c>
      <c r="G270">
        <v>4</v>
      </c>
      <c r="H270" t="s">
        <v>25</v>
      </c>
      <c r="I270" t="s">
        <v>78</v>
      </c>
      <c r="J270">
        <v>395</v>
      </c>
      <c r="K270">
        <v>8.1</v>
      </c>
      <c r="L270">
        <v>3199.5</v>
      </c>
    </row>
    <row r="271" spans="1:12" x14ac:dyDescent="0.3">
      <c r="A271">
        <v>14</v>
      </c>
      <c r="B271">
        <v>22</v>
      </c>
      <c r="C271">
        <v>3</v>
      </c>
      <c r="D271">
        <v>15</v>
      </c>
      <c r="E271">
        <v>1</v>
      </c>
      <c r="F271">
        <v>0</v>
      </c>
      <c r="G271">
        <v>4</v>
      </c>
      <c r="H271" t="s">
        <v>38</v>
      </c>
      <c r="I271" t="s">
        <v>72</v>
      </c>
      <c r="J271">
        <v>688</v>
      </c>
      <c r="K271">
        <v>7.4</v>
      </c>
      <c r="L271">
        <v>5091.2</v>
      </c>
    </row>
    <row r="272" spans="1:12" x14ac:dyDescent="0.3">
      <c r="A272">
        <v>16</v>
      </c>
      <c r="B272">
        <v>22</v>
      </c>
      <c r="C272">
        <v>3</v>
      </c>
      <c r="D272">
        <v>14</v>
      </c>
      <c r="E272">
        <v>12</v>
      </c>
      <c r="F272">
        <v>0</v>
      </c>
      <c r="G272">
        <v>10</v>
      </c>
      <c r="H272" t="s">
        <v>36</v>
      </c>
      <c r="I272" t="s">
        <v>89</v>
      </c>
      <c r="J272">
        <v>719</v>
      </c>
      <c r="K272">
        <v>8.8000000000000007</v>
      </c>
      <c r="L272">
        <v>6327.2</v>
      </c>
    </row>
    <row r="273" spans="1:12" x14ac:dyDescent="0.3">
      <c r="A273">
        <v>14</v>
      </c>
      <c r="B273">
        <v>22</v>
      </c>
      <c r="C273">
        <v>2</v>
      </c>
      <c r="D273">
        <v>6</v>
      </c>
      <c r="E273">
        <v>12</v>
      </c>
      <c r="F273">
        <v>0</v>
      </c>
      <c r="G273">
        <v>7</v>
      </c>
      <c r="H273" t="s">
        <v>33</v>
      </c>
      <c r="I273" t="s">
        <v>72</v>
      </c>
      <c r="J273">
        <v>577</v>
      </c>
      <c r="K273">
        <v>9.3000000000000007</v>
      </c>
      <c r="L273">
        <v>5366.1</v>
      </c>
    </row>
    <row r="274" spans="1:12" x14ac:dyDescent="0.3">
      <c r="A274">
        <v>7</v>
      </c>
      <c r="B274">
        <v>17</v>
      </c>
      <c r="C274">
        <v>1</v>
      </c>
      <c r="D274">
        <v>18</v>
      </c>
      <c r="E274">
        <v>7</v>
      </c>
      <c r="F274">
        <v>0</v>
      </c>
      <c r="G274">
        <v>11</v>
      </c>
      <c r="H274" t="s">
        <v>33</v>
      </c>
      <c r="I274" t="s">
        <v>81</v>
      </c>
      <c r="J274">
        <v>536</v>
      </c>
      <c r="K274" t="s">
        <v>247</v>
      </c>
      <c r="L274">
        <v>4984.8</v>
      </c>
    </row>
    <row r="275" spans="1:12" x14ac:dyDescent="0.3">
      <c r="A275">
        <v>6</v>
      </c>
      <c r="B275">
        <v>19</v>
      </c>
      <c r="C275">
        <v>3</v>
      </c>
      <c r="D275">
        <v>20</v>
      </c>
      <c r="E275">
        <v>7</v>
      </c>
      <c r="G275">
        <v>11</v>
      </c>
      <c r="H275" t="s">
        <v>52</v>
      </c>
      <c r="I275" t="s">
        <v>92</v>
      </c>
      <c r="J275">
        <v>497</v>
      </c>
      <c r="K275">
        <v>9.3000000000000007</v>
      </c>
      <c r="L275">
        <v>4622.1000000000004</v>
      </c>
    </row>
    <row r="276" spans="1:12" x14ac:dyDescent="0.3">
      <c r="A276">
        <v>20</v>
      </c>
      <c r="C276">
        <v>1</v>
      </c>
      <c r="D276">
        <v>3</v>
      </c>
      <c r="E276">
        <v>1</v>
      </c>
      <c r="F276">
        <v>0</v>
      </c>
      <c r="G276">
        <v>11</v>
      </c>
      <c r="H276" t="s">
        <v>36</v>
      </c>
      <c r="I276" t="s">
        <v>80</v>
      </c>
      <c r="J276">
        <v>557</v>
      </c>
      <c r="K276">
        <v>8.8000000000000007</v>
      </c>
      <c r="L276">
        <v>4901.6000000000004</v>
      </c>
    </row>
    <row r="277" spans="1:12" x14ac:dyDescent="0.3">
      <c r="A277">
        <v>20</v>
      </c>
      <c r="B277">
        <v>23</v>
      </c>
      <c r="C277">
        <v>0</v>
      </c>
      <c r="D277">
        <v>11</v>
      </c>
      <c r="E277">
        <v>1</v>
      </c>
      <c r="F277">
        <v>0</v>
      </c>
      <c r="G277">
        <v>11</v>
      </c>
      <c r="H277" t="s">
        <v>36</v>
      </c>
      <c r="I277" t="s">
        <v>78</v>
      </c>
      <c r="J277">
        <v>520</v>
      </c>
      <c r="K277">
        <v>8.8000000000000007</v>
      </c>
      <c r="L277">
        <v>4576</v>
      </c>
    </row>
    <row r="278" spans="1:12" x14ac:dyDescent="0.3">
      <c r="A278">
        <v>23</v>
      </c>
      <c r="B278">
        <v>23</v>
      </c>
      <c r="C278">
        <v>1</v>
      </c>
      <c r="D278">
        <v>4</v>
      </c>
      <c r="F278">
        <v>0</v>
      </c>
      <c r="G278">
        <v>6</v>
      </c>
      <c r="H278" t="s">
        <v>42</v>
      </c>
      <c r="I278" t="s">
        <v>82</v>
      </c>
      <c r="J278">
        <v>426</v>
      </c>
      <c r="K278" t="s">
        <v>240</v>
      </c>
      <c r="L278">
        <v>3322.7999999999902</v>
      </c>
    </row>
    <row r="279" spans="1:12" x14ac:dyDescent="0.3">
      <c r="A279">
        <v>18</v>
      </c>
      <c r="B279">
        <v>22</v>
      </c>
      <c r="C279">
        <v>0</v>
      </c>
      <c r="D279">
        <v>21</v>
      </c>
      <c r="E279">
        <v>1</v>
      </c>
      <c r="F279">
        <v>0</v>
      </c>
      <c r="G279">
        <v>1</v>
      </c>
      <c r="H279" t="s">
        <v>18</v>
      </c>
      <c r="I279" t="s">
        <v>87</v>
      </c>
      <c r="J279">
        <v>554</v>
      </c>
      <c r="K279" t="s">
        <v>246</v>
      </c>
      <c r="L279">
        <v>4265.8</v>
      </c>
    </row>
    <row r="280" spans="1:12" x14ac:dyDescent="0.3">
      <c r="B280">
        <v>23</v>
      </c>
      <c r="C280">
        <v>1</v>
      </c>
      <c r="D280">
        <v>12</v>
      </c>
      <c r="E280">
        <v>1</v>
      </c>
      <c r="F280">
        <v>0</v>
      </c>
      <c r="G280">
        <v>6</v>
      </c>
      <c r="H280" t="s">
        <v>33</v>
      </c>
      <c r="I280" t="s">
        <v>107</v>
      </c>
      <c r="J280">
        <v>587</v>
      </c>
      <c r="K280">
        <v>9.3000000000000007</v>
      </c>
      <c r="L280">
        <v>5459.1</v>
      </c>
    </row>
    <row r="281" spans="1:12" x14ac:dyDescent="0.3">
      <c r="A281">
        <v>19</v>
      </c>
      <c r="B281">
        <v>23</v>
      </c>
      <c r="C281">
        <v>2</v>
      </c>
      <c r="D281">
        <v>22</v>
      </c>
      <c r="E281">
        <v>1</v>
      </c>
      <c r="F281">
        <v>0</v>
      </c>
      <c r="G281">
        <v>1</v>
      </c>
      <c r="H281" t="s">
        <v>26</v>
      </c>
      <c r="I281" t="s">
        <v>77</v>
      </c>
      <c r="K281">
        <v>8.5</v>
      </c>
    </row>
    <row r="282" spans="1:12" x14ac:dyDescent="0.3">
      <c r="A282">
        <v>5</v>
      </c>
      <c r="B282">
        <v>20</v>
      </c>
      <c r="C282">
        <v>0</v>
      </c>
      <c r="D282">
        <v>8</v>
      </c>
      <c r="E282">
        <v>1</v>
      </c>
      <c r="F282">
        <v>0</v>
      </c>
      <c r="H282" t="s">
        <v>20</v>
      </c>
      <c r="I282" t="s">
        <v>84</v>
      </c>
      <c r="J282">
        <v>311</v>
      </c>
      <c r="K282">
        <v>9.1</v>
      </c>
      <c r="L282">
        <v>2830.1</v>
      </c>
    </row>
    <row r="283" spans="1:12" x14ac:dyDescent="0.3">
      <c r="A283">
        <v>19</v>
      </c>
      <c r="B283">
        <v>22</v>
      </c>
      <c r="C283">
        <v>1</v>
      </c>
      <c r="D283">
        <v>13</v>
      </c>
      <c r="E283">
        <v>1</v>
      </c>
      <c r="F283">
        <v>0</v>
      </c>
      <c r="G283">
        <v>7</v>
      </c>
      <c r="H283" t="s">
        <v>59</v>
      </c>
      <c r="I283" t="s">
        <v>85</v>
      </c>
      <c r="J283">
        <v>429</v>
      </c>
      <c r="L283">
        <v>3474.8999999999901</v>
      </c>
    </row>
    <row r="284" spans="1:12" x14ac:dyDescent="0.3">
      <c r="A284">
        <v>16</v>
      </c>
      <c r="B284">
        <v>23</v>
      </c>
      <c r="C284">
        <v>0</v>
      </c>
      <c r="D284">
        <v>9</v>
      </c>
      <c r="E284">
        <v>1</v>
      </c>
      <c r="F284">
        <v>0</v>
      </c>
      <c r="G284">
        <v>12</v>
      </c>
      <c r="H284" t="s">
        <v>32</v>
      </c>
      <c r="I284" t="s">
        <v>88</v>
      </c>
      <c r="J284">
        <v>376</v>
      </c>
      <c r="K284">
        <v>7.6</v>
      </c>
      <c r="L284" t="s">
        <v>265</v>
      </c>
    </row>
    <row r="285" spans="1:12" x14ac:dyDescent="0.3">
      <c r="A285">
        <v>22</v>
      </c>
      <c r="B285">
        <v>22</v>
      </c>
      <c r="C285">
        <v>0</v>
      </c>
      <c r="D285">
        <v>9</v>
      </c>
      <c r="E285">
        <v>1</v>
      </c>
      <c r="F285">
        <v>0</v>
      </c>
      <c r="G285">
        <v>9</v>
      </c>
      <c r="H285" t="s">
        <v>21</v>
      </c>
      <c r="I285" t="s">
        <v>76</v>
      </c>
      <c r="J285">
        <v>574</v>
      </c>
      <c r="K285">
        <v>8.6999999999999993</v>
      </c>
      <c r="L285" t="s">
        <v>266</v>
      </c>
    </row>
    <row r="286" spans="1:12" x14ac:dyDescent="0.3">
      <c r="A286">
        <v>8</v>
      </c>
      <c r="C286">
        <v>0</v>
      </c>
      <c r="E286">
        <v>1</v>
      </c>
      <c r="F286">
        <v>0</v>
      </c>
      <c r="G286">
        <v>9</v>
      </c>
      <c r="H286" t="s">
        <v>25</v>
      </c>
      <c r="I286" t="s">
        <v>81</v>
      </c>
      <c r="J286">
        <v>589</v>
      </c>
      <c r="K286">
        <v>8.1</v>
      </c>
      <c r="L286">
        <v>4770.8999999999996</v>
      </c>
    </row>
    <row r="287" spans="1:12" x14ac:dyDescent="0.3">
      <c r="A287">
        <v>11</v>
      </c>
      <c r="B287">
        <v>23</v>
      </c>
      <c r="C287">
        <v>2</v>
      </c>
      <c r="D287">
        <v>21</v>
      </c>
      <c r="E287">
        <v>1</v>
      </c>
      <c r="F287">
        <v>0</v>
      </c>
      <c r="G287">
        <v>1</v>
      </c>
      <c r="H287" t="s">
        <v>23</v>
      </c>
      <c r="I287" t="s">
        <v>107</v>
      </c>
      <c r="J287">
        <v>669</v>
      </c>
      <c r="K287">
        <v>8.4</v>
      </c>
      <c r="L287">
        <v>5619.6</v>
      </c>
    </row>
    <row r="288" spans="1:12" x14ac:dyDescent="0.3">
      <c r="A288">
        <v>18</v>
      </c>
      <c r="B288">
        <v>23</v>
      </c>
      <c r="C288">
        <v>3</v>
      </c>
      <c r="E288">
        <v>1</v>
      </c>
      <c r="F288">
        <v>0</v>
      </c>
      <c r="G288">
        <v>6</v>
      </c>
      <c r="I288" t="s">
        <v>83</v>
      </c>
      <c r="J288">
        <v>771</v>
      </c>
      <c r="K288">
        <v>8.8000000000000007</v>
      </c>
      <c r="L288">
        <v>6784.8</v>
      </c>
    </row>
    <row r="289" spans="1:12" x14ac:dyDescent="0.3">
      <c r="A289">
        <v>19</v>
      </c>
      <c r="B289">
        <v>23</v>
      </c>
      <c r="C289">
        <v>0</v>
      </c>
      <c r="D289">
        <v>9</v>
      </c>
      <c r="E289">
        <v>1</v>
      </c>
      <c r="F289">
        <v>0</v>
      </c>
      <c r="G289">
        <v>9</v>
      </c>
      <c r="H289" t="s">
        <v>50</v>
      </c>
      <c r="I289" t="s">
        <v>81</v>
      </c>
      <c r="J289">
        <v>477</v>
      </c>
      <c r="K289">
        <v>9.3000000000000007</v>
      </c>
      <c r="L289">
        <v>4436.1000000000004</v>
      </c>
    </row>
    <row r="290" spans="1:12" x14ac:dyDescent="0.3">
      <c r="B290">
        <v>22</v>
      </c>
      <c r="C290">
        <v>3</v>
      </c>
      <c r="D290">
        <v>21</v>
      </c>
      <c r="E290">
        <v>1</v>
      </c>
      <c r="F290">
        <v>0</v>
      </c>
      <c r="G290">
        <v>3</v>
      </c>
      <c r="H290" t="s">
        <v>16</v>
      </c>
      <c r="I290" t="s">
        <v>106</v>
      </c>
      <c r="J290">
        <v>742</v>
      </c>
      <c r="K290">
        <v>8.9</v>
      </c>
      <c r="L290">
        <v>6603.8</v>
      </c>
    </row>
    <row r="291" spans="1:12" x14ac:dyDescent="0.3">
      <c r="A291">
        <v>6</v>
      </c>
      <c r="B291">
        <v>22</v>
      </c>
      <c r="C291">
        <v>1</v>
      </c>
      <c r="D291">
        <v>15</v>
      </c>
      <c r="E291">
        <v>1</v>
      </c>
      <c r="F291">
        <v>0</v>
      </c>
      <c r="G291">
        <v>2</v>
      </c>
      <c r="H291" t="s">
        <v>20</v>
      </c>
      <c r="I291" t="s">
        <v>83</v>
      </c>
      <c r="J291">
        <v>513</v>
      </c>
      <c r="K291">
        <v>9.1</v>
      </c>
      <c r="L291">
        <v>4668.3</v>
      </c>
    </row>
    <row r="292" spans="1:12" x14ac:dyDescent="0.3">
      <c r="A292">
        <v>21</v>
      </c>
      <c r="B292">
        <v>22</v>
      </c>
      <c r="C292">
        <v>0</v>
      </c>
      <c r="D292">
        <v>22</v>
      </c>
      <c r="E292">
        <v>1</v>
      </c>
      <c r="F292">
        <v>0</v>
      </c>
      <c r="G292">
        <v>11</v>
      </c>
      <c r="H292" t="s">
        <v>24</v>
      </c>
      <c r="I292" t="s">
        <v>105</v>
      </c>
      <c r="J292">
        <v>539</v>
      </c>
      <c r="K292">
        <v>7.9</v>
      </c>
      <c r="L292">
        <v>4258.1000000000004</v>
      </c>
    </row>
    <row r="293" spans="1:12" x14ac:dyDescent="0.3">
      <c r="A293">
        <v>20</v>
      </c>
      <c r="B293">
        <v>22</v>
      </c>
      <c r="C293">
        <v>3</v>
      </c>
      <c r="D293">
        <v>7</v>
      </c>
      <c r="E293">
        <v>12</v>
      </c>
      <c r="F293">
        <v>0</v>
      </c>
      <c r="G293">
        <v>5</v>
      </c>
      <c r="H293" t="s">
        <v>32</v>
      </c>
      <c r="I293" t="s">
        <v>88</v>
      </c>
      <c r="J293">
        <v>626</v>
      </c>
      <c r="K293">
        <v>7.6</v>
      </c>
      <c r="L293">
        <v>4757.5999999999904</v>
      </c>
    </row>
    <row r="294" spans="1:12" x14ac:dyDescent="0.3">
      <c r="B294">
        <v>20</v>
      </c>
      <c r="C294">
        <v>0</v>
      </c>
      <c r="D294">
        <v>20</v>
      </c>
      <c r="E294">
        <v>1</v>
      </c>
      <c r="G294">
        <v>7</v>
      </c>
      <c r="H294" t="s">
        <v>33</v>
      </c>
      <c r="I294" t="s">
        <v>94</v>
      </c>
      <c r="J294">
        <v>617</v>
      </c>
      <c r="K294">
        <v>9.3000000000000007</v>
      </c>
      <c r="L294">
        <v>5738.1</v>
      </c>
    </row>
    <row r="295" spans="1:12" x14ac:dyDescent="0.3">
      <c r="A295">
        <v>17</v>
      </c>
      <c r="B295">
        <v>23</v>
      </c>
      <c r="C295">
        <v>1</v>
      </c>
      <c r="D295">
        <v>17</v>
      </c>
      <c r="E295">
        <v>1</v>
      </c>
      <c r="F295">
        <v>0</v>
      </c>
      <c r="G295">
        <v>1</v>
      </c>
      <c r="H295" t="s">
        <v>57</v>
      </c>
      <c r="I295" t="s">
        <v>71</v>
      </c>
      <c r="J295">
        <v>618</v>
      </c>
      <c r="K295" t="s">
        <v>239</v>
      </c>
      <c r="L295">
        <v>5685.5999999999904</v>
      </c>
    </row>
    <row r="296" spans="1:12" x14ac:dyDescent="0.3">
      <c r="A296">
        <v>21</v>
      </c>
      <c r="B296">
        <v>23</v>
      </c>
      <c r="C296">
        <v>1</v>
      </c>
      <c r="D296">
        <v>9</v>
      </c>
      <c r="E296">
        <v>1</v>
      </c>
      <c r="F296">
        <v>0</v>
      </c>
      <c r="G296">
        <v>9</v>
      </c>
      <c r="H296" t="s">
        <v>48</v>
      </c>
      <c r="I296" t="s">
        <v>82</v>
      </c>
      <c r="J296">
        <v>441</v>
      </c>
      <c r="K296">
        <v>8.6999999999999993</v>
      </c>
      <c r="L296">
        <v>3836.7</v>
      </c>
    </row>
    <row r="297" spans="1:12" x14ac:dyDescent="0.3">
      <c r="A297">
        <v>15</v>
      </c>
      <c r="B297">
        <v>23</v>
      </c>
      <c r="C297">
        <v>1</v>
      </c>
      <c r="D297">
        <v>20</v>
      </c>
      <c r="E297">
        <v>12</v>
      </c>
      <c r="F297">
        <v>0</v>
      </c>
      <c r="G297">
        <v>2</v>
      </c>
      <c r="H297" t="s">
        <v>22</v>
      </c>
      <c r="I297" t="s">
        <v>109</v>
      </c>
      <c r="J297">
        <v>493</v>
      </c>
      <c r="K297">
        <v>7.8</v>
      </c>
      <c r="L297" t="s">
        <v>260</v>
      </c>
    </row>
    <row r="298" spans="1:12" x14ac:dyDescent="0.3">
      <c r="A298">
        <v>20</v>
      </c>
      <c r="B298">
        <v>23</v>
      </c>
      <c r="C298">
        <v>0</v>
      </c>
      <c r="D298">
        <v>15</v>
      </c>
      <c r="E298">
        <v>12</v>
      </c>
      <c r="F298">
        <v>0</v>
      </c>
      <c r="G298">
        <v>11</v>
      </c>
      <c r="H298" t="s">
        <v>30</v>
      </c>
      <c r="I298" t="s">
        <v>105</v>
      </c>
      <c r="J298">
        <v>749</v>
      </c>
      <c r="K298">
        <v>9.1999999999999993</v>
      </c>
      <c r="L298">
        <v>6890.7999999999902</v>
      </c>
    </row>
    <row r="299" spans="1:12" x14ac:dyDescent="0.3">
      <c r="A299">
        <v>21</v>
      </c>
      <c r="B299">
        <v>23</v>
      </c>
      <c r="C299">
        <v>0</v>
      </c>
      <c r="D299">
        <v>12</v>
      </c>
      <c r="E299">
        <v>1</v>
      </c>
      <c r="F299">
        <v>0</v>
      </c>
      <c r="G299">
        <v>7</v>
      </c>
      <c r="H299" t="s">
        <v>30</v>
      </c>
      <c r="I299" t="s">
        <v>75</v>
      </c>
      <c r="J299">
        <v>501</v>
      </c>
      <c r="K299">
        <v>9.1999999999999993</v>
      </c>
      <c r="L299">
        <v>4609.2</v>
      </c>
    </row>
    <row r="300" spans="1:12" x14ac:dyDescent="0.3">
      <c r="A300">
        <v>8</v>
      </c>
      <c r="B300">
        <v>21</v>
      </c>
      <c r="C300">
        <v>0</v>
      </c>
      <c r="D300">
        <v>17</v>
      </c>
      <c r="E300">
        <v>7</v>
      </c>
      <c r="F300">
        <v>0</v>
      </c>
      <c r="G300">
        <v>8</v>
      </c>
      <c r="H300" t="s">
        <v>36</v>
      </c>
      <c r="I300" t="s">
        <v>78</v>
      </c>
      <c r="J300">
        <v>382</v>
      </c>
      <c r="K300">
        <v>8.8000000000000007</v>
      </c>
      <c r="L300">
        <v>3361.6</v>
      </c>
    </row>
    <row r="301" spans="1:12" x14ac:dyDescent="0.3">
      <c r="A301">
        <v>18</v>
      </c>
      <c r="B301">
        <v>23</v>
      </c>
      <c r="C301">
        <v>3</v>
      </c>
      <c r="D301">
        <v>4</v>
      </c>
      <c r="E301">
        <v>1</v>
      </c>
      <c r="F301">
        <v>0</v>
      </c>
      <c r="G301">
        <v>9</v>
      </c>
      <c r="H301" t="s">
        <v>20</v>
      </c>
      <c r="I301" t="s">
        <v>84</v>
      </c>
      <c r="J301">
        <v>413</v>
      </c>
      <c r="K301">
        <v>9.1</v>
      </c>
      <c r="L301">
        <v>3758.2999999999902</v>
      </c>
    </row>
    <row r="302" spans="1:12" x14ac:dyDescent="0.3">
      <c r="A302">
        <v>20</v>
      </c>
      <c r="B302">
        <v>22</v>
      </c>
      <c r="C302">
        <v>3</v>
      </c>
      <c r="D302">
        <v>6</v>
      </c>
      <c r="E302">
        <v>1</v>
      </c>
      <c r="F302">
        <v>0</v>
      </c>
      <c r="G302">
        <v>5</v>
      </c>
      <c r="H302" t="s">
        <v>23</v>
      </c>
      <c r="I302" t="s">
        <v>74</v>
      </c>
      <c r="J302">
        <v>414</v>
      </c>
      <c r="K302">
        <v>8.4</v>
      </c>
      <c r="L302">
        <v>3477.6</v>
      </c>
    </row>
    <row r="303" spans="1:12" x14ac:dyDescent="0.3">
      <c r="A303">
        <v>23</v>
      </c>
      <c r="B303">
        <v>22</v>
      </c>
      <c r="C303">
        <v>0</v>
      </c>
      <c r="D303">
        <v>21</v>
      </c>
      <c r="E303">
        <v>1</v>
      </c>
      <c r="F303">
        <v>0</v>
      </c>
      <c r="G303">
        <v>4</v>
      </c>
      <c r="H303" t="s">
        <v>38</v>
      </c>
      <c r="I303" t="s">
        <v>96</v>
      </c>
      <c r="J303">
        <v>603</v>
      </c>
      <c r="K303">
        <v>7.4</v>
      </c>
      <c r="L303" t="s">
        <v>267</v>
      </c>
    </row>
    <row r="304" spans="1:12" x14ac:dyDescent="0.3">
      <c r="A304">
        <v>5</v>
      </c>
      <c r="B304">
        <v>23</v>
      </c>
      <c r="C304">
        <v>2</v>
      </c>
      <c r="D304">
        <v>21</v>
      </c>
      <c r="E304">
        <v>7</v>
      </c>
      <c r="F304">
        <v>0</v>
      </c>
      <c r="G304">
        <v>12</v>
      </c>
      <c r="H304" t="s">
        <v>32</v>
      </c>
      <c r="I304" t="s">
        <v>104</v>
      </c>
      <c r="J304">
        <v>590</v>
      </c>
      <c r="K304">
        <v>7.6</v>
      </c>
      <c r="L304">
        <v>4484</v>
      </c>
    </row>
    <row r="305" spans="1:12" x14ac:dyDescent="0.3">
      <c r="A305">
        <v>10</v>
      </c>
      <c r="B305">
        <v>22</v>
      </c>
      <c r="C305">
        <v>0</v>
      </c>
      <c r="D305">
        <v>4</v>
      </c>
      <c r="E305">
        <v>1</v>
      </c>
      <c r="F305">
        <v>0</v>
      </c>
      <c r="G305">
        <v>11</v>
      </c>
      <c r="H305" t="s">
        <v>20</v>
      </c>
      <c r="I305" t="s">
        <v>71</v>
      </c>
      <c r="J305">
        <v>332</v>
      </c>
      <c r="K305">
        <v>9.1</v>
      </c>
      <c r="L305">
        <v>3021.2</v>
      </c>
    </row>
    <row r="306" spans="1:12" x14ac:dyDescent="0.3">
      <c r="A306">
        <v>6</v>
      </c>
      <c r="B306">
        <v>18</v>
      </c>
      <c r="C306">
        <v>3</v>
      </c>
      <c r="D306">
        <v>12</v>
      </c>
      <c r="E306">
        <v>7</v>
      </c>
      <c r="F306">
        <v>0</v>
      </c>
      <c r="H306" t="s">
        <v>22</v>
      </c>
      <c r="I306" t="s">
        <v>70</v>
      </c>
      <c r="J306">
        <v>452</v>
      </c>
      <c r="K306">
        <v>7.8</v>
      </c>
      <c r="L306" t="s">
        <v>268</v>
      </c>
    </row>
    <row r="307" spans="1:12" x14ac:dyDescent="0.3">
      <c r="A307">
        <v>17</v>
      </c>
      <c r="B307">
        <v>23</v>
      </c>
      <c r="C307">
        <v>1</v>
      </c>
      <c r="D307">
        <v>5</v>
      </c>
      <c r="E307">
        <v>1</v>
      </c>
      <c r="F307">
        <v>0</v>
      </c>
      <c r="G307">
        <v>6</v>
      </c>
      <c r="H307" t="s">
        <v>16</v>
      </c>
      <c r="I307" t="s">
        <v>90</v>
      </c>
      <c r="J307">
        <v>437</v>
      </c>
      <c r="K307">
        <v>8.9</v>
      </c>
      <c r="L307">
        <v>3889.3</v>
      </c>
    </row>
    <row r="308" spans="1:12" x14ac:dyDescent="0.3">
      <c r="A308">
        <v>17</v>
      </c>
      <c r="B308">
        <v>22</v>
      </c>
      <c r="C308">
        <v>1</v>
      </c>
      <c r="D308">
        <v>4</v>
      </c>
      <c r="E308">
        <v>1</v>
      </c>
      <c r="F308">
        <v>0</v>
      </c>
      <c r="G308">
        <v>5</v>
      </c>
      <c r="H308" t="s">
        <v>36</v>
      </c>
      <c r="I308" t="s">
        <v>94</v>
      </c>
      <c r="J308">
        <v>392</v>
      </c>
      <c r="K308">
        <v>8.8000000000000007</v>
      </c>
      <c r="L308">
        <v>3449.6</v>
      </c>
    </row>
    <row r="309" spans="1:12" x14ac:dyDescent="0.3">
      <c r="A309">
        <v>14</v>
      </c>
      <c r="B309">
        <v>22</v>
      </c>
      <c r="C309">
        <v>3</v>
      </c>
      <c r="D309">
        <v>20</v>
      </c>
      <c r="E309">
        <v>12</v>
      </c>
      <c r="F309">
        <v>0</v>
      </c>
      <c r="G309">
        <v>11</v>
      </c>
      <c r="H309" t="s">
        <v>21</v>
      </c>
      <c r="J309" t="s">
        <v>150</v>
      </c>
      <c r="K309">
        <v>8.6999999999999993</v>
      </c>
      <c r="L309">
        <v>6542.4</v>
      </c>
    </row>
    <row r="310" spans="1:12" x14ac:dyDescent="0.3">
      <c r="A310">
        <v>14</v>
      </c>
      <c r="B310">
        <v>22</v>
      </c>
      <c r="C310">
        <v>0</v>
      </c>
      <c r="D310">
        <v>6</v>
      </c>
      <c r="E310">
        <v>1</v>
      </c>
      <c r="F310">
        <v>0</v>
      </c>
      <c r="G310">
        <v>9</v>
      </c>
      <c r="H310" t="s">
        <v>39</v>
      </c>
      <c r="I310" t="s">
        <v>82</v>
      </c>
      <c r="K310">
        <v>8.8000000000000007</v>
      </c>
      <c r="L310">
        <v>4505.6000000000004</v>
      </c>
    </row>
    <row r="311" spans="1:12" x14ac:dyDescent="0.3">
      <c r="A311">
        <v>16</v>
      </c>
      <c r="B311">
        <v>23</v>
      </c>
      <c r="C311">
        <v>1</v>
      </c>
      <c r="D311">
        <v>19</v>
      </c>
      <c r="E311">
        <v>1</v>
      </c>
      <c r="F311">
        <v>0</v>
      </c>
      <c r="G311">
        <v>2</v>
      </c>
      <c r="H311" t="s">
        <v>26</v>
      </c>
      <c r="I311" t="s">
        <v>109</v>
      </c>
      <c r="J311">
        <v>635</v>
      </c>
      <c r="K311">
        <v>8.5</v>
      </c>
      <c r="L311">
        <v>5397.5</v>
      </c>
    </row>
    <row r="312" spans="1:12" x14ac:dyDescent="0.3">
      <c r="A312">
        <v>14</v>
      </c>
      <c r="B312">
        <v>22</v>
      </c>
      <c r="C312">
        <v>1</v>
      </c>
      <c r="D312">
        <v>22</v>
      </c>
      <c r="E312">
        <v>1</v>
      </c>
      <c r="F312">
        <v>0</v>
      </c>
      <c r="G312">
        <v>3</v>
      </c>
      <c r="H312" t="s">
        <v>12</v>
      </c>
      <c r="I312" t="s">
        <v>79</v>
      </c>
      <c r="J312">
        <v>566</v>
      </c>
      <c r="K312">
        <v>8.1</v>
      </c>
      <c r="L312">
        <v>4584.5999999999904</v>
      </c>
    </row>
    <row r="313" spans="1:12" x14ac:dyDescent="0.3">
      <c r="A313">
        <v>15</v>
      </c>
      <c r="B313">
        <v>23</v>
      </c>
      <c r="C313">
        <v>1</v>
      </c>
      <c r="D313">
        <v>6</v>
      </c>
      <c r="F313">
        <v>0</v>
      </c>
      <c r="G313">
        <v>7</v>
      </c>
      <c r="H313" t="s">
        <v>23</v>
      </c>
      <c r="J313">
        <v>378</v>
      </c>
      <c r="K313">
        <v>8.4</v>
      </c>
      <c r="L313">
        <v>3175.2</v>
      </c>
    </row>
    <row r="314" spans="1:12" x14ac:dyDescent="0.3">
      <c r="A314">
        <v>20</v>
      </c>
      <c r="B314">
        <v>23</v>
      </c>
      <c r="C314">
        <v>0</v>
      </c>
      <c r="D314">
        <v>15</v>
      </c>
      <c r="E314">
        <v>12</v>
      </c>
      <c r="F314">
        <v>0</v>
      </c>
      <c r="G314">
        <v>11</v>
      </c>
      <c r="H314" t="s">
        <v>30</v>
      </c>
      <c r="I314" t="s">
        <v>105</v>
      </c>
      <c r="J314">
        <v>749</v>
      </c>
      <c r="K314">
        <v>9.1999999999999993</v>
      </c>
      <c r="L314">
        <v>6890.7999999999902</v>
      </c>
    </row>
    <row r="315" spans="1:12" x14ac:dyDescent="0.3">
      <c r="A315">
        <v>17</v>
      </c>
      <c r="B315">
        <v>22</v>
      </c>
      <c r="C315">
        <v>3</v>
      </c>
      <c r="D315">
        <v>11</v>
      </c>
      <c r="E315">
        <v>1</v>
      </c>
      <c r="F315">
        <v>0</v>
      </c>
      <c r="G315">
        <v>5</v>
      </c>
      <c r="H315" t="s">
        <v>23</v>
      </c>
      <c r="I315" t="s">
        <v>80</v>
      </c>
      <c r="J315">
        <v>535</v>
      </c>
      <c r="K315">
        <v>8.4</v>
      </c>
      <c r="L315">
        <v>4494</v>
      </c>
    </row>
    <row r="316" spans="1:12" x14ac:dyDescent="0.3">
      <c r="A316">
        <v>19</v>
      </c>
      <c r="B316">
        <v>23</v>
      </c>
      <c r="C316">
        <v>0</v>
      </c>
      <c r="D316">
        <v>21</v>
      </c>
      <c r="E316">
        <v>1</v>
      </c>
      <c r="F316">
        <v>0</v>
      </c>
      <c r="G316">
        <v>12</v>
      </c>
      <c r="H316" t="s">
        <v>16</v>
      </c>
      <c r="I316" t="s">
        <v>112</v>
      </c>
      <c r="J316" t="s">
        <v>143</v>
      </c>
      <c r="K316">
        <v>8.9</v>
      </c>
      <c r="L316">
        <v>6034.2</v>
      </c>
    </row>
    <row r="317" spans="1:12" x14ac:dyDescent="0.3">
      <c r="A317">
        <v>15</v>
      </c>
      <c r="B317">
        <v>22</v>
      </c>
      <c r="C317">
        <v>1</v>
      </c>
      <c r="D317">
        <v>21</v>
      </c>
      <c r="E317">
        <v>1</v>
      </c>
      <c r="F317">
        <v>0</v>
      </c>
      <c r="G317">
        <v>10</v>
      </c>
      <c r="H317" t="s">
        <v>20</v>
      </c>
      <c r="I317" t="s">
        <v>87</v>
      </c>
      <c r="J317">
        <v>553</v>
      </c>
      <c r="K317">
        <v>9.1</v>
      </c>
      <c r="L317">
        <v>5032.3</v>
      </c>
    </row>
    <row r="318" spans="1:12" x14ac:dyDescent="0.3">
      <c r="A318">
        <v>21</v>
      </c>
      <c r="B318">
        <v>22</v>
      </c>
      <c r="C318">
        <v>1</v>
      </c>
      <c r="D318">
        <v>8</v>
      </c>
      <c r="F318">
        <v>0</v>
      </c>
      <c r="G318">
        <v>12</v>
      </c>
      <c r="H318" t="s">
        <v>23</v>
      </c>
      <c r="I318" t="s">
        <v>87</v>
      </c>
      <c r="J318" t="s">
        <v>151</v>
      </c>
      <c r="K318" t="s">
        <v>238</v>
      </c>
      <c r="L318">
        <v>4216.8</v>
      </c>
    </row>
    <row r="319" spans="1:12" x14ac:dyDescent="0.3">
      <c r="A319">
        <v>7</v>
      </c>
      <c r="B319">
        <v>23</v>
      </c>
      <c r="C319">
        <v>1</v>
      </c>
      <c r="D319">
        <v>5</v>
      </c>
      <c r="E319">
        <v>7</v>
      </c>
      <c r="F319">
        <v>0</v>
      </c>
      <c r="G319">
        <v>3</v>
      </c>
      <c r="H319" t="s">
        <v>21</v>
      </c>
      <c r="I319" t="s">
        <v>70</v>
      </c>
      <c r="J319">
        <v>568</v>
      </c>
      <c r="K319">
        <v>8.6999999999999993</v>
      </c>
      <c r="L319">
        <v>4941.5999999999904</v>
      </c>
    </row>
    <row r="320" spans="1:12" x14ac:dyDescent="0.3">
      <c r="A320">
        <v>18</v>
      </c>
      <c r="B320">
        <v>22</v>
      </c>
      <c r="D320">
        <v>18</v>
      </c>
      <c r="E320">
        <v>1</v>
      </c>
      <c r="F320">
        <v>0</v>
      </c>
      <c r="H320" t="s">
        <v>25</v>
      </c>
      <c r="I320" t="s">
        <v>97</v>
      </c>
      <c r="J320">
        <v>468</v>
      </c>
      <c r="K320">
        <v>8.1</v>
      </c>
      <c r="L320">
        <v>3790.7999999999902</v>
      </c>
    </row>
    <row r="321" spans="1:12" x14ac:dyDescent="0.3">
      <c r="A321">
        <v>10</v>
      </c>
      <c r="B321">
        <v>21</v>
      </c>
      <c r="C321">
        <v>1</v>
      </c>
      <c r="D321">
        <v>8</v>
      </c>
      <c r="E321">
        <v>1</v>
      </c>
      <c r="F321">
        <v>0</v>
      </c>
      <c r="G321">
        <v>2</v>
      </c>
      <c r="H321" t="s">
        <v>20</v>
      </c>
      <c r="I321" t="s">
        <v>109</v>
      </c>
      <c r="J321">
        <v>462</v>
      </c>
      <c r="K321">
        <v>9.1</v>
      </c>
      <c r="L321">
        <v>4204.2</v>
      </c>
    </row>
    <row r="322" spans="1:12" x14ac:dyDescent="0.3">
      <c r="A322">
        <v>5</v>
      </c>
      <c r="B322">
        <v>21</v>
      </c>
      <c r="C322">
        <v>3</v>
      </c>
      <c r="D322">
        <v>17</v>
      </c>
      <c r="E322">
        <v>1</v>
      </c>
      <c r="F322">
        <v>0</v>
      </c>
      <c r="G322">
        <v>10</v>
      </c>
      <c r="H322" t="s">
        <v>36</v>
      </c>
      <c r="I322" t="s">
        <v>118</v>
      </c>
      <c r="J322">
        <v>438</v>
      </c>
      <c r="K322">
        <v>8.8000000000000007</v>
      </c>
    </row>
    <row r="323" spans="1:12" x14ac:dyDescent="0.3">
      <c r="A323">
        <v>5</v>
      </c>
      <c r="B323">
        <v>19</v>
      </c>
      <c r="C323">
        <v>1</v>
      </c>
      <c r="F323">
        <v>0</v>
      </c>
      <c r="G323">
        <v>11</v>
      </c>
      <c r="H323" t="s">
        <v>26</v>
      </c>
      <c r="I323" t="s">
        <v>104</v>
      </c>
      <c r="J323">
        <v>516</v>
      </c>
      <c r="K323">
        <v>8.5</v>
      </c>
      <c r="L323">
        <v>4386</v>
      </c>
    </row>
    <row r="324" spans="1:12" x14ac:dyDescent="0.3">
      <c r="A324">
        <v>22</v>
      </c>
      <c r="B324">
        <v>22</v>
      </c>
      <c r="C324">
        <v>2</v>
      </c>
      <c r="D324">
        <v>18</v>
      </c>
      <c r="E324">
        <v>1</v>
      </c>
      <c r="F324">
        <v>0</v>
      </c>
      <c r="G324">
        <v>11</v>
      </c>
      <c r="H324" t="s">
        <v>25</v>
      </c>
      <c r="I324" t="s">
        <v>83</v>
      </c>
      <c r="J324">
        <v>735</v>
      </c>
      <c r="K324">
        <v>8.1</v>
      </c>
      <c r="L324">
        <v>5953.5</v>
      </c>
    </row>
    <row r="325" spans="1:12" x14ac:dyDescent="0.3">
      <c r="B325">
        <v>22</v>
      </c>
      <c r="C325">
        <v>3</v>
      </c>
      <c r="D325">
        <v>10</v>
      </c>
      <c r="F325">
        <v>0</v>
      </c>
      <c r="G325">
        <v>1</v>
      </c>
      <c r="H325" t="s">
        <v>33</v>
      </c>
      <c r="I325" t="s">
        <v>94</v>
      </c>
      <c r="K325">
        <v>9.3000000000000007</v>
      </c>
      <c r="L325">
        <v>4845.3</v>
      </c>
    </row>
    <row r="326" spans="1:12" x14ac:dyDescent="0.3">
      <c r="A326">
        <v>5</v>
      </c>
      <c r="B326">
        <v>19</v>
      </c>
      <c r="C326">
        <v>2</v>
      </c>
      <c r="D326">
        <v>8</v>
      </c>
      <c r="E326">
        <v>1</v>
      </c>
      <c r="F326">
        <v>0</v>
      </c>
      <c r="G326">
        <v>2</v>
      </c>
      <c r="H326" t="s">
        <v>15</v>
      </c>
      <c r="I326" t="s">
        <v>119</v>
      </c>
      <c r="J326">
        <v>308</v>
      </c>
      <c r="K326">
        <v>8.3000000000000007</v>
      </c>
      <c r="L326">
        <v>2556.4</v>
      </c>
    </row>
    <row r="327" spans="1:12" x14ac:dyDescent="0.3">
      <c r="A327">
        <v>18</v>
      </c>
      <c r="B327">
        <v>23</v>
      </c>
      <c r="C327">
        <v>0</v>
      </c>
      <c r="D327">
        <v>4</v>
      </c>
      <c r="E327">
        <v>1</v>
      </c>
      <c r="F327">
        <v>0</v>
      </c>
      <c r="G327">
        <v>9</v>
      </c>
      <c r="H327" t="s">
        <v>36</v>
      </c>
      <c r="I327" t="s">
        <v>90</v>
      </c>
      <c r="J327">
        <v>439</v>
      </c>
      <c r="K327">
        <v>8.8000000000000007</v>
      </c>
      <c r="L327">
        <v>3863.2</v>
      </c>
    </row>
    <row r="328" spans="1:12" x14ac:dyDescent="0.3">
      <c r="B328">
        <v>19</v>
      </c>
      <c r="C328">
        <v>2</v>
      </c>
      <c r="D328">
        <v>8</v>
      </c>
      <c r="E328">
        <v>7</v>
      </c>
      <c r="F328">
        <v>0</v>
      </c>
      <c r="G328">
        <v>1</v>
      </c>
      <c r="H328" t="s">
        <v>21</v>
      </c>
      <c r="I328" t="s">
        <v>85</v>
      </c>
      <c r="J328">
        <v>349</v>
      </c>
      <c r="K328">
        <v>8.6999999999999993</v>
      </c>
    </row>
    <row r="329" spans="1:12" x14ac:dyDescent="0.3">
      <c r="A329">
        <v>23</v>
      </c>
      <c r="B329">
        <v>22</v>
      </c>
      <c r="C329">
        <v>1</v>
      </c>
      <c r="D329">
        <v>8</v>
      </c>
      <c r="E329">
        <v>12</v>
      </c>
      <c r="F329">
        <v>0</v>
      </c>
      <c r="G329">
        <v>10</v>
      </c>
      <c r="H329" t="s">
        <v>23</v>
      </c>
      <c r="I329" t="s">
        <v>94</v>
      </c>
      <c r="J329">
        <v>753</v>
      </c>
      <c r="K329" t="s">
        <v>238</v>
      </c>
      <c r="L329">
        <v>6325.2</v>
      </c>
    </row>
    <row r="330" spans="1:12" x14ac:dyDescent="0.3">
      <c r="A330">
        <v>19</v>
      </c>
      <c r="B330">
        <v>22</v>
      </c>
      <c r="C330">
        <v>1</v>
      </c>
      <c r="D330">
        <v>17</v>
      </c>
      <c r="E330">
        <v>1</v>
      </c>
      <c r="F330">
        <v>0</v>
      </c>
      <c r="G330">
        <v>5</v>
      </c>
      <c r="H330" t="s">
        <v>35</v>
      </c>
      <c r="I330" t="s">
        <v>83</v>
      </c>
      <c r="J330">
        <v>513</v>
      </c>
      <c r="K330">
        <v>8.1999999999999993</v>
      </c>
      <c r="L330">
        <v>4206.5999999999904</v>
      </c>
    </row>
    <row r="331" spans="1:12" x14ac:dyDescent="0.3">
      <c r="A331">
        <v>21</v>
      </c>
      <c r="B331">
        <v>22</v>
      </c>
      <c r="C331">
        <v>2</v>
      </c>
      <c r="D331">
        <v>3</v>
      </c>
      <c r="E331">
        <v>1</v>
      </c>
      <c r="F331">
        <v>0</v>
      </c>
      <c r="G331">
        <v>8</v>
      </c>
      <c r="H331" t="s">
        <v>30</v>
      </c>
      <c r="I331" t="s">
        <v>79</v>
      </c>
      <c r="J331">
        <v>601</v>
      </c>
      <c r="K331">
        <v>9.1999999999999993</v>
      </c>
      <c r="L331">
        <v>5529.2</v>
      </c>
    </row>
    <row r="332" spans="1:12" x14ac:dyDescent="0.3">
      <c r="A332">
        <v>9</v>
      </c>
      <c r="B332">
        <v>23</v>
      </c>
      <c r="C332">
        <v>0</v>
      </c>
      <c r="D332">
        <v>5</v>
      </c>
      <c r="F332">
        <v>0</v>
      </c>
      <c r="G332">
        <v>2</v>
      </c>
      <c r="J332">
        <v>399</v>
      </c>
      <c r="K332">
        <v>7.6</v>
      </c>
      <c r="L332">
        <v>3032.3999999999901</v>
      </c>
    </row>
    <row r="333" spans="1:12" x14ac:dyDescent="0.3">
      <c r="A333">
        <v>16</v>
      </c>
      <c r="B333">
        <v>22</v>
      </c>
      <c r="C333">
        <v>2</v>
      </c>
      <c r="D333">
        <v>4</v>
      </c>
      <c r="E333">
        <v>12</v>
      </c>
      <c r="F333">
        <v>0</v>
      </c>
      <c r="G333">
        <v>1</v>
      </c>
      <c r="H333" t="s">
        <v>33</v>
      </c>
      <c r="I333" t="s">
        <v>90</v>
      </c>
      <c r="K333">
        <v>9.3000000000000007</v>
      </c>
      <c r="L333" t="s">
        <v>269</v>
      </c>
    </row>
    <row r="334" spans="1:12" x14ac:dyDescent="0.3">
      <c r="A334">
        <v>13</v>
      </c>
      <c r="B334">
        <v>23</v>
      </c>
      <c r="C334">
        <v>2</v>
      </c>
      <c r="D334">
        <v>12</v>
      </c>
      <c r="E334">
        <v>1</v>
      </c>
      <c r="G334">
        <v>8</v>
      </c>
      <c r="H334" t="s">
        <v>15</v>
      </c>
      <c r="I334" t="s">
        <v>71</v>
      </c>
      <c r="J334" t="s">
        <v>152</v>
      </c>
      <c r="K334">
        <v>8.3000000000000007</v>
      </c>
      <c r="L334">
        <v>4357.5</v>
      </c>
    </row>
    <row r="335" spans="1:12" x14ac:dyDescent="0.3">
      <c r="A335">
        <v>13</v>
      </c>
      <c r="B335">
        <v>23</v>
      </c>
      <c r="C335">
        <v>2</v>
      </c>
      <c r="D335">
        <v>14</v>
      </c>
      <c r="E335">
        <v>12</v>
      </c>
      <c r="G335">
        <v>1</v>
      </c>
      <c r="H335" t="s">
        <v>32</v>
      </c>
      <c r="I335" t="s">
        <v>71</v>
      </c>
      <c r="J335" t="s">
        <v>145</v>
      </c>
      <c r="K335">
        <v>7.6</v>
      </c>
      <c r="L335">
        <v>4491.5999999999904</v>
      </c>
    </row>
    <row r="336" spans="1:12" x14ac:dyDescent="0.3">
      <c r="A336">
        <v>8</v>
      </c>
      <c r="B336">
        <v>17</v>
      </c>
      <c r="C336">
        <v>3</v>
      </c>
      <c r="D336">
        <v>9</v>
      </c>
      <c r="E336">
        <v>1</v>
      </c>
      <c r="F336">
        <v>0</v>
      </c>
      <c r="G336">
        <v>5</v>
      </c>
      <c r="H336" t="s">
        <v>22</v>
      </c>
      <c r="I336" t="s">
        <v>91</v>
      </c>
      <c r="J336">
        <v>350</v>
      </c>
      <c r="K336">
        <v>7.8</v>
      </c>
      <c r="L336">
        <v>2730</v>
      </c>
    </row>
    <row r="337" spans="1:12" x14ac:dyDescent="0.3">
      <c r="A337">
        <v>7</v>
      </c>
      <c r="B337">
        <v>22</v>
      </c>
      <c r="C337">
        <v>3</v>
      </c>
      <c r="D337">
        <v>7</v>
      </c>
      <c r="E337">
        <v>1</v>
      </c>
      <c r="F337">
        <v>0</v>
      </c>
      <c r="G337">
        <v>11</v>
      </c>
      <c r="H337" t="s">
        <v>18</v>
      </c>
      <c r="I337" t="s">
        <v>106</v>
      </c>
      <c r="J337">
        <v>313</v>
      </c>
      <c r="K337">
        <v>7.7</v>
      </c>
      <c r="L337">
        <v>2410.1</v>
      </c>
    </row>
    <row r="338" spans="1:12" x14ac:dyDescent="0.3">
      <c r="A338">
        <v>16</v>
      </c>
      <c r="B338">
        <v>22</v>
      </c>
      <c r="C338">
        <v>0</v>
      </c>
      <c r="D338">
        <v>16</v>
      </c>
      <c r="E338">
        <v>1</v>
      </c>
      <c r="F338">
        <v>0</v>
      </c>
      <c r="G338">
        <v>7</v>
      </c>
      <c r="H338" t="s">
        <v>15</v>
      </c>
      <c r="I338" t="s">
        <v>94</v>
      </c>
      <c r="J338">
        <v>472</v>
      </c>
      <c r="K338">
        <v>8.3000000000000007</v>
      </c>
      <c r="L338">
        <v>3917.6</v>
      </c>
    </row>
    <row r="339" spans="1:12" x14ac:dyDescent="0.3">
      <c r="A339">
        <v>20</v>
      </c>
      <c r="B339">
        <v>22</v>
      </c>
      <c r="C339">
        <v>2</v>
      </c>
      <c r="D339">
        <v>9</v>
      </c>
      <c r="E339">
        <v>1</v>
      </c>
      <c r="F339">
        <v>0</v>
      </c>
      <c r="G339">
        <v>8</v>
      </c>
      <c r="H339" t="s">
        <v>36</v>
      </c>
      <c r="I339" t="s">
        <v>106</v>
      </c>
      <c r="J339">
        <v>673</v>
      </c>
      <c r="K339">
        <v>8.8000000000000007</v>
      </c>
      <c r="L339">
        <v>5922.4</v>
      </c>
    </row>
    <row r="340" spans="1:12" x14ac:dyDescent="0.3">
      <c r="A340">
        <v>20</v>
      </c>
      <c r="B340">
        <v>23</v>
      </c>
      <c r="C340">
        <v>2</v>
      </c>
      <c r="D340">
        <v>6</v>
      </c>
      <c r="E340">
        <v>1</v>
      </c>
      <c r="F340">
        <v>0</v>
      </c>
      <c r="G340">
        <v>3</v>
      </c>
      <c r="H340" t="s">
        <v>37</v>
      </c>
      <c r="I340" t="s">
        <v>77</v>
      </c>
      <c r="J340">
        <v>451</v>
      </c>
      <c r="K340">
        <v>8.3000000000000007</v>
      </c>
      <c r="L340">
        <v>3743.3</v>
      </c>
    </row>
    <row r="341" spans="1:12" x14ac:dyDescent="0.3">
      <c r="A341">
        <v>15</v>
      </c>
      <c r="B341">
        <v>23</v>
      </c>
      <c r="C341">
        <v>2</v>
      </c>
      <c r="D341">
        <v>7</v>
      </c>
      <c r="E341">
        <v>1</v>
      </c>
      <c r="F341">
        <v>0</v>
      </c>
      <c r="G341">
        <v>1</v>
      </c>
      <c r="H341" t="s">
        <v>16</v>
      </c>
      <c r="I341" t="s">
        <v>97</v>
      </c>
      <c r="J341">
        <v>389</v>
      </c>
      <c r="K341">
        <v>8.9</v>
      </c>
      <c r="L341">
        <v>3462.1</v>
      </c>
    </row>
    <row r="342" spans="1:12" x14ac:dyDescent="0.3">
      <c r="A342">
        <v>19</v>
      </c>
      <c r="B342">
        <v>23</v>
      </c>
      <c r="C342">
        <v>0</v>
      </c>
      <c r="D342">
        <v>20</v>
      </c>
      <c r="E342">
        <v>1</v>
      </c>
      <c r="F342">
        <v>0</v>
      </c>
      <c r="G342">
        <v>7</v>
      </c>
      <c r="H342" t="s">
        <v>20</v>
      </c>
      <c r="I342" t="s">
        <v>81</v>
      </c>
      <c r="J342">
        <v>651</v>
      </c>
      <c r="K342">
        <v>9.1</v>
      </c>
      <c r="L342">
        <v>5924.0999999999904</v>
      </c>
    </row>
    <row r="343" spans="1:12" x14ac:dyDescent="0.3">
      <c r="A343">
        <v>13</v>
      </c>
      <c r="B343">
        <v>23</v>
      </c>
      <c r="C343">
        <v>0</v>
      </c>
      <c r="D343">
        <v>6</v>
      </c>
      <c r="E343">
        <v>12</v>
      </c>
      <c r="F343">
        <v>0</v>
      </c>
      <c r="G343">
        <v>1</v>
      </c>
      <c r="H343" t="s">
        <v>19</v>
      </c>
      <c r="J343">
        <v>612</v>
      </c>
      <c r="K343">
        <v>8.9</v>
      </c>
      <c r="L343">
        <v>5446.8</v>
      </c>
    </row>
    <row r="344" spans="1:12" x14ac:dyDescent="0.3">
      <c r="A344">
        <v>8</v>
      </c>
      <c r="B344">
        <v>23</v>
      </c>
      <c r="C344">
        <v>0</v>
      </c>
      <c r="D344">
        <v>22</v>
      </c>
      <c r="E344">
        <v>1</v>
      </c>
      <c r="F344">
        <v>0</v>
      </c>
      <c r="G344">
        <v>9</v>
      </c>
      <c r="H344" t="s">
        <v>21</v>
      </c>
      <c r="I344" t="s">
        <v>92</v>
      </c>
      <c r="K344">
        <v>8.6999999999999993</v>
      </c>
      <c r="L344">
        <v>3523.49999999999</v>
      </c>
    </row>
    <row r="345" spans="1:12" x14ac:dyDescent="0.3">
      <c r="A345">
        <v>23</v>
      </c>
      <c r="B345">
        <v>22</v>
      </c>
      <c r="C345">
        <v>3</v>
      </c>
      <c r="D345">
        <v>7</v>
      </c>
      <c r="E345">
        <v>1</v>
      </c>
      <c r="F345">
        <v>0</v>
      </c>
      <c r="G345">
        <v>8</v>
      </c>
      <c r="H345" t="s">
        <v>21</v>
      </c>
      <c r="I345" t="s">
        <v>75</v>
      </c>
      <c r="J345">
        <v>479</v>
      </c>
      <c r="K345">
        <v>8.6999999999999993</v>
      </c>
      <c r="L345">
        <v>4167.2999999999902</v>
      </c>
    </row>
    <row r="346" spans="1:12" x14ac:dyDescent="0.3">
      <c r="A346">
        <v>20</v>
      </c>
      <c r="B346">
        <v>22</v>
      </c>
      <c r="C346">
        <v>0</v>
      </c>
      <c r="E346">
        <v>1</v>
      </c>
      <c r="F346">
        <v>0</v>
      </c>
      <c r="G346">
        <v>4</v>
      </c>
      <c r="H346" t="s">
        <v>60</v>
      </c>
      <c r="I346" t="s">
        <v>89</v>
      </c>
      <c r="K346">
        <v>9.1</v>
      </c>
      <c r="L346">
        <v>3731</v>
      </c>
    </row>
    <row r="347" spans="1:12" x14ac:dyDescent="0.3">
      <c r="A347">
        <v>18</v>
      </c>
      <c r="B347">
        <v>22</v>
      </c>
      <c r="C347">
        <v>2</v>
      </c>
      <c r="D347">
        <v>10</v>
      </c>
      <c r="E347">
        <v>1</v>
      </c>
      <c r="F347">
        <v>0</v>
      </c>
      <c r="G347">
        <v>2</v>
      </c>
      <c r="H347" t="s">
        <v>30</v>
      </c>
      <c r="I347" t="s">
        <v>110</v>
      </c>
      <c r="J347">
        <v>405</v>
      </c>
      <c r="K347">
        <v>9.1999999999999993</v>
      </c>
      <c r="L347">
        <v>3725.99999999999</v>
      </c>
    </row>
    <row r="348" spans="1:12" x14ac:dyDescent="0.3">
      <c r="B348">
        <v>22</v>
      </c>
      <c r="C348">
        <v>3</v>
      </c>
      <c r="D348">
        <v>13</v>
      </c>
      <c r="E348">
        <v>1</v>
      </c>
      <c r="F348">
        <v>0</v>
      </c>
      <c r="G348">
        <v>5</v>
      </c>
      <c r="H348" t="s">
        <v>60</v>
      </c>
      <c r="I348" t="s">
        <v>94</v>
      </c>
      <c r="J348">
        <v>546</v>
      </c>
      <c r="K348">
        <v>9.1</v>
      </c>
      <c r="L348">
        <v>4968.5999999999904</v>
      </c>
    </row>
    <row r="349" spans="1:12" x14ac:dyDescent="0.3">
      <c r="A349">
        <v>17</v>
      </c>
      <c r="B349">
        <v>23</v>
      </c>
      <c r="C349">
        <v>0</v>
      </c>
      <c r="D349">
        <v>8</v>
      </c>
      <c r="E349">
        <v>1</v>
      </c>
      <c r="F349">
        <v>0</v>
      </c>
      <c r="G349">
        <v>3</v>
      </c>
      <c r="H349" t="s">
        <v>32</v>
      </c>
      <c r="I349" t="s">
        <v>90</v>
      </c>
      <c r="J349" t="s">
        <v>153</v>
      </c>
      <c r="K349">
        <v>7.6</v>
      </c>
      <c r="L349">
        <v>4035.6</v>
      </c>
    </row>
    <row r="350" spans="1:12" x14ac:dyDescent="0.3">
      <c r="A350">
        <v>5</v>
      </c>
      <c r="B350">
        <v>18</v>
      </c>
      <c r="C350">
        <v>3</v>
      </c>
      <c r="D350">
        <v>13</v>
      </c>
      <c r="E350">
        <v>1</v>
      </c>
      <c r="F350">
        <v>0</v>
      </c>
      <c r="G350">
        <v>10</v>
      </c>
      <c r="H350" t="s">
        <v>34</v>
      </c>
      <c r="I350" t="s">
        <v>77</v>
      </c>
      <c r="J350">
        <v>391</v>
      </c>
      <c r="K350">
        <v>7.6</v>
      </c>
      <c r="L350">
        <v>2971.6</v>
      </c>
    </row>
    <row r="351" spans="1:12" x14ac:dyDescent="0.3">
      <c r="A351">
        <v>19</v>
      </c>
      <c r="B351">
        <v>23</v>
      </c>
      <c r="C351">
        <v>2</v>
      </c>
      <c r="D351">
        <v>14</v>
      </c>
      <c r="E351">
        <v>1</v>
      </c>
      <c r="F351">
        <v>0</v>
      </c>
      <c r="G351">
        <v>11</v>
      </c>
      <c r="H351" t="s">
        <v>35</v>
      </c>
      <c r="I351" t="s">
        <v>106</v>
      </c>
      <c r="J351">
        <v>512</v>
      </c>
      <c r="K351">
        <v>8.1999999999999993</v>
      </c>
      <c r="L351">
        <v>4198.3999999999996</v>
      </c>
    </row>
    <row r="352" spans="1:12" x14ac:dyDescent="0.3">
      <c r="A352">
        <v>14</v>
      </c>
      <c r="B352">
        <v>22</v>
      </c>
      <c r="C352">
        <v>1</v>
      </c>
      <c r="D352">
        <v>3</v>
      </c>
      <c r="E352">
        <v>1</v>
      </c>
      <c r="F352">
        <v>0</v>
      </c>
      <c r="G352">
        <v>4</v>
      </c>
      <c r="H352" t="s">
        <v>24</v>
      </c>
      <c r="I352" t="s">
        <v>97</v>
      </c>
      <c r="J352">
        <v>300</v>
      </c>
      <c r="K352">
        <v>7.9</v>
      </c>
      <c r="L352">
        <v>2370</v>
      </c>
    </row>
    <row r="353" spans="1:12" x14ac:dyDescent="0.3">
      <c r="A353">
        <v>10</v>
      </c>
      <c r="B353">
        <v>22</v>
      </c>
      <c r="C353">
        <v>0</v>
      </c>
      <c r="D353">
        <v>12</v>
      </c>
      <c r="E353">
        <v>7</v>
      </c>
      <c r="F353">
        <v>0</v>
      </c>
      <c r="G353">
        <v>2</v>
      </c>
      <c r="H353" t="s">
        <v>38</v>
      </c>
      <c r="I353" t="s">
        <v>87</v>
      </c>
      <c r="J353">
        <v>406</v>
      </c>
      <c r="K353">
        <v>7.4</v>
      </c>
    </row>
    <row r="354" spans="1:12" x14ac:dyDescent="0.3">
      <c r="B354">
        <v>23</v>
      </c>
      <c r="C354">
        <v>0</v>
      </c>
      <c r="D354">
        <v>16</v>
      </c>
      <c r="E354">
        <v>12</v>
      </c>
      <c r="F354">
        <v>0</v>
      </c>
      <c r="G354">
        <v>12</v>
      </c>
      <c r="H354" t="s">
        <v>32</v>
      </c>
      <c r="I354" t="s">
        <v>109</v>
      </c>
      <c r="J354">
        <v>533</v>
      </c>
      <c r="K354">
        <v>7.6</v>
      </c>
      <c r="L354" t="s">
        <v>270</v>
      </c>
    </row>
    <row r="355" spans="1:12" x14ac:dyDescent="0.3">
      <c r="A355">
        <v>8</v>
      </c>
      <c r="B355">
        <v>18</v>
      </c>
      <c r="C355">
        <v>3</v>
      </c>
      <c r="D355">
        <v>8</v>
      </c>
      <c r="E355">
        <v>1</v>
      </c>
      <c r="F355">
        <v>0</v>
      </c>
      <c r="G355">
        <v>9</v>
      </c>
      <c r="H355" t="s">
        <v>32</v>
      </c>
      <c r="I355" t="s">
        <v>92</v>
      </c>
      <c r="J355">
        <v>331</v>
      </c>
      <c r="K355">
        <v>7.6</v>
      </c>
      <c r="L355">
        <v>2515.6</v>
      </c>
    </row>
    <row r="356" spans="1:12" x14ac:dyDescent="0.3">
      <c r="A356">
        <v>13</v>
      </c>
      <c r="B356">
        <v>23</v>
      </c>
      <c r="C356">
        <v>3</v>
      </c>
      <c r="D356">
        <v>14</v>
      </c>
      <c r="E356">
        <v>1</v>
      </c>
      <c r="F356">
        <v>0</v>
      </c>
      <c r="G356">
        <v>11</v>
      </c>
      <c r="H356" t="s">
        <v>23</v>
      </c>
      <c r="I356" t="s">
        <v>71</v>
      </c>
      <c r="J356">
        <v>685</v>
      </c>
      <c r="K356">
        <v>8.4</v>
      </c>
      <c r="L356">
        <v>5754</v>
      </c>
    </row>
    <row r="357" spans="1:12" x14ac:dyDescent="0.3">
      <c r="B357">
        <v>23</v>
      </c>
      <c r="C357">
        <v>2</v>
      </c>
      <c r="D357">
        <v>10</v>
      </c>
      <c r="F357">
        <v>0</v>
      </c>
      <c r="G357">
        <v>4</v>
      </c>
      <c r="H357" t="s">
        <v>38</v>
      </c>
      <c r="I357" t="s">
        <v>94</v>
      </c>
      <c r="J357">
        <v>655</v>
      </c>
      <c r="L357">
        <v>4847</v>
      </c>
    </row>
    <row r="358" spans="1:12" x14ac:dyDescent="0.3">
      <c r="A358">
        <v>7</v>
      </c>
      <c r="B358">
        <v>21</v>
      </c>
      <c r="C358">
        <v>1</v>
      </c>
      <c r="D358">
        <v>10</v>
      </c>
      <c r="E358">
        <v>1</v>
      </c>
      <c r="F358">
        <v>0</v>
      </c>
      <c r="G358">
        <v>12</v>
      </c>
      <c r="H358" t="s">
        <v>25</v>
      </c>
      <c r="I358" t="s">
        <v>71</v>
      </c>
      <c r="J358" t="s">
        <v>154</v>
      </c>
      <c r="K358">
        <v>8.1</v>
      </c>
      <c r="L358">
        <v>3863.7</v>
      </c>
    </row>
    <row r="359" spans="1:12" x14ac:dyDescent="0.3">
      <c r="A359">
        <v>13</v>
      </c>
      <c r="B359">
        <v>23</v>
      </c>
      <c r="C359">
        <v>1</v>
      </c>
      <c r="D359">
        <v>4</v>
      </c>
      <c r="E359">
        <v>1</v>
      </c>
      <c r="F359">
        <v>0</v>
      </c>
      <c r="G359">
        <v>12</v>
      </c>
      <c r="H359" t="s">
        <v>32</v>
      </c>
      <c r="I359" t="s">
        <v>85</v>
      </c>
      <c r="J359">
        <v>513</v>
      </c>
      <c r="K359">
        <v>7.6</v>
      </c>
      <c r="L359">
        <v>3898.7999999999902</v>
      </c>
    </row>
    <row r="360" spans="1:12" x14ac:dyDescent="0.3">
      <c r="A360">
        <v>7</v>
      </c>
      <c r="B360">
        <v>20</v>
      </c>
      <c r="C360">
        <v>0</v>
      </c>
      <c r="E360">
        <v>1</v>
      </c>
      <c r="F360">
        <v>0</v>
      </c>
      <c r="G360">
        <v>2</v>
      </c>
      <c r="H360" t="s">
        <v>15</v>
      </c>
      <c r="I360" t="s">
        <v>85</v>
      </c>
      <c r="J360">
        <v>328</v>
      </c>
      <c r="K360">
        <v>8.3000000000000007</v>
      </c>
      <c r="L360">
        <v>2722.4</v>
      </c>
    </row>
    <row r="361" spans="1:12" x14ac:dyDescent="0.3">
      <c r="A361">
        <v>17</v>
      </c>
      <c r="B361">
        <v>22</v>
      </c>
      <c r="C361">
        <v>3</v>
      </c>
      <c r="D361">
        <v>4</v>
      </c>
      <c r="E361">
        <v>1</v>
      </c>
      <c r="F361">
        <v>0</v>
      </c>
      <c r="G361">
        <v>7</v>
      </c>
      <c r="H361" t="s">
        <v>20</v>
      </c>
      <c r="I361" t="s">
        <v>75</v>
      </c>
      <c r="J361">
        <v>372</v>
      </c>
      <c r="K361">
        <v>9.1</v>
      </c>
      <c r="L361">
        <v>3385.2</v>
      </c>
    </row>
    <row r="362" spans="1:12" x14ac:dyDescent="0.3">
      <c r="A362">
        <v>21</v>
      </c>
      <c r="B362">
        <v>23</v>
      </c>
      <c r="C362">
        <v>2</v>
      </c>
      <c r="D362">
        <v>6</v>
      </c>
      <c r="E362">
        <v>1</v>
      </c>
      <c r="F362">
        <v>0</v>
      </c>
      <c r="G362">
        <v>6</v>
      </c>
      <c r="H362" t="s">
        <v>42</v>
      </c>
      <c r="I362" t="s">
        <v>88</v>
      </c>
      <c r="K362">
        <v>7.8</v>
      </c>
      <c r="L362">
        <v>4960.8</v>
      </c>
    </row>
    <row r="363" spans="1:12" x14ac:dyDescent="0.3">
      <c r="A363">
        <v>10</v>
      </c>
      <c r="B363">
        <v>22</v>
      </c>
      <c r="C363">
        <v>2</v>
      </c>
      <c r="E363">
        <v>1</v>
      </c>
      <c r="F363">
        <v>0</v>
      </c>
      <c r="G363">
        <v>10</v>
      </c>
      <c r="H363" t="s">
        <v>16</v>
      </c>
      <c r="J363">
        <v>578</v>
      </c>
      <c r="K363">
        <v>8.9</v>
      </c>
      <c r="L363">
        <v>5144.2</v>
      </c>
    </row>
    <row r="364" spans="1:12" x14ac:dyDescent="0.3">
      <c r="A364">
        <v>8</v>
      </c>
      <c r="B364">
        <v>23</v>
      </c>
      <c r="C364">
        <v>1</v>
      </c>
      <c r="D364">
        <v>19</v>
      </c>
      <c r="E364">
        <v>1</v>
      </c>
      <c r="G364">
        <v>1</v>
      </c>
      <c r="H364" t="s">
        <v>32</v>
      </c>
      <c r="I364" t="s">
        <v>82</v>
      </c>
      <c r="J364">
        <v>661</v>
      </c>
      <c r="K364">
        <v>7.6</v>
      </c>
    </row>
    <row r="365" spans="1:12" x14ac:dyDescent="0.3">
      <c r="A365">
        <v>10</v>
      </c>
      <c r="B365">
        <v>20</v>
      </c>
      <c r="C365">
        <v>2</v>
      </c>
      <c r="D365">
        <v>4</v>
      </c>
      <c r="E365">
        <v>1</v>
      </c>
      <c r="F365">
        <v>0</v>
      </c>
      <c r="G365">
        <v>11</v>
      </c>
      <c r="H365" t="s">
        <v>32</v>
      </c>
      <c r="I365" t="s">
        <v>71</v>
      </c>
      <c r="J365">
        <v>467</v>
      </c>
      <c r="K365">
        <v>7.6</v>
      </c>
      <c r="L365">
        <v>3549.2</v>
      </c>
    </row>
    <row r="366" spans="1:12" x14ac:dyDescent="0.3">
      <c r="A366">
        <v>23</v>
      </c>
      <c r="B366">
        <v>23</v>
      </c>
      <c r="C366">
        <v>0</v>
      </c>
      <c r="D366">
        <v>21</v>
      </c>
      <c r="E366">
        <v>1</v>
      </c>
      <c r="F366">
        <v>0</v>
      </c>
      <c r="G366">
        <v>10</v>
      </c>
      <c r="H366" t="s">
        <v>16</v>
      </c>
      <c r="I366" t="s">
        <v>71</v>
      </c>
      <c r="J366">
        <v>537</v>
      </c>
      <c r="K366">
        <v>8.9</v>
      </c>
      <c r="L366">
        <v>4779.3</v>
      </c>
    </row>
    <row r="367" spans="1:12" x14ac:dyDescent="0.3">
      <c r="A367">
        <v>17</v>
      </c>
      <c r="B367">
        <v>23</v>
      </c>
      <c r="C367">
        <v>1</v>
      </c>
      <c r="D367">
        <v>12</v>
      </c>
      <c r="E367">
        <v>1</v>
      </c>
      <c r="F367">
        <v>0</v>
      </c>
      <c r="G367">
        <v>9</v>
      </c>
      <c r="H367" t="s">
        <v>21</v>
      </c>
      <c r="I367" t="s">
        <v>78</v>
      </c>
      <c r="J367">
        <v>496</v>
      </c>
      <c r="K367">
        <v>8.6999999999999993</v>
      </c>
      <c r="L367">
        <v>4315.2</v>
      </c>
    </row>
    <row r="368" spans="1:12" x14ac:dyDescent="0.3">
      <c r="A368">
        <v>8</v>
      </c>
      <c r="B368">
        <v>19</v>
      </c>
      <c r="C368">
        <v>2</v>
      </c>
      <c r="D368">
        <v>18</v>
      </c>
      <c r="E368">
        <v>1</v>
      </c>
      <c r="F368">
        <v>0</v>
      </c>
      <c r="G368">
        <v>8</v>
      </c>
      <c r="H368" t="s">
        <v>31</v>
      </c>
      <c r="I368" t="s">
        <v>78</v>
      </c>
      <c r="J368">
        <v>432</v>
      </c>
      <c r="K368">
        <v>7.9</v>
      </c>
      <c r="L368">
        <v>3412.8</v>
      </c>
    </row>
    <row r="369" spans="1:12" x14ac:dyDescent="0.3">
      <c r="A369">
        <v>14</v>
      </c>
      <c r="B369">
        <v>22</v>
      </c>
      <c r="C369">
        <v>0</v>
      </c>
      <c r="D369">
        <v>8</v>
      </c>
      <c r="F369">
        <v>0</v>
      </c>
      <c r="G369">
        <v>6</v>
      </c>
      <c r="H369" t="s">
        <v>21</v>
      </c>
      <c r="I369" t="s">
        <v>109</v>
      </c>
      <c r="J369">
        <v>545</v>
      </c>
      <c r="K369">
        <v>8.6999999999999993</v>
      </c>
      <c r="L369">
        <v>4741.5</v>
      </c>
    </row>
    <row r="370" spans="1:12" x14ac:dyDescent="0.3">
      <c r="A370">
        <v>17</v>
      </c>
      <c r="B370">
        <v>23</v>
      </c>
      <c r="C370">
        <v>2</v>
      </c>
      <c r="D370">
        <v>14</v>
      </c>
      <c r="E370">
        <v>12</v>
      </c>
      <c r="F370">
        <v>0</v>
      </c>
      <c r="G370">
        <v>1</v>
      </c>
      <c r="H370" t="s">
        <v>38</v>
      </c>
      <c r="I370" t="s">
        <v>109</v>
      </c>
      <c r="J370">
        <v>587</v>
      </c>
      <c r="K370">
        <v>7.4</v>
      </c>
      <c r="L370">
        <v>4343.8</v>
      </c>
    </row>
    <row r="371" spans="1:12" x14ac:dyDescent="0.3">
      <c r="A371">
        <v>12</v>
      </c>
      <c r="C371">
        <v>1</v>
      </c>
      <c r="D371">
        <v>11</v>
      </c>
      <c r="E371">
        <v>12</v>
      </c>
      <c r="F371">
        <v>0</v>
      </c>
      <c r="G371">
        <v>9</v>
      </c>
      <c r="H371" t="s">
        <v>25</v>
      </c>
      <c r="I371" t="s">
        <v>104</v>
      </c>
      <c r="J371">
        <v>467</v>
      </c>
      <c r="K371">
        <v>8.1</v>
      </c>
      <c r="L371">
        <v>3782.7</v>
      </c>
    </row>
    <row r="372" spans="1:12" x14ac:dyDescent="0.3">
      <c r="A372">
        <v>7</v>
      </c>
      <c r="B372">
        <v>20</v>
      </c>
      <c r="C372">
        <v>2</v>
      </c>
      <c r="D372">
        <v>6</v>
      </c>
      <c r="E372">
        <v>7</v>
      </c>
      <c r="G372">
        <v>2</v>
      </c>
      <c r="H372" t="s">
        <v>18</v>
      </c>
      <c r="I372" t="s">
        <v>74</v>
      </c>
      <c r="J372">
        <v>473</v>
      </c>
      <c r="K372">
        <v>7.7</v>
      </c>
      <c r="L372">
        <v>3642.1</v>
      </c>
    </row>
    <row r="373" spans="1:12" x14ac:dyDescent="0.3">
      <c r="A373">
        <v>11</v>
      </c>
      <c r="B373">
        <v>22</v>
      </c>
      <c r="C373">
        <v>3</v>
      </c>
      <c r="D373">
        <v>6</v>
      </c>
      <c r="E373">
        <v>12</v>
      </c>
      <c r="F373">
        <v>0</v>
      </c>
      <c r="G373">
        <v>1</v>
      </c>
      <c r="H373" t="s">
        <v>33</v>
      </c>
      <c r="I373" t="s">
        <v>97</v>
      </c>
      <c r="J373">
        <v>561</v>
      </c>
      <c r="K373">
        <v>9.3000000000000007</v>
      </c>
      <c r="L373">
        <v>5217.3</v>
      </c>
    </row>
    <row r="374" spans="1:12" x14ac:dyDescent="0.3">
      <c r="A374">
        <v>22</v>
      </c>
      <c r="B374">
        <v>23</v>
      </c>
      <c r="C374">
        <v>3</v>
      </c>
      <c r="D374">
        <v>3</v>
      </c>
      <c r="E374">
        <v>12</v>
      </c>
      <c r="F374">
        <v>0</v>
      </c>
      <c r="G374">
        <v>10</v>
      </c>
      <c r="H374" t="s">
        <v>61</v>
      </c>
      <c r="I374" t="s">
        <v>97</v>
      </c>
      <c r="J374">
        <v>739</v>
      </c>
      <c r="K374">
        <v>7.4</v>
      </c>
      <c r="L374">
        <v>5468.6</v>
      </c>
    </row>
    <row r="375" spans="1:12" x14ac:dyDescent="0.3">
      <c r="A375">
        <v>23</v>
      </c>
      <c r="B375">
        <v>22</v>
      </c>
      <c r="C375">
        <v>2</v>
      </c>
      <c r="D375">
        <v>22</v>
      </c>
      <c r="E375">
        <v>1</v>
      </c>
      <c r="F375">
        <v>0</v>
      </c>
      <c r="G375">
        <v>7</v>
      </c>
      <c r="H375" t="s">
        <v>51</v>
      </c>
      <c r="I375" t="s">
        <v>95</v>
      </c>
      <c r="J375">
        <v>807</v>
      </c>
      <c r="K375">
        <v>8.8000000000000007</v>
      </c>
      <c r="L375">
        <v>7101.6</v>
      </c>
    </row>
    <row r="376" spans="1:12" x14ac:dyDescent="0.3">
      <c r="A376">
        <v>8</v>
      </c>
      <c r="B376">
        <v>20</v>
      </c>
      <c r="C376">
        <v>3</v>
      </c>
      <c r="D376">
        <v>14</v>
      </c>
      <c r="E376">
        <v>7</v>
      </c>
      <c r="F376">
        <v>0</v>
      </c>
      <c r="G376">
        <v>2</v>
      </c>
      <c r="H376" t="s">
        <v>34</v>
      </c>
      <c r="I376" t="s">
        <v>95</v>
      </c>
      <c r="J376">
        <v>499</v>
      </c>
      <c r="K376">
        <v>7.6</v>
      </c>
      <c r="L376">
        <v>3792.3999999999901</v>
      </c>
    </row>
    <row r="377" spans="1:12" x14ac:dyDescent="0.3">
      <c r="A377">
        <v>23</v>
      </c>
      <c r="B377">
        <v>23</v>
      </c>
      <c r="C377">
        <v>3</v>
      </c>
      <c r="D377">
        <v>18</v>
      </c>
      <c r="E377">
        <v>1</v>
      </c>
      <c r="F377">
        <v>0</v>
      </c>
      <c r="G377">
        <v>4</v>
      </c>
      <c r="H377" t="s">
        <v>23</v>
      </c>
      <c r="I377" t="s">
        <v>71</v>
      </c>
      <c r="J377">
        <v>564</v>
      </c>
      <c r="K377">
        <v>8.4</v>
      </c>
      <c r="L377">
        <v>4737.6000000000004</v>
      </c>
    </row>
    <row r="378" spans="1:12" x14ac:dyDescent="0.3">
      <c r="A378">
        <v>14</v>
      </c>
      <c r="B378">
        <v>23</v>
      </c>
      <c r="C378">
        <v>0</v>
      </c>
      <c r="D378">
        <v>19</v>
      </c>
      <c r="E378">
        <v>12</v>
      </c>
      <c r="F378">
        <v>0</v>
      </c>
      <c r="G378">
        <v>10</v>
      </c>
      <c r="H378" t="s">
        <v>54</v>
      </c>
      <c r="I378" t="s">
        <v>88</v>
      </c>
      <c r="J378">
        <v>534</v>
      </c>
      <c r="K378">
        <v>9.1999999999999993</v>
      </c>
      <c r="L378">
        <v>4912.7999999999902</v>
      </c>
    </row>
    <row r="379" spans="1:12" x14ac:dyDescent="0.3">
      <c r="A379">
        <v>6</v>
      </c>
      <c r="B379">
        <v>22</v>
      </c>
      <c r="C379">
        <v>0</v>
      </c>
      <c r="D379">
        <v>5</v>
      </c>
      <c r="E379">
        <v>1</v>
      </c>
      <c r="F379">
        <v>0</v>
      </c>
      <c r="H379" t="s">
        <v>30</v>
      </c>
      <c r="I379" t="s">
        <v>88</v>
      </c>
      <c r="J379">
        <v>228</v>
      </c>
      <c r="K379">
        <v>9.1999999999999993</v>
      </c>
      <c r="L379">
        <v>2097.6</v>
      </c>
    </row>
    <row r="380" spans="1:12" x14ac:dyDescent="0.3">
      <c r="A380">
        <v>11</v>
      </c>
      <c r="B380">
        <v>23</v>
      </c>
      <c r="C380">
        <v>3</v>
      </c>
      <c r="D380">
        <v>9</v>
      </c>
      <c r="E380">
        <v>12</v>
      </c>
      <c r="F380">
        <v>0</v>
      </c>
      <c r="G380">
        <v>12</v>
      </c>
      <c r="H380" t="s">
        <v>16</v>
      </c>
      <c r="I380" t="s">
        <v>96</v>
      </c>
      <c r="J380">
        <v>610</v>
      </c>
      <c r="K380">
        <v>8.9</v>
      </c>
      <c r="L380">
        <v>5429</v>
      </c>
    </row>
    <row r="381" spans="1:12" x14ac:dyDescent="0.3">
      <c r="A381">
        <v>22</v>
      </c>
      <c r="B381">
        <v>22</v>
      </c>
      <c r="C381">
        <v>0</v>
      </c>
      <c r="D381">
        <v>20</v>
      </c>
      <c r="E381">
        <v>1</v>
      </c>
      <c r="F381">
        <v>0</v>
      </c>
      <c r="G381">
        <v>1</v>
      </c>
      <c r="H381" t="s">
        <v>36</v>
      </c>
      <c r="I381" t="s">
        <v>77</v>
      </c>
      <c r="J381">
        <v>654</v>
      </c>
      <c r="K381">
        <v>8.8000000000000007</v>
      </c>
      <c r="L381">
        <v>5755.2</v>
      </c>
    </row>
    <row r="382" spans="1:12" x14ac:dyDescent="0.3">
      <c r="A382">
        <v>19</v>
      </c>
      <c r="B382">
        <v>23</v>
      </c>
      <c r="C382">
        <v>1</v>
      </c>
      <c r="D382">
        <v>14</v>
      </c>
      <c r="E382">
        <v>1</v>
      </c>
      <c r="F382">
        <v>0</v>
      </c>
      <c r="G382">
        <v>1</v>
      </c>
      <c r="H382" t="s">
        <v>45</v>
      </c>
      <c r="I382" t="s">
        <v>97</v>
      </c>
      <c r="J382" t="s">
        <v>155</v>
      </c>
      <c r="K382">
        <v>7.9</v>
      </c>
      <c r="L382">
        <v>5142.8999999999996</v>
      </c>
    </row>
    <row r="383" spans="1:12" x14ac:dyDescent="0.3">
      <c r="A383">
        <v>19</v>
      </c>
      <c r="B383">
        <v>23</v>
      </c>
      <c r="D383">
        <v>11</v>
      </c>
      <c r="E383">
        <v>1</v>
      </c>
      <c r="F383">
        <v>0</v>
      </c>
      <c r="G383">
        <v>4</v>
      </c>
      <c r="H383" t="s">
        <v>35</v>
      </c>
      <c r="I383" t="s">
        <v>81</v>
      </c>
      <c r="J383">
        <v>565</v>
      </c>
      <c r="K383">
        <v>8.1999999999999993</v>
      </c>
      <c r="L383">
        <v>4633</v>
      </c>
    </row>
    <row r="384" spans="1:12" x14ac:dyDescent="0.3">
      <c r="B384">
        <v>22</v>
      </c>
      <c r="C384">
        <v>2</v>
      </c>
      <c r="D384">
        <v>11</v>
      </c>
      <c r="E384">
        <v>1</v>
      </c>
      <c r="F384">
        <v>0</v>
      </c>
      <c r="G384">
        <v>2</v>
      </c>
      <c r="H384" t="s">
        <v>32</v>
      </c>
      <c r="I384" t="s">
        <v>81</v>
      </c>
      <c r="J384">
        <v>538</v>
      </c>
      <c r="K384">
        <v>7.6</v>
      </c>
      <c r="L384">
        <v>4088.7999999999902</v>
      </c>
    </row>
    <row r="385" spans="1:12" x14ac:dyDescent="0.3">
      <c r="A385">
        <v>10</v>
      </c>
      <c r="B385">
        <v>17</v>
      </c>
      <c r="C385">
        <v>2</v>
      </c>
      <c r="D385">
        <v>22</v>
      </c>
      <c r="E385">
        <v>7</v>
      </c>
      <c r="F385">
        <v>0</v>
      </c>
      <c r="G385">
        <v>8</v>
      </c>
      <c r="H385" t="s">
        <v>62</v>
      </c>
      <c r="I385" t="s">
        <v>94</v>
      </c>
      <c r="J385">
        <v>548</v>
      </c>
      <c r="K385">
        <v>8.5</v>
      </c>
      <c r="L385" t="s">
        <v>271</v>
      </c>
    </row>
    <row r="386" spans="1:12" x14ac:dyDescent="0.3">
      <c r="A386">
        <v>17</v>
      </c>
      <c r="B386">
        <v>22</v>
      </c>
      <c r="C386">
        <v>2</v>
      </c>
      <c r="D386">
        <v>12</v>
      </c>
      <c r="E386">
        <v>1</v>
      </c>
      <c r="F386">
        <v>0</v>
      </c>
      <c r="G386">
        <v>8</v>
      </c>
      <c r="H386" t="s">
        <v>26</v>
      </c>
      <c r="I386" t="s">
        <v>75</v>
      </c>
      <c r="J386">
        <v>615</v>
      </c>
      <c r="K386">
        <v>8.5</v>
      </c>
      <c r="L386">
        <v>5227.5</v>
      </c>
    </row>
    <row r="387" spans="1:12" x14ac:dyDescent="0.3">
      <c r="A387">
        <v>16</v>
      </c>
      <c r="B387">
        <v>22</v>
      </c>
      <c r="C387">
        <v>3</v>
      </c>
      <c r="D387">
        <v>10</v>
      </c>
      <c r="E387">
        <v>1</v>
      </c>
      <c r="G387">
        <v>9</v>
      </c>
      <c r="I387" t="s">
        <v>70</v>
      </c>
      <c r="J387">
        <v>580</v>
      </c>
      <c r="K387">
        <v>8.5</v>
      </c>
      <c r="L387">
        <v>4930</v>
      </c>
    </row>
    <row r="388" spans="1:12" x14ac:dyDescent="0.3">
      <c r="A388">
        <v>19</v>
      </c>
      <c r="B388">
        <v>22</v>
      </c>
      <c r="C388">
        <v>3</v>
      </c>
      <c r="D388">
        <v>6</v>
      </c>
      <c r="E388">
        <v>12</v>
      </c>
      <c r="F388">
        <v>0</v>
      </c>
      <c r="G388">
        <v>10</v>
      </c>
      <c r="H388" t="s">
        <v>38</v>
      </c>
      <c r="I388" t="s">
        <v>105</v>
      </c>
      <c r="J388">
        <v>501</v>
      </c>
      <c r="L388">
        <v>3707.4</v>
      </c>
    </row>
    <row r="389" spans="1:12" x14ac:dyDescent="0.3">
      <c r="A389">
        <v>5</v>
      </c>
      <c r="B389">
        <v>19</v>
      </c>
      <c r="C389">
        <v>2</v>
      </c>
      <c r="D389">
        <v>7</v>
      </c>
      <c r="E389">
        <v>1</v>
      </c>
      <c r="F389">
        <v>0</v>
      </c>
      <c r="G389">
        <v>1</v>
      </c>
      <c r="H389" t="s">
        <v>15</v>
      </c>
      <c r="I389" t="s">
        <v>70</v>
      </c>
      <c r="J389">
        <v>256</v>
      </c>
      <c r="K389" t="s">
        <v>248</v>
      </c>
      <c r="L389">
        <v>2124.8000000000002</v>
      </c>
    </row>
    <row r="390" spans="1:12" x14ac:dyDescent="0.3">
      <c r="A390">
        <v>7</v>
      </c>
      <c r="B390">
        <v>21</v>
      </c>
      <c r="C390">
        <v>0</v>
      </c>
      <c r="D390">
        <v>6</v>
      </c>
      <c r="E390">
        <v>1</v>
      </c>
      <c r="F390">
        <v>0</v>
      </c>
      <c r="G390">
        <v>12</v>
      </c>
      <c r="H390" t="s">
        <v>52</v>
      </c>
      <c r="I390" t="s">
        <v>93</v>
      </c>
      <c r="J390">
        <v>276</v>
      </c>
      <c r="K390">
        <v>9.3000000000000007</v>
      </c>
      <c r="L390">
        <v>2566.8000000000002</v>
      </c>
    </row>
    <row r="391" spans="1:12" x14ac:dyDescent="0.3">
      <c r="A391">
        <v>12</v>
      </c>
      <c r="B391">
        <v>23</v>
      </c>
      <c r="C391">
        <v>2</v>
      </c>
      <c r="D391">
        <v>9</v>
      </c>
      <c r="E391">
        <v>1</v>
      </c>
      <c r="F391">
        <v>0</v>
      </c>
      <c r="G391">
        <v>6</v>
      </c>
      <c r="H391" t="s">
        <v>16</v>
      </c>
      <c r="I391" t="s">
        <v>107</v>
      </c>
      <c r="J391">
        <v>546</v>
      </c>
      <c r="K391">
        <v>8.9</v>
      </c>
      <c r="L391">
        <v>4859.3999999999996</v>
      </c>
    </row>
    <row r="392" spans="1:12" x14ac:dyDescent="0.3">
      <c r="A392">
        <v>8</v>
      </c>
      <c r="B392">
        <v>19</v>
      </c>
      <c r="C392">
        <v>2</v>
      </c>
      <c r="D392">
        <v>10</v>
      </c>
      <c r="E392">
        <v>1</v>
      </c>
      <c r="F392">
        <v>0</v>
      </c>
      <c r="G392">
        <v>8</v>
      </c>
      <c r="H392" t="s">
        <v>36</v>
      </c>
      <c r="I392" t="s">
        <v>82</v>
      </c>
      <c r="J392">
        <v>407</v>
      </c>
      <c r="K392">
        <v>8.8000000000000007</v>
      </c>
      <c r="L392">
        <v>3581.6</v>
      </c>
    </row>
    <row r="393" spans="1:12" x14ac:dyDescent="0.3">
      <c r="A393">
        <v>5</v>
      </c>
      <c r="B393">
        <v>20</v>
      </c>
      <c r="C393">
        <v>2</v>
      </c>
      <c r="D393">
        <v>19</v>
      </c>
      <c r="E393">
        <v>7</v>
      </c>
      <c r="F393">
        <v>0</v>
      </c>
      <c r="G393">
        <v>12</v>
      </c>
      <c r="H393" t="s">
        <v>24</v>
      </c>
      <c r="I393" t="s">
        <v>82</v>
      </c>
      <c r="J393">
        <v>658</v>
      </c>
      <c r="K393">
        <v>7.9</v>
      </c>
      <c r="L393">
        <v>5198.2</v>
      </c>
    </row>
    <row r="394" spans="1:12" x14ac:dyDescent="0.3">
      <c r="A394">
        <v>19</v>
      </c>
      <c r="B394">
        <v>23</v>
      </c>
      <c r="C394">
        <v>0</v>
      </c>
      <c r="F394">
        <v>0</v>
      </c>
      <c r="G394">
        <v>2</v>
      </c>
      <c r="H394" t="s">
        <v>20</v>
      </c>
      <c r="I394" t="s">
        <v>120</v>
      </c>
      <c r="J394">
        <v>491</v>
      </c>
      <c r="K394">
        <v>9.1</v>
      </c>
      <c r="L394">
        <v>4468.0999999999904</v>
      </c>
    </row>
    <row r="395" spans="1:12" x14ac:dyDescent="0.3">
      <c r="A395">
        <v>20</v>
      </c>
      <c r="B395">
        <v>22</v>
      </c>
      <c r="C395">
        <v>3</v>
      </c>
      <c r="D395">
        <v>3</v>
      </c>
      <c r="E395">
        <v>12</v>
      </c>
      <c r="G395">
        <v>4</v>
      </c>
      <c r="H395" t="s">
        <v>55</v>
      </c>
      <c r="I395" t="s">
        <v>93</v>
      </c>
      <c r="K395">
        <v>7.8</v>
      </c>
      <c r="L395">
        <v>3868.7999999999902</v>
      </c>
    </row>
    <row r="396" spans="1:12" x14ac:dyDescent="0.3">
      <c r="A396">
        <v>8</v>
      </c>
      <c r="B396">
        <v>17</v>
      </c>
      <c r="C396">
        <v>1</v>
      </c>
      <c r="D396">
        <v>20</v>
      </c>
      <c r="E396">
        <v>7</v>
      </c>
      <c r="F396">
        <v>0</v>
      </c>
      <c r="G396">
        <v>10</v>
      </c>
      <c r="H396" t="s">
        <v>25</v>
      </c>
      <c r="I396" t="s">
        <v>106</v>
      </c>
      <c r="J396">
        <v>634</v>
      </c>
      <c r="K396">
        <v>8.1</v>
      </c>
      <c r="L396" t="s">
        <v>272</v>
      </c>
    </row>
    <row r="397" spans="1:12" x14ac:dyDescent="0.3">
      <c r="A397">
        <v>22</v>
      </c>
      <c r="B397">
        <v>23</v>
      </c>
      <c r="C397">
        <v>3</v>
      </c>
      <c r="D397">
        <v>7</v>
      </c>
      <c r="E397">
        <v>1</v>
      </c>
      <c r="F397">
        <v>0</v>
      </c>
      <c r="G397">
        <v>11</v>
      </c>
      <c r="H397" t="s">
        <v>22</v>
      </c>
      <c r="I397" t="s">
        <v>97</v>
      </c>
      <c r="J397">
        <v>578</v>
      </c>
      <c r="K397">
        <v>7.8</v>
      </c>
      <c r="L397">
        <v>4508.3999999999996</v>
      </c>
    </row>
    <row r="398" spans="1:12" x14ac:dyDescent="0.3">
      <c r="A398">
        <v>14</v>
      </c>
      <c r="B398">
        <v>22</v>
      </c>
      <c r="C398">
        <v>0</v>
      </c>
      <c r="D398">
        <v>21</v>
      </c>
      <c r="E398">
        <v>12</v>
      </c>
      <c r="F398">
        <v>0</v>
      </c>
      <c r="G398">
        <v>8</v>
      </c>
      <c r="H398" t="s">
        <v>21</v>
      </c>
      <c r="I398" t="s">
        <v>78</v>
      </c>
      <c r="J398">
        <v>510</v>
      </c>
      <c r="K398">
        <v>8.6999999999999993</v>
      </c>
      <c r="L398">
        <v>4437</v>
      </c>
    </row>
    <row r="399" spans="1:12" x14ac:dyDescent="0.3">
      <c r="A399">
        <v>20</v>
      </c>
      <c r="B399">
        <v>23</v>
      </c>
      <c r="C399">
        <v>1</v>
      </c>
      <c r="D399">
        <v>20</v>
      </c>
      <c r="E399">
        <v>12</v>
      </c>
      <c r="F399">
        <v>0</v>
      </c>
      <c r="G399">
        <v>10</v>
      </c>
      <c r="H399" t="s">
        <v>32</v>
      </c>
      <c r="I399" t="s">
        <v>77</v>
      </c>
      <c r="J399">
        <v>845</v>
      </c>
      <c r="K399">
        <v>7.6</v>
      </c>
      <c r="L399">
        <v>6422</v>
      </c>
    </row>
    <row r="400" spans="1:12" x14ac:dyDescent="0.3">
      <c r="B400">
        <v>22</v>
      </c>
      <c r="C400">
        <v>2</v>
      </c>
      <c r="D400">
        <v>21</v>
      </c>
      <c r="E400">
        <v>1</v>
      </c>
      <c r="F400">
        <v>0</v>
      </c>
      <c r="G400">
        <v>1</v>
      </c>
      <c r="H400" t="s">
        <v>33</v>
      </c>
      <c r="I400" t="s">
        <v>115</v>
      </c>
      <c r="J400">
        <v>754</v>
      </c>
      <c r="K400">
        <v>9.3000000000000007</v>
      </c>
      <c r="L400" t="s">
        <v>273</v>
      </c>
    </row>
    <row r="401" spans="1:12" x14ac:dyDescent="0.3">
      <c r="A401">
        <v>20</v>
      </c>
      <c r="B401">
        <v>23</v>
      </c>
      <c r="C401">
        <v>1</v>
      </c>
      <c r="D401">
        <v>8</v>
      </c>
      <c r="E401">
        <v>12</v>
      </c>
      <c r="F401">
        <v>0</v>
      </c>
      <c r="H401" t="s">
        <v>33</v>
      </c>
      <c r="I401" t="s">
        <v>77</v>
      </c>
      <c r="J401">
        <v>536</v>
      </c>
      <c r="K401">
        <v>9.3000000000000007</v>
      </c>
      <c r="L401">
        <v>4984.8</v>
      </c>
    </row>
    <row r="402" spans="1:12" x14ac:dyDescent="0.3">
      <c r="A402">
        <v>9</v>
      </c>
      <c r="B402">
        <v>23</v>
      </c>
      <c r="C402">
        <v>1</v>
      </c>
      <c r="D402">
        <v>22</v>
      </c>
      <c r="E402">
        <v>1</v>
      </c>
      <c r="F402">
        <v>0</v>
      </c>
      <c r="G402">
        <v>9</v>
      </c>
      <c r="H402" t="s">
        <v>39</v>
      </c>
      <c r="I402" t="s">
        <v>106</v>
      </c>
      <c r="J402">
        <v>490</v>
      </c>
      <c r="K402">
        <v>8.8000000000000007</v>
      </c>
      <c r="L402">
        <v>4312</v>
      </c>
    </row>
    <row r="403" spans="1:12" x14ac:dyDescent="0.3">
      <c r="A403">
        <v>18</v>
      </c>
      <c r="B403">
        <v>22</v>
      </c>
      <c r="D403">
        <v>6</v>
      </c>
      <c r="G403">
        <v>4</v>
      </c>
      <c r="H403" t="s">
        <v>16</v>
      </c>
      <c r="J403">
        <v>557</v>
      </c>
      <c r="K403">
        <v>8.9</v>
      </c>
      <c r="L403">
        <v>4957.3</v>
      </c>
    </row>
    <row r="404" spans="1:12" x14ac:dyDescent="0.3">
      <c r="B404">
        <v>22</v>
      </c>
      <c r="C404">
        <v>0</v>
      </c>
      <c r="D404">
        <v>20</v>
      </c>
      <c r="E404">
        <v>1</v>
      </c>
      <c r="F404">
        <v>0</v>
      </c>
      <c r="G404">
        <v>6</v>
      </c>
      <c r="H404" t="s">
        <v>20</v>
      </c>
      <c r="I404" t="s">
        <v>75</v>
      </c>
      <c r="J404">
        <v>410</v>
      </c>
      <c r="K404">
        <v>9.1</v>
      </c>
      <c r="L404">
        <v>3731</v>
      </c>
    </row>
    <row r="405" spans="1:12" x14ac:dyDescent="0.3">
      <c r="A405">
        <v>18</v>
      </c>
      <c r="C405">
        <v>3</v>
      </c>
      <c r="D405">
        <v>18</v>
      </c>
      <c r="E405">
        <v>1</v>
      </c>
      <c r="F405">
        <v>0</v>
      </c>
      <c r="H405" t="s">
        <v>38</v>
      </c>
      <c r="I405" t="s">
        <v>106</v>
      </c>
      <c r="J405">
        <v>677</v>
      </c>
      <c r="K405">
        <v>7.4</v>
      </c>
      <c r="L405">
        <v>5009.8</v>
      </c>
    </row>
    <row r="406" spans="1:12" x14ac:dyDescent="0.3">
      <c r="A406">
        <v>15</v>
      </c>
      <c r="B406">
        <v>22</v>
      </c>
      <c r="C406">
        <v>3</v>
      </c>
      <c r="D406">
        <v>6</v>
      </c>
      <c r="E406">
        <v>1</v>
      </c>
      <c r="F406">
        <v>0</v>
      </c>
      <c r="G406">
        <v>9</v>
      </c>
      <c r="H406" t="s">
        <v>26</v>
      </c>
      <c r="I406" t="s">
        <v>76</v>
      </c>
      <c r="J406">
        <v>414</v>
      </c>
      <c r="K406">
        <v>8.5</v>
      </c>
      <c r="L406">
        <v>3519</v>
      </c>
    </row>
    <row r="407" spans="1:12" x14ac:dyDescent="0.3">
      <c r="A407">
        <v>18</v>
      </c>
      <c r="B407">
        <v>22</v>
      </c>
      <c r="C407">
        <v>0</v>
      </c>
      <c r="D407">
        <v>7</v>
      </c>
      <c r="E407">
        <v>1</v>
      </c>
      <c r="F407">
        <v>0</v>
      </c>
      <c r="G407">
        <v>1</v>
      </c>
      <c r="I407" t="s">
        <v>82</v>
      </c>
      <c r="J407">
        <v>488</v>
      </c>
      <c r="K407">
        <v>8.1</v>
      </c>
      <c r="L407">
        <v>3952.7999999999902</v>
      </c>
    </row>
    <row r="408" spans="1:12" x14ac:dyDescent="0.3">
      <c r="A408">
        <v>6</v>
      </c>
      <c r="B408">
        <v>22</v>
      </c>
      <c r="D408">
        <v>19</v>
      </c>
      <c r="E408">
        <v>1</v>
      </c>
      <c r="F408">
        <v>0</v>
      </c>
      <c r="I408" t="s">
        <v>84</v>
      </c>
      <c r="J408">
        <v>432</v>
      </c>
      <c r="K408">
        <v>7.8</v>
      </c>
      <c r="L408">
        <v>3369.6</v>
      </c>
    </row>
    <row r="409" spans="1:12" x14ac:dyDescent="0.3">
      <c r="A409">
        <v>17</v>
      </c>
      <c r="B409">
        <v>22</v>
      </c>
      <c r="C409">
        <v>3</v>
      </c>
      <c r="D409">
        <v>7</v>
      </c>
      <c r="E409">
        <v>1</v>
      </c>
      <c r="F409">
        <v>0</v>
      </c>
      <c r="G409">
        <v>12</v>
      </c>
      <c r="H409" t="s">
        <v>49</v>
      </c>
      <c r="I409" t="s">
        <v>91</v>
      </c>
      <c r="J409" t="s">
        <v>156</v>
      </c>
      <c r="K409">
        <v>8.5</v>
      </c>
      <c r="L409">
        <v>4692</v>
      </c>
    </row>
    <row r="410" spans="1:12" x14ac:dyDescent="0.3">
      <c r="A410">
        <v>11</v>
      </c>
      <c r="B410">
        <v>22</v>
      </c>
      <c r="C410">
        <v>1</v>
      </c>
      <c r="D410">
        <v>12</v>
      </c>
      <c r="E410">
        <v>1</v>
      </c>
      <c r="F410">
        <v>0</v>
      </c>
      <c r="G410">
        <v>12</v>
      </c>
      <c r="H410" t="s">
        <v>15</v>
      </c>
      <c r="I410" t="s">
        <v>107</v>
      </c>
      <c r="J410">
        <v>563</v>
      </c>
      <c r="K410">
        <v>8.3000000000000007</v>
      </c>
      <c r="L410">
        <v>4672.8999999999996</v>
      </c>
    </row>
    <row r="411" spans="1:12" x14ac:dyDescent="0.3">
      <c r="A411">
        <v>20</v>
      </c>
      <c r="B411">
        <v>23</v>
      </c>
      <c r="C411">
        <v>3</v>
      </c>
      <c r="D411">
        <v>20</v>
      </c>
      <c r="E411">
        <v>12</v>
      </c>
      <c r="F411">
        <v>0</v>
      </c>
      <c r="G411">
        <v>3</v>
      </c>
      <c r="H411" t="s">
        <v>22</v>
      </c>
      <c r="I411" t="s">
        <v>83</v>
      </c>
      <c r="J411">
        <v>754</v>
      </c>
      <c r="K411" t="s">
        <v>240</v>
      </c>
      <c r="L411">
        <v>5881.2</v>
      </c>
    </row>
    <row r="412" spans="1:12" x14ac:dyDescent="0.3">
      <c r="A412">
        <v>9</v>
      </c>
      <c r="B412">
        <v>20</v>
      </c>
      <c r="C412">
        <v>2</v>
      </c>
      <c r="D412">
        <v>3</v>
      </c>
      <c r="E412">
        <v>1</v>
      </c>
      <c r="F412">
        <v>0</v>
      </c>
      <c r="G412">
        <v>9</v>
      </c>
      <c r="H412" t="s">
        <v>16</v>
      </c>
      <c r="I412" t="s">
        <v>97</v>
      </c>
      <c r="J412">
        <v>414</v>
      </c>
      <c r="L412">
        <v>3684.6</v>
      </c>
    </row>
    <row r="413" spans="1:12" x14ac:dyDescent="0.3">
      <c r="A413">
        <v>23</v>
      </c>
      <c r="B413">
        <v>23</v>
      </c>
      <c r="C413">
        <v>0</v>
      </c>
      <c r="D413">
        <v>22</v>
      </c>
      <c r="E413">
        <v>1</v>
      </c>
      <c r="F413">
        <v>0</v>
      </c>
      <c r="G413">
        <v>8</v>
      </c>
      <c r="H413" t="s">
        <v>18</v>
      </c>
      <c r="I413" t="s">
        <v>74</v>
      </c>
      <c r="J413">
        <v>563</v>
      </c>
      <c r="K413">
        <v>7.7</v>
      </c>
      <c r="L413">
        <v>4335.1000000000004</v>
      </c>
    </row>
    <row r="414" spans="1:12" x14ac:dyDescent="0.3">
      <c r="A414">
        <v>5</v>
      </c>
      <c r="B414">
        <v>18</v>
      </c>
      <c r="C414">
        <v>3</v>
      </c>
      <c r="D414">
        <v>3</v>
      </c>
      <c r="E414">
        <v>1</v>
      </c>
      <c r="G414">
        <v>4</v>
      </c>
      <c r="H414" t="s">
        <v>28</v>
      </c>
      <c r="I414" t="s">
        <v>74</v>
      </c>
      <c r="J414">
        <v>309</v>
      </c>
      <c r="K414">
        <v>7.7</v>
      </c>
      <c r="L414">
        <v>2379.3000000000002</v>
      </c>
    </row>
    <row r="415" spans="1:12" x14ac:dyDescent="0.3">
      <c r="A415">
        <v>20</v>
      </c>
      <c r="B415">
        <v>23</v>
      </c>
      <c r="C415">
        <v>1</v>
      </c>
      <c r="D415">
        <v>8</v>
      </c>
      <c r="E415">
        <v>1</v>
      </c>
      <c r="F415">
        <v>0</v>
      </c>
      <c r="G415">
        <v>12</v>
      </c>
      <c r="H415" t="s">
        <v>20</v>
      </c>
      <c r="I415" t="s">
        <v>105</v>
      </c>
      <c r="J415">
        <v>566</v>
      </c>
      <c r="K415">
        <v>9.1</v>
      </c>
      <c r="L415">
        <v>5150.5999999999904</v>
      </c>
    </row>
    <row r="416" spans="1:12" x14ac:dyDescent="0.3">
      <c r="A416">
        <v>16</v>
      </c>
      <c r="B416">
        <v>23</v>
      </c>
      <c r="C416">
        <v>2</v>
      </c>
      <c r="E416">
        <v>1</v>
      </c>
      <c r="F416">
        <v>0</v>
      </c>
      <c r="H416" t="s">
        <v>35</v>
      </c>
      <c r="I416" t="s">
        <v>95</v>
      </c>
      <c r="J416">
        <v>588</v>
      </c>
      <c r="K416">
        <v>8.1999999999999993</v>
      </c>
      <c r="L416">
        <v>4821.5999999999904</v>
      </c>
    </row>
    <row r="417" spans="1:12" x14ac:dyDescent="0.3">
      <c r="A417">
        <v>18</v>
      </c>
      <c r="B417">
        <v>23</v>
      </c>
      <c r="C417">
        <v>1</v>
      </c>
      <c r="D417">
        <v>16</v>
      </c>
      <c r="F417">
        <v>0</v>
      </c>
      <c r="G417">
        <v>3</v>
      </c>
      <c r="H417" t="s">
        <v>21</v>
      </c>
      <c r="I417" t="s">
        <v>73</v>
      </c>
      <c r="J417">
        <v>463</v>
      </c>
      <c r="K417" t="s">
        <v>242</v>
      </c>
      <c r="L417" t="s">
        <v>274</v>
      </c>
    </row>
    <row r="418" spans="1:12" x14ac:dyDescent="0.3">
      <c r="A418">
        <v>10</v>
      </c>
      <c r="C418">
        <v>3</v>
      </c>
      <c r="D418">
        <v>9</v>
      </c>
      <c r="E418">
        <v>1</v>
      </c>
      <c r="F418">
        <v>0</v>
      </c>
      <c r="G418">
        <v>2</v>
      </c>
      <c r="H418" t="s">
        <v>35</v>
      </c>
      <c r="I418" t="s">
        <v>85</v>
      </c>
      <c r="J418">
        <v>369</v>
      </c>
      <c r="K418">
        <v>8.1999999999999993</v>
      </c>
      <c r="L418">
        <v>3025.7999999999902</v>
      </c>
    </row>
    <row r="419" spans="1:12" x14ac:dyDescent="0.3">
      <c r="A419">
        <v>13</v>
      </c>
      <c r="B419">
        <v>22</v>
      </c>
      <c r="C419">
        <v>2</v>
      </c>
      <c r="D419">
        <v>15</v>
      </c>
      <c r="E419">
        <v>1</v>
      </c>
      <c r="F419">
        <v>0</v>
      </c>
      <c r="G419">
        <v>9</v>
      </c>
      <c r="H419" t="s">
        <v>30</v>
      </c>
      <c r="I419" t="s">
        <v>74</v>
      </c>
      <c r="J419">
        <v>627</v>
      </c>
      <c r="K419">
        <v>9.1999999999999993</v>
      </c>
      <c r="L419">
        <v>5768.4</v>
      </c>
    </row>
    <row r="420" spans="1:12" x14ac:dyDescent="0.3">
      <c r="A420">
        <v>11</v>
      </c>
      <c r="B420">
        <v>23</v>
      </c>
      <c r="C420">
        <v>1</v>
      </c>
      <c r="D420">
        <v>22</v>
      </c>
      <c r="E420">
        <v>1</v>
      </c>
      <c r="F420">
        <v>0</v>
      </c>
      <c r="G420">
        <v>9</v>
      </c>
      <c r="H420" t="s">
        <v>20</v>
      </c>
      <c r="I420" t="s">
        <v>75</v>
      </c>
      <c r="K420" t="s">
        <v>237</v>
      </c>
      <c r="L420">
        <v>5787.5999999999904</v>
      </c>
    </row>
    <row r="421" spans="1:12" x14ac:dyDescent="0.3">
      <c r="A421">
        <v>5</v>
      </c>
      <c r="B421">
        <v>23</v>
      </c>
      <c r="C421">
        <v>1</v>
      </c>
      <c r="D421">
        <v>19</v>
      </c>
      <c r="E421">
        <v>1</v>
      </c>
      <c r="F421">
        <v>0</v>
      </c>
      <c r="G421">
        <v>12</v>
      </c>
      <c r="H421" t="s">
        <v>46</v>
      </c>
      <c r="I421" t="s">
        <v>93</v>
      </c>
      <c r="J421">
        <v>522</v>
      </c>
      <c r="K421">
        <v>8.4</v>
      </c>
      <c r="L421">
        <v>4384.8</v>
      </c>
    </row>
    <row r="422" spans="1:12" x14ac:dyDescent="0.3">
      <c r="A422">
        <v>19</v>
      </c>
      <c r="B422">
        <v>23</v>
      </c>
      <c r="C422">
        <v>0</v>
      </c>
      <c r="D422">
        <v>5</v>
      </c>
      <c r="E422">
        <v>12</v>
      </c>
      <c r="F422">
        <v>0</v>
      </c>
      <c r="G422">
        <v>5</v>
      </c>
      <c r="H422" t="s">
        <v>24</v>
      </c>
      <c r="I422" t="s">
        <v>95</v>
      </c>
      <c r="J422">
        <v>503</v>
      </c>
      <c r="K422">
        <v>7.9</v>
      </c>
      <c r="L422">
        <v>3973.7</v>
      </c>
    </row>
    <row r="423" spans="1:12" x14ac:dyDescent="0.3">
      <c r="A423">
        <v>19</v>
      </c>
      <c r="B423">
        <v>22</v>
      </c>
      <c r="C423">
        <v>0</v>
      </c>
      <c r="D423">
        <v>13</v>
      </c>
      <c r="E423">
        <v>12</v>
      </c>
      <c r="F423">
        <v>0</v>
      </c>
      <c r="G423">
        <v>6</v>
      </c>
      <c r="H423" t="s">
        <v>40</v>
      </c>
      <c r="I423" t="s">
        <v>88</v>
      </c>
      <c r="J423">
        <v>456</v>
      </c>
      <c r="K423">
        <v>7.4</v>
      </c>
      <c r="L423">
        <v>3374.4</v>
      </c>
    </row>
    <row r="424" spans="1:12" x14ac:dyDescent="0.3">
      <c r="A424">
        <v>20</v>
      </c>
      <c r="B424">
        <v>23</v>
      </c>
      <c r="C424">
        <v>2</v>
      </c>
      <c r="D424">
        <v>21</v>
      </c>
      <c r="E424">
        <v>12</v>
      </c>
      <c r="F424">
        <v>0</v>
      </c>
      <c r="H424" t="s">
        <v>33</v>
      </c>
      <c r="I424" t="s">
        <v>90</v>
      </c>
      <c r="J424">
        <v>780</v>
      </c>
      <c r="K424">
        <v>9.3000000000000007</v>
      </c>
      <c r="L424">
        <v>7254</v>
      </c>
    </row>
    <row r="425" spans="1:12" x14ac:dyDescent="0.3">
      <c r="A425">
        <v>15</v>
      </c>
      <c r="B425">
        <v>22</v>
      </c>
      <c r="C425">
        <v>0</v>
      </c>
      <c r="D425">
        <v>7</v>
      </c>
      <c r="E425">
        <v>1</v>
      </c>
      <c r="F425">
        <v>0</v>
      </c>
      <c r="G425">
        <v>6</v>
      </c>
      <c r="H425" t="s">
        <v>25</v>
      </c>
      <c r="I425" t="s">
        <v>82</v>
      </c>
      <c r="J425">
        <v>539</v>
      </c>
      <c r="K425" t="s">
        <v>243</v>
      </c>
      <c r="L425">
        <v>4365.8999999999996</v>
      </c>
    </row>
    <row r="426" spans="1:12" x14ac:dyDescent="0.3">
      <c r="A426">
        <v>8</v>
      </c>
      <c r="B426">
        <v>23</v>
      </c>
      <c r="C426">
        <v>3</v>
      </c>
      <c r="D426">
        <v>9</v>
      </c>
      <c r="E426">
        <v>1</v>
      </c>
      <c r="F426">
        <v>0</v>
      </c>
      <c r="G426">
        <v>3</v>
      </c>
      <c r="H426" t="s">
        <v>32</v>
      </c>
      <c r="I426" t="s">
        <v>109</v>
      </c>
      <c r="J426">
        <v>526</v>
      </c>
      <c r="L426">
        <v>3997.6</v>
      </c>
    </row>
    <row r="427" spans="1:12" x14ac:dyDescent="0.3">
      <c r="A427">
        <v>19</v>
      </c>
      <c r="B427">
        <v>22</v>
      </c>
      <c r="C427">
        <v>3</v>
      </c>
      <c r="D427">
        <v>19</v>
      </c>
      <c r="E427">
        <v>1</v>
      </c>
      <c r="F427">
        <v>0</v>
      </c>
      <c r="G427">
        <v>9</v>
      </c>
      <c r="H427" t="s">
        <v>26</v>
      </c>
      <c r="I427" t="s">
        <v>92</v>
      </c>
      <c r="J427">
        <v>736</v>
      </c>
      <c r="K427">
        <v>8.5</v>
      </c>
      <c r="L427">
        <v>6256</v>
      </c>
    </row>
    <row r="428" spans="1:12" x14ac:dyDescent="0.3">
      <c r="A428">
        <v>15</v>
      </c>
      <c r="B428">
        <v>22</v>
      </c>
      <c r="C428">
        <v>1</v>
      </c>
      <c r="D428">
        <v>19</v>
      </c>
      <c r="E428">
        <v>1</v>
      </c>
      <c r="F428">
        <v>0</v>
      </c>
      <c r="G428">
        <v>1</v>
      </c>
      <c r="H428" t="s">
        <v>32</v>
      </c>
      <c r="I428" t="s">
        <v>77</v>
      </c>
      <c r="J428">
        <v>634</v>
      </c>
      <c r="K428">
        <v>7.6</v>
      </c>
      <c r="L428">
        <v>4818.3999999999996</v>
      </c>
    </row>
    <row r="429" spans="1:12" x14ac:dyDescent="0.3">
      <c r="A429">
        <v>8</v>
      </c>
      <c r="B429">
        <v>19</v>
      </c>
      <c r="C429">
        <v>3</v>
      </c>
      <c r="D429">
        <v>22</v>
      </c>
      <c r="E429">
        <v>1</v>
      </c>
      <c r="F429">
        <v>0</v>
      </c>
      <c r="G429">
        <v>11</v>
      </c>
      <c r="I429" t="s">
        <v>88</v>
      </c>
      <c r="J429">
        <v>607</v>
      </c>
      <c r="K429">
        <v>8.6999999999999993</v>
      </c>
      <c r="L429">
        <v>5280.9</v>
      </c>
    </row>
    <row r="430" spans="1:12" x14ac:dyDescent="0.3">
      <c r="A430">
        <v>20</v>
      </c>
      <c r="B430">
        <v>23</v>
      </c>
      <c r="C430">
        <v>2</v>
      </c>
      <c r="D430">
        <v>18</v>
      </c>
      <c r="E430">
        <v>1</v>
      </c>
      <c r="F430">
        <v>0</v>
      </c>
      <c r="G430">
        <v>11</v>
      </c>
      <c r="H430" t="s">
        <v>16</v>
      </c>
      <c r="I430" t="s">
        <v>84</v>
      </c>
      <c r="J430">
        <v>544</v>
      </c>
      <c r="K430">
        <v>8.9</v>
      </c>
      <c r="L430">
        <v>4841.6000000000004</v>
      </c>
    </row>
    <row r="431" spans="1:12" x14ac:dyDescent="0.3">
      <c r="B431">
        <v>23</v>
      </c>
      <c r="C431">
        <v>1</v>
      </c>
      <c r="D431">
        <v>17</v>
      </c>
      <c r="E431">
        <v>1</v>
      </c>
      <c r="F431">
        <v>0</v>
      </c>
      <c r="G431">
        <v>4</v>
      </c>
      <c r="H431" t="s">
        <v>54</v>
      </c>
      <c r="I431" t="s">
        <v>79</v>
      </c>
      <c r="J431">
        <v>640</v>
      </c>
      <c r="L431">
        <v>5888</v>
      </c>
    </row>
    <row r="432" spans="1:12" x14ac:dyDescent="0.3">
      <c r="A432">
        <v>7</v>
      </c>
      <c r="B432">
        <v>22</v>
      </c>
      <c r="C432">
        <v>3</v>
      </c>
      <c r="D432">
        <v>12</v>
      </c>
      <c r="E432">
        <v>1</v>
      </c>
      <c r="F432">
        <v>0</v>
      </c>
      <c r="G432">
        <v>12</v>
      </c>
      <c r="H432" t="s">
        <v>33</v>
      </c>
      <c r="I432" t="s">
        <v>81</v>
      </c>
      <c r="J432">
        <v>636</v>
      </c>
      <c r="K432">
        <v>9.3000000000000007</v>
      </c>
      <c r="L432">
        <v>5914.8</v>
      </c>
    </row>
    <row r="433" spans="1:12" x14ac:dyDescent="0.3">
      <c r="A433">
        <v>12</v>
      </c>
      <c r="B433">
        <v>23</v>
      </c>
      <c r="C433">
        <v>0</v>
      </c>
      <c r="D433">
        <v>14</v>
      </c>
      <c r="E433">
        <v>1</v>
      </c>
      <c r="F433">
        <v>0</v>
      </c>
      <c r="H433" t="s">
        <v>59</v>
      </c>
      <c r="I433" t="s">
        <v>74</v>
      </c>
      <c r="J433">
        <v>460</v>
      </c>
      <c r="K433">
        <v>8.1</v>
      </c>
      <c r="L433">
        <v>3726</v>
      </c>
    </row>
    <row r="434" spans="1:12" x14ac:dyDescent="0.3">
      <c r="A434">
        <v>19</v>
      </c>
      <c r="B434">
        <v>23</v>
      </c>
      <c r="C434">
        <v>1</v>
      </c>
      <c r="D434">
        <v>20</v>
      </c>
      <c r="E434">
        <v>1</v>
      </c>
      <c r="F434">
        <v>0</v>
      </c>
      <c r="G434">
        <v>6</v>
      </c>
      <c r="H434" t="s">
        <v>26</v>
      </c>
      <c r="I434" t="s">
        <v>87</v>
      </c>
      <c r="J434">
        <v>508</v>
      </c>
      <c r="K434">
        <v>8.5</v>
      </c>
      <c r="L434">
        <v>4318</v>
      </c>
    </row>
    <row r="435" spans="1:12" x14ac:dyDescent="0.3">
      <c r="A435">
        <v>10</v>
      </c>
      <c r="B435">
        <v>20</v>
      </c>
      <c r="C435">
        <v>3</v>
      </c>
      <c r="D435">
        <v>17</v>
      </c>
      <c r="E435">
        <v>1</v>
      </c>
      <c r="F435">
        <v>0</v>
      </c>
      <c r="G435">
        <v>11</v>
      </c>
      <c r="H435" t="s">
        <v>16</v>
      </c>
      <c r="I435" t="s">
        <v>87</v>
      </c>
      <c r="J435">
        <v>524</v>
      </c>
      <c r="K435">
        <v>8.9</v>
      </c>
      <c r="L435">
        <v>4663.6000000000004</v>
      </c>
    </row>
    <row r="436" spans="1:12" x14ac:dyDescent="0.3">
      <c r="A436">
        <v>6</v>
      </c>
      <c r="C436">
        <v>2</v>
      </c>
      <c r="D436">
        <v>18</v>
      </c>
      <c r="E436">
        <v>1</v>
      </c>
      <c r="F436">
        <v>0</v>
      </c>
      <c r="G436">
        <v>11</v>
      </c>
      <c r="I436" t="s">
        <v>78</v>
      </c>
      <c r="J436">
        <v>534</v>
      </c>
      <c r="L436">
        <v>4378.7999999999902</v>
      </c>
    </row>
    <row r="437" spans="1:12" x14ac:dyDescent="0.3">
      <c r="A437">
        <v>10</v>
      </c>
      <c r="B437">
        <v>18</v>
      </c>
      <c r="C437">
        <v>0</v>
      </c>
      <c r="D437">
        <v>17</v>
      </c>
      <c r="E437">
        <v>7</v>
      </c>
      <c r="F437">
        <v>0</v>
      </c>
      <c r="G437">
        <v>7</v>
      </c>
      <c r="H437" t="s">
        <v>36</v>
      </c>
      <c r="I437" t="s">
        <v>87</v>
      </c>
      <c r="J437">
        <v>397</v>
      </c>
      <c r="K437">
        <v>8.8000000000000007</v>
      </c>
      <c r="L437">
        <v>3493.6</v>
      </c>
    </row>
    <row r="438" spans="1:12" x14ac:dyDescent="0.3">
      <c r="A438">
        <v>22</v>
      </c>
      <c r="B438">
        <v>22</v>
      </c>
      <c r="C438">
        <v>3</v>
      </c>
      <c r="D438">
        <v>17</v>
      </c>
      <c r="E438">
        <v>1</v>
      </c>
      <c r="F438">
        <v>0</v>
      </c>
      <c r="G438">
        <v>4</v>
      </c>
      <c r="H438" t="s">
        <v>20</v>
      </c>
      <c r="I438" t="s">
        <v>77</v>
      </c>
      <c r="J438">
        <v>699</v>
      </c>
      <c r="K438">
        <v>9.1</v>
      </c>
      <c r="L438">
        <v>6360.9</v>
      </c>
    </row>
    <row r="439" spans="1:12" x14ac:dyDescent="0.3">
      <c r="A439">
        <v>9</v>
      </c>
      <c r="B439">
        <v>23</v>
      </c>
      <c r="C439">
        <v>0</v>
      </c>
      <c r="D439">
        <v>3</v>
      </c>
      <c r="F439">
        <v>0</v>
      </c>
      <c r="G439">
        <v>8</v>
      </c>
      <c r="H439" t="s">
        <v>25</v>
      </c>
      <c r="I439" t="s">
        <v>71</v>
      </c>
      <c r="J439">
        <v>228</v>
      </c>
      <c r="K439">
        <v>8.1</v>
      </c>
    </row>
    <row r="440" spans="1:12" x14ac:dyDescent="0.3">
      <c r="A440">
        <v>12</v>
      </c>
      <c r="B440">
        <v>22</v>
      </c>
      <c r="C440">
        <v>1</v>
      </c>
      <c r="D440">
        <v>7</v>
      </c>
      <c r="E440">
        <v>1</v>
      </c>
      <c r="F440">
        <v>0</v>
      </c>
      <c r="G440">
        <v>2</v>
      </c>
      <c r="H440" t="s">
        <v>33</v>
      </c>
      <c r="I440" t="s">
        <v>70</v>
      </c>
      <c r="J440">
        <v>474</v>
      </c>
      <c r="K440">
        <v>9.3000000000000007</v>
      </c>
      <c r="L440">
        <v>4408.2</v>
      </c>
    </row>
    <row r="441" spans="1:12" x14ac:dyDescent="0.3">
      <c r="A441">
        <v>5</v>
      </c>
      <c r="B441">
        <v>19</v>
      </c>
      <c r="C441">
        <v>1</v>
      </c>
      <c r="D441">
        <v>3</v>
      </c>
      <c r="E441">
        <v>1</v>
      </c>
      <c r="F441">
        <v>0</v>
      </c>
      <c r="G441">
        <v>11</v>
      </c>
      <c r="H441" t="s">
        <v>28</v>
      </c>
      <c r="I441" t="s">
        <v>73</v>
      </c>
      <c r="J441">
        <v>387</v>
      </c>
      <c r="K441">
        <v>7.7</v>
      </c>
      <c r="L441">
        <v>2979.9</v>
      </c>
    </row>
    <row r="442" spans="1:12" x14ac:dyDescent="0.3">
      <c r="A442">
        <v>21</v>
      </c>
      <c r="B442">
        <v>23</v>
      </c>
      <c r="C442">
        <v>3</v>
      </c>
      <c r="D442">
        <v>7</v>
      </c>
      <c r="E442">
        <v>1</v>
      </c>
      <c r="F442">
        <v>0</v>
      </c>
      <c r="G442">
        <v>8</v>
      </c>
      <c r="H442" t="s">
        <v>44</v>
      </c>
      <c r="I442" t="s">
        <v>80</v>
      </c>
      <c r="J442">
        <v>483</v>
      </c>
      <c r="K442" t="s">
        <v>249</v>
      </c>
      <c r="L442">
        <v>3960.5999999999899</v>
      </c>
    </row>
    <row r="443" spans="1:12" x14ac:dyDescent="0.3">
      <c r="A443">
        <v>10</v>
      </c>
      <c r="B443">
        <v>20</v>
      </c>
      <c r="C443">
        <v>1</v>
      </c>
      <c r="E443">
        <v>1</v>
      </c>
      <c r="F443">
        <v>0</v>
      </c>
      <c r="H443" t="s">
        <v>35</v>
      </c>
      <c r="I443" t="s">
        <v>70</v>
      </c>
      <c r="J443" t="s">
        <v>157</v>
      </c>
      <c r="K443">
        <v>8.1999999999999993</v>
      </c>
      <c r="L443">
        <v>4034.3999999999901</v>
      </c>
    </row>
    <row r="444" spans="1:12" x14ac:dyDescent="0.3">
      <c r="A444">
        <v>18</v>
      </c>
      <c r="C444">
        <v>2</v>
      </c>
      <c r="D444">
        <v>10</v>
      </c>
      <c r="E444">
        <v>1</v>
      </c>
      <c r="F444">
        <v>0</v>
      </c>
      <c r="G444">
        <v>5</v>
      </c>
      <c r="H444" t="s">
        <v>36</v>
      </c>
      <c r="I444" t="s">
        <v>121</v>
      </c>
      <c r="J444">
        <v>596</v>
      </c>
      <c r="K444">
        <v>8.8000000000000007</v>
      </c>
      <c r="L444">
        <v>5244.8</v>
      </c>
    </row>
    <row r="445" spans="1:12" x14ac:dyDescent="0.3">
      <c r="A445">
        <v>5</v>
      </c>
      <c r="B445">
        <v>17</v>
      </c>
      <c r="C445">
        <v>0</v>
      </c>
      <c r="D445">
        <v>10</v>
      </c>
      <c r="E445">
        <v>1</v>
      </c>
      <c r="F445">
        <v>0</v>
      </c>
      <c r="G445">
        <v>12</v>
      </c>
      <c r="H445" t="s">
        <v>16</v>
      </c>
      <c r="I445" t="s">
        <v>87</v>
      </c>
      <c r="J445">
        <v>302</v>
      </c>
      <c r="K445">
        <v>8.9</v>
      </c>
      <c r="L445">
        <v>2687.8</v>
      </c>
    </row>
    <row r="446" spans="1:12" x14ac:dyDescent="0.3">
      <c r="A446">
        <v>18</v>
      </c>
      <c r="B446">
        <v>23</v>
      </c>
      <c r="C446">
        <v>1</v>
      </c>
      <c r="D446">
        <v>18</v>
      </c>
      <c r="E446">
        <v>1</v>
      </c>
      <c r="F446">
        <v>0</v>
      </c>
      <c r="G446">
        <v>9</v>
      </c>
      <c r="H446" t="s">
        <v>23</v>
      </c>
      <c r="I446" t="s">
        <v>73</v>
      </c>
      <c r="J446">
        <v>495</v>
      </c>
      <c r="K446">
        <v>8.4</v>
      </c>
      <c r="L446">
        <v>4158</v>
      </c>
    </row>
    <row r="447" spans="1:12" x14ac:dyDescent="0.3">
      <c r="A447">
        <v>21</v>
      </c>
      <c r="B447">
        <v>23</v>
      </c>
      <c r="C447">
        <v>1</v>
      </c>
      <c r="D447">
        <v>15</v>
      </c>
      <c r="E447">
        <v>12</v>
      </c>
      <c r="F447">
        <v>0</v>
      </c>
      <c r="G447">
        <v>4</v>
      </c>
      <c r="H447" t="s">
        <v>32</v>
      </c>
      <c r="I447" t="s">
        <v>79</v>
      </c>
      <c r="J447">
        <v>618</v>
      </c>
      <c r="K447">
        <v>7.6</v>
      </c>
      <c r="L447">
        <v>4696.8</v>
      </c>
    </row>
    <row r="448" spans="1:12" x14ac:dyDescent="0.3">
      <c r="A448">
        <v>11</v>
      </c>
      <c r="B448">
        <v>23</v>
      </c>
      <c r="C448">
        <v>1</v>
      </c>
      <c r="D448">
        <v>13</v>
      </c>
      <c r="E448">
        <v>12</v>
      </c>
      <c r="F448">
        <v>0</v>
      </c>
      <c r="G448">
        <v>5</v>
      </c>
      <c r="H448" t="s">
        <v>18</v>
      </c>
      <c r="I448" t="s">
        <v>111</v>
      </c>
      <c r="J448">
        <v>665</v>
      </c>
      <c r="K448">
        <v>7.7</v>
      </c>
      <c r="L448">
        <v>5120.5</v>
      </c>
    </row>
    <row r="449" spans="1:12" x14ac:dyDescent="0.3">
      <c r="A449">
        <v>7</v>
      </c>
      <c r="B449">
        <v>23</v>
      </c>
      <c r="C449">
        <v>0</v>
      </c>
      <c r="D449">
        <v>14</v>
      </c>
      <c r="E449">
        <v>1</v>
      </c>
      <c r="F449">
        <v>0</v>
      </c>
      <c r="G449">
        <v>4</v>
      </c>
      <c r="H449" t="s">
        <v>15</v>
      </c>
      <c r="I449" t="s">
        <v>74</v>
      </c>
      <c r="J449">
        <v>553</v>
      </c>
      <c r="K449">
        <v>8.3000000000000007</v>
      </c>
      <c r="L449">
        <v>4589.8999999999996</v>
      </c>
    </row>
    <row r="450" spans="1:12" x14ac:dyDescent="0.3">
      <c r="A450">
        <v>15</v>
      </c>
      <c r="B450">
        <v>22</v>
      </c>
      <c r="C450">
        <v>1</v>
      </c>
      <c r="D450">
        <v>8</v>
      </c>
      <c r="F450">
        <v>0</v>
      </c>
      <c r="G450">
        <v>9</v>
      </c>
      <c r="H450" t="s">
        <v>16</v>
      </c>
      <c r="I450" t="s">
        <v>76</v>
      </c>
      <c r="J450">
        <v>460</v>
      </c>
      <c r="K450">
        <v>8.9</v>
      </c>
      <c r="L450">
        <v>4094</v>
      </c>
    </row>
    <row r="451" spans="1:12" x14ac:dyDescent="0.3">
      <c r="A451">
        <v>17</v>
      </c>
      <c r="B451">
        <v>22</v>
      </c>
      <c r="C451">
        <v>0</v>
      </c>
      <c r="D451">
        <v>10</v>
      </c>
      <c r="E451">
        <v>1</v>
      </c>
      <c r="F451">
        <v>0</v>
      </c>
      <c r="G451">
        <v>4</v>
      </c>
      <c r="H451" t="s">
        <v>23</v>
      </c>
      <c r="I451" t="s">
        <v>84</v>
      </c>
      <c r="J451">
        <v>308</v>
      </c>
      <c r="K451" t="s">
        <v>238</v>
      </c>
      <c r="L451">
        <v>2587.1999999999998</v>
      </c>
    </row>
    <row r="452" spans="1:12" x14ac:dyDescent="0.3">
      <c r="B452">
        <v>18</v>
      </c>
      <c r="C452">
        <v>1</v>
      </c>
      <c r="D452">
        <v>6</v>
      </c>
      <c r="E452">
        <v>7</v>
      </c>
      <c r="F452">
        <v>0</v>
      </c>
      <c r="G452">
        <v>10</v>
      </c>
      <c r="H452" t="s">
        <v>24</v>
      </c>
      <c r="I452" t="s">
        <v>116</v>
      </c>
      <c r="J452">
        <v>333</v>
      </c>
      <c r="K452">
        <v>7.9</v>
      </c>
      <c r="L452">
        <v>99999</v>
      </c>
    </row>
    <row r="453" spans="1:12" x14ac:dyDescent="0.3">
      <c r="A453">
        <v>13</v>
      </c>
      <c r="B453">
        <v>23</v>
      </c>
      <c r="C453">
        <v>1</v>
      </c>
      <c r="D453">
        <v>20</v>
      </c>
      <c r="E453">
        <v>1</v>
      </c>
      <c r="F453">
        <v>0</v>
      </c>
      <c r="G453">
        <v>9</v>
      </c>
      <c r="H453" t="s">
        <v>19</v>
      </c>
      <c r="I453" t="s">
        <v>80</v>
      </c>
      <c r="K453">
        <v>8.9</v>
      </c>
    </row>
    <row r="454" spans="1:12" x14ac:dyDescent="0.3">
      <c r="A454">
        <v>9</v>
      </c>
      <c r="B454">
        <v>21</v>
      </c>
      <c r="C454">
        <v>3</v>
      </c>
      <c r="D454">
        <v>13</v>
      </c>
      <c r="E454">
        <v>1</v>
      </c>
      <c r="F454">
        <v>0</v>
      </c>
      <c r="G454">
        <v>12</v>
      </c>
      <c r="H454" t="s">
        <v>32</v>
      </c>
      <c r="I454" t="s">
        <v>75</v>
      </c>
      <c r="J454">
        <v>383</v>
      </c>
      <c r="K454">
        <v>7.6</v>
      </c>
    </row>
    <row r="455" spans="1:12" x14ac:dyDescent="0.3">
      <c r="A455">
        <v>19</v>
      </c>
      <c r="B455">
        <v>22</v>
      </c>
      <c r="C455">
        <v>1</v>
      </c>
      <c r="D455">
        <v>3</v>
      </c>
      <c r="E455">
        <v>1</v>
      </c>
      <c r="F455">
        <v>0</v>
      </c>
      <c r="G455">
        <v>5</v>
      </c>
      <c r="H455" t="s">
        <v>18</v>
      </c>
      <c r="J455">
        <v>577</v>
      </c>
      <c r="K455">
        <v>7.7</v>
      </c>
      <c r="L455">
        <v>4442.8999999999996</v>
      </c>
    </row>
    <row r="456" spans="1:12" x14ac:dyDescent="0.3">
      <c r="A456">
        <v>15</v>
      </c>
      <c r="B456">
        <v>23</v>
      </c>
      <c r="C456">
        <v>3</v>
      </c>
      <c r="D456">
        <v>14</v>
      </c>
      <c r="E456">
        <v>12</v>
      </c>
      <c r="F456">
        <v>0</v>
      </c>
      <c r="G456">
        <v>12</v>
      </c>
      <c r="H456" t="s">
        <v>22</v>
      </c>
      <c r="I456" t="s">
        <v>75</v>
      </c>
      <c r="J456">
        <v>812</v>
      </c>
      <c r="K456">
        <v>7.8</v>
      </c>
    </row>
    <row r="457" spans="1:12" x14ac:dyDescent="0.3">
      <c r="A457">
        <v>14</v>
      </c>
      <c r="B457">
        <v>22</v>
      </c>
      <c r="C457">
        <v>3</v>
      </c>
      <c r="D457">
        <v>18</v>
      </c>
      <c r="E457">
        <v>12</v>
      </c>
      <c r="F457">
        <v>0</v>
      </c>
      <c r="G457">
        <v>12</v>
      </c>
      <c r="H457" t="s">
        <v>23</v>
      </c>
      <c r="I457" t="s">
        <v>73</v>
      </c>
      <c r="J457">
        <v>712</v>
      </c>
      <c r="L457">
        <v>5980.8</v>
      </c>
    </row>
    <row r="458" spans="1:12" x14ac:dyDescent="0.3">
      <c r="A458">
        <v>18</v>
      </c>
      <c r="B458">
        <v>23</v>
      </c>
      <c r="C458">
        <v>3</v>
      </c>
      <c r="D458">
        <v>6</v>
      </c>
      <c r="E458">
        <v>1</v>
      </c>
      <c r="F458">
        <v>0</v>
      </c>
      <c r="G458">
        <v>1</v>
      </c>
      <c r="H458" t="s">
        <v>23</v>
      </c>
      <c r="I458" t="s">
        <v>74</v>
      </c>
      <c r="J458">
        <v>599</v>
      </c>
      <c r="K458">
        <v>8.4</v>
      </c>
      <c r="L458">
        <v>5031.6000000000004</v>
      </c>
    </row>
    <row r="459" spans="1:12" x14ac:dyDescent="0.3">
      <c r="A459">
        <v>13</v>
      </c>
      <c r="B459">
        <v>23</v>
      </c>
      <c r="C459">
        <v>1</v>
      </c>
      <c r="D459">
        <v>17</v>
      </c>
      <c r="E459">
        <v>12</v>
      </c>
      <c r="F459">
        <v>0</v>
      </c>
      <c r="G459">
        <v>3</v>
      </c>
      <c r="H459" t="s">
        <v>24</v>
      </c>
      <c r="I459" t="s">
        <v>109</v>
      </c>
      <c r="K459">
        <v>7.9</v>
      </c>
      <c r="L459">
        <v>5348.3</v>
      </c>
    </row>
    <row r="460" spans="1:12" x14ac:dyDescent="0.3">
      <c r="A460">
        <v>20</v>
      </c>
      <c r="B460">
        <v>22</v>
      </c>
      <c r="D460">
        <v>6</v>
      </c>
      <c r="E460">
        <v>1</v>
      </c>
      <c r="F460">
        <v>0</v>
      </c>
      <c r="G460">
        <v>11</v>
      </c>
      <c r="H460" t="s">
        <v>43</v>
      </c>
      <c r="I460" t="s">
        <v>89</v>
      </c>
      <c r="J460">
        <v>403</v>
      </c>
      <c r="K460" t="s">
        <v>250</v>
      </c>
    </row>
    <row r="461" spans="1:12" x14ac:dyDescent="0.3">
      <c r="A461">
        <v>19</v>
      </c>
      <c r="B461">
        <v>22</v>
      </c>
      <c r="C461">
        <v>3</v>
      </c>
      <c r="D461">
        <v>5</v>
      </c>
      <c r="E461">
        <v>12</v>
      </c>
      <c r="F461">
        <v>0</v>
      </c>
      <c r="G461">
        <v>8</v>
      </c>
      <c r="H461" t="s">
        <v>38</v>
      </c>
      <c r="I461" t="s">
        <v>95</v>
      </c>
      <c r="J461">
        <v>625</v>
      </c>
      <c r="K461">
        <v>7.4</v>
      </c>
      <c r="L461">
        <v>4625</v>
      </c>
    </row>
    <row r="462" spans="1:12" x14ac:dyDescent="0.3">
      <c r="A462">
        <v>21</v>
      </c>
      <c r="B462">
        <v>22</v>
      </c>
      <c r="C462">
        <v>3</v>
      </c>
      <c r="F462">
        <v>0</v>
      </c>
      <c r="G462">
        <v>6</v>
      </c>
      <c r="I462" t="s">
        <v>93</v>
      </c>
      <c r="J462">
        <v>737</v>
      </c>
      <c r="K462">
        <v>7.9</v>
      </c>
      <c r="L462">
        <v>5822.3</v>
      </c>
    </row>
    <row r="463" spans="1:12" x14ac:dyDescent="0.3">
      <c r="A463">
        <v>13</v>
      </c>
      <c r="B463">
        <v>23</v>
      </c>
      <c r="C463">
        <v>2</v>
      </c>
      <c r="D463">
        <v>3</v>
      </c>
      <c r="E463">
        <v>1</v>
      </c>
      <c r="F463">
        <v>0</v>
      </c>
      <c r="G463">
        <v>11</v>
      </c>
      <c r="H463" t="s">
        <v>35</v>
      </c>
      <c r="I463" t="s">
        <v>104</v>
      </c>
      <c r="J463">
        <v>374</v>
      </c>
      <c r="K463">
        <v>8.1999999999999993</v>
      </c>
      <c r="L463">
        <v>3066.7999999999902</v>
      </c>
    </row>
    <row r="464" spans="1:12" x14ac:dyDescent="0.3">
      <c r="A464">
        <v>9</v>
      </c>
      <c r="B464">
        <v>22</v>
      </c>
      <c r="C464">
        <v>0</v>
      </c>
      <c r="D464">
        <v>21</v>
      </c>
      <c r="E464">
        <v>1</v>
      </c>
      <c r="F464">
        <v>0</v>
      </c>
      <c r="G464">
        <v>3</v>
      </c>
      <c r="H464" t="s">
        <v>21</v>
      </c>
      <c r="I464" t="s">
        <v>72</v>
      </c>
      <c r="J464" t="s">
        <v>158</v>
      </c>
      <c r="K464">
        <v>8.6999999999999993</v>
      </c>
      <c r="L464">
        <v>3636.6</v>
      </c>
    </row>
    <row r="465" spans="1:12" x14ac:dyDescent="0.3">
      <c r="A465">
        <v>21</v>
      </c>
      <c r="B465">
        <v>23</v>
      </c>
      <c r="C465">
        <v>3</v>
      </c>
      <c r="D465">
        <v>13</v>
      </c>
      <c r="F465">
        <v>0</v>
      </c>
      <c r="G465">
        <v>8</v>
      </c>
      <c r="H465" t="s">
        <v>57</v>
      </c>
      <c r="I465" t="s">
        <v>95</v>
      </c>
      <c r="J465">
        <v>756</v>
      </c>
      <c r="K465">
        <v>9.1999999999999993</v>
      </c>
      <c r="L465">
        <v>6955.2</v>
      </c>
    </row>
    <row r="466" spans="1:12" x14ac:dyDescent="0.3">
      <c r="A466">
        <v>9</v>
      </c>
      <c r="B466">
        <v>18</v>
      </c>
      <c r="C466">
        <v>3</v>
      </c>
      <c r="D466">
        <v>13</v>
      </c>
      <c r="E466">
        <v>1</v>
      </c>
      <c r="F466">
        <v>0</v>
      </c>
      <c r="G466">
        <v>3</v>
      </c>
      <c r="H466" t="s">
        <v>16</v>
      </c>
      <c r="I466" t="s">
        <v>106</v>
      </c>
      <c r="J466">
        <v>341</v>
      </c>
      <c r="K466" t="s">
        <v>236</v>
      </c>
      <c r="L466">
        <v>3034.9</v>
      </c>
    </row>
    <row r="467" spans="1:12" x14ac:dyDescent="0.3">
      <c r="A467">
        <v>20</v>
      </c>
      <c r="B467">
        <v>22</v>
      </c>
      <c r="C467">
        <v>0</v>
      </c>
      <c r="D467">
        <v>22</v>
      </c>
      <c r="E467">
        <v>12</v>
      </c>
      <c r="F467">
        <v>0</v>
      </c>
      <c r="G467">
        <v>10</v>
      </c>
      <c r="H467" t="s">
        <v>30</v>
      </c>
      <c r="J467">
        <v>754</v>
      </c>
      <c r="K467">
        <v>9.1999999999999993</v>
      </c>
      <c r="L467">
        <v>6936.7999999999902</v>
      </c>
    </row>
    <row r="468" spans="1:12" x14ac:dyDescent="0.3">
      <c r="A468">
        <v>20</v>
      </c>
      <c r="B468">
        <v>23</v>
      </c>
      <c r="C468">
        <v>1</v>
      </c>
      <c r="D468">
        <v>4</v>
      </c>
      <c r="E468">
        <v>1</v>
      </c>
      <c r="F468">
        <v>0</v>
      </c>
      <c r="G468">
        <v>11</v>
      </c>
      <c r="H468" t="s">
        <v>30</v>
      </c>
      <c r="I468" t="s">
        <v>92</v>
      </c>
      <c r="J468">
        <v>317</v>
      </c>
      <c r="K468">
        <v>9.1999999999999993</v>
      </c>
      <c r="L468">
        <v>2916.3999999999901</v>
      </c>
    </row>
    <row r="469" spans="1:12" x14ac:dyDescent="0.3">
      <c r="A469">
        <v>21</v>
      </c>
      <c r="B469">
        <v>23</v>
      </c>
      <c r="C469">
        <v>0</v>
      </c>
      <c r="D469">
        <v>6</v>
      </c>
      <c r="E469">
        <v>1</v>
      </c>
      <c r="F469">
        <v>0</v>
      </c>
      <c r="G469">
        <v>12</v>
      </c>
      <c r="H469" t="s">
        <v>36</v>
      </c>
      <c r="I469" t="s">
        <v>87</v>
      </c>
      <c r="J469">
        <v>580</v>
      </c>
      <c r="K469">
        <v>8.8000000000000007</v>
      </c>
      <c r="L469">
        <v>5104</v>
      </c>
    </row>
    <row r="470" spans="1:12" x14ac:dyDescent="0.3">
      <c r="B470">
        <v>23</v>
      </c>
      <c r="C470">
        <v>3</v>
      </c>
      <c r="E470">
        <v>1</v>
      </c>
      <c r="F470">
        <v>0</v>
      </c>
      <c r="G470">
        <v>12</v>
      </c>
      <c r="I470" t="s">
        <v>89</v>
      </c>
      <c r="J470">
        <v>523</v>
      </c>
      <c r="K470">
        <v>7.9</v>
      </c>
      <c r="L470">
        <v>4131.7</v>
      </c>
    </row>
    <row r="471" spans="1:12" x14ac:dyDescent="0.3">
      <c r="A471">
        <v>12</v>
      </c>
      <c r="B471">
        <v>23</v>
      </c>
      <c r="C471">
        <v>0</v>
      </c>
      <c r="D471">
        <v>7</v>
      </c>
      <c r="E471">
        <v>1</v>
      </c>
      <c r="G471">
        <v>6</v>
      </c>
      <c r="H471" t="s">
        <v>23</v>
      </c>
      <c r="I471" t="s">
        <v>104</v>
      </c>
      <c r="J471">
        <v>298</v>
      </c>
      <c r="K471">
        <v>8.4</v>
      </c>
      <c r="L471">
        <v>2503.1999999999998</v>
      </c>
    </row>
    <row r="472" spans="1:12" x14ac:dyDescent="0.3">
      <c r="A472">
        <v>18</v>
      </c>
      <c r="B472">
        <v>23</v>
      </c>
      <c r="C472">
        <v>1</v>
      </c>
      <c r="D472">
        <v>17</v>
      </c>
      <c r="E472">
        <v>1</v>
      </c>
      <c r="F472">
        <v>0</v>
      </c>
      <c r="G472">
        <v>2</v>
      </c>
      <c r="H472" t="s">
        <v>16</v>
      </c>
      <c r="I472" t="s">
        <v>79</v>
      </c>
      <c r="J472">
        <v>653</v>
      </c>
      <c r="K472">
        <v>8.9</v>
      </c>
      <c r="L472">
        <v>5811.7</v>
      </c>
    </row>
    <row r="473" spans="1:12" x14ac:dyDescent="0.3">
      <c r="A473">
        <v>9</v>
      </c>
      <c r="B473">
        <v>17</v>
      </c>
      <c r="C473">
        <v>1</v>
      </c>
      <c r="D473">
        <v>18</v>
      </c>
      <c r="E473">
        <v>1</v>
      </c>
      <c r="F473">
        <v>0</v>
      </c>
      <c r="G473">
        <v>12</v>
      </c>
      <c r="H473" t="s">
        <v>35</v>
      </c>
      <c r="I473" t="s">
        <v>77</v>
      </c>
      <c r="J473">
        <v>518</v>
      </c>
      <c r="K473">
        <v>8.1999999999999993</v>
      </c>
      <c r="L473">
        <v>4247.5999999999904</v>
      </c>
    </row>
    <row r="474" spans="1:12" x14ac:dyDescent="0.3">
      <c r="A474">
        <v>13</v>
      </c>
      <c r="B474">
        <v>22</v>
      </c>
      <c r="C474">
        <v>1</v>
      </c>
      <c r="D474">
        <v>5</v>
      </c>
      <c r="E474">
        <v>1</v>
      </c>
      <c r="F474">
        <v>0</v>
      </c>
      <c r="G474">
        <v>2</v>
      </c>
      <c r="H474" t="s">
        <v>22</v>
      </c>
      <c r="I474" t="s">
        <v>93</v>
      </c>
      <c r="J474">
        <v>298</v>
      </c>
      <c r="K474">
        <v>7.8</v>
      </c>
      <c r="L474">
        <v>2324.4</v>
      </c>
    </row>
    <row r="475" spans="1:12" x14ac:dyDescent="0.3">
      <c r="A475">
        <v>11</v>
      </c>
      <c r="B475">
        <v>22</v>
      </c>
      <c r="C475">
        <v>0</v>
      </c>
      <c r="D475">
        <v>11</v>
      </c>
      <c r="E475">
        <v>12</v>
      </c>
      <c r="F475">
        <v>0</v>
      </c>
      <c r="G475">
        <v>2</v>
      </c>
      <c r="H475" t="s">
        <v>22</v>
      </c>
      <c r="I475" t="s">
        <v>82</v>
      </c>
      <c r="J475">
        <v>357</v>
      </c>
      <c r="L475">
        <v>2784.6</v>
      </c>
    </row>
    <row r="476" spans="1:12" x14ac:dyDescent="0.3">
      <c r="A476">
        <v>16</v>
      </c>
      <c r="B476">
        <v>23</v>
      </c>
      <c r="C476">
        <v>3</v>
      </c>
      <c r="D476">
        <v>20</v>
      </c>
      <c r="E476">
        <v>1</v>
      </c>
      <c r="F476">
        <v>0</v>
      </c>
      <c r="G476">
        <v>6</v>
      </c>
      <c r="H476" t="s">
        <v>18</v>
      </c>
      <c r="J476">
        <v>566</v>
      </c>
      <c r="K476">
        <v>7.7</v>
      </c>
      <c r="L476">
        <v>4358.2</v>
      </c>
    </row>
    <row r="477" spans="1:12" x14ac:dyDescent="0.3">
      <c r="A477">
        <v>18</v>
      </c>
      <c r="B477">
        <v>23</v>
      </c>
      <c r="C477">
        <v>1</v>
      </c>
      <c r="D477">
        <v>9</v>
      </c>
      <c r="E477">
        <v>1</v>
      </c>
      <c r="F477">
        <v>0</v>
      </c>
      <c r="G477">
        <v>7</v>
      </c>
      <c r="H477" t="s">
        <v>36</v>
      </c>
      <c r="I477" t="s">
        <v>87</v>
      </c>
      <c r="J477">
        <v>562</v>
      </c>
      <c r="K477">
        <v>8.8000000000000007</v>
      </c>
      <c r="L477">
        <v>4945.6000000000004</v>
      </c>
    </row>
    <row r="478" spans="1:12" x14ac:dyDescent="0.3">
      <c r="A478">
        <v>6</v>
      </c>
      <c r="B478">
        <v>19</v>
      </c>
      <c r="C478">
        <v>2</v>
      </c>
      <c r="D478">
        <v>14</v>
      </c>
      <c r="E478">
        <v>1</v>
      </c>
      <c r="F478">
        <v>0</v>
      </c>
      <c r="G478">
        <v>7</v>
      </c>
      <c r="H478" t="s">
        <v>21</v>
      </c>
      <c r="I478" t="s">
        <v>70</v>
      </c>
      <c r="J478">
        <v>410</v>
      </c>
      <c r="K478">
        <v>8.6999999999999993</v>
      </c>
      <c r="L478">
        <v>3566.99999999999</v>
      </c>
    </row>
    <row r="479" spans="1:12" x14ac:dyDescent="0.3">
      <c r="A479">
        <v>16</v>
      </c>
      <c r="B479">
        <v>23</v>
      </c>
      <c r="C479">
        <v>2</v>
      </c>
      <c r="D479">
        <v>7</v>
      </c>
      <c r="E479">
        <v>1</v>
      </c>
      <c r="F479">
        <v>0</v>
      </c>
      <c r="G479">
        <v>3</v>
      </c>
      <c r="H479" t="s">
        <v>26</v>
      </c>
      <c r="I479" t="s">
        <v>93</v>
      </c>
      <c r="J479">
        <v>373</v>
      </c>
      <c r="K479">
        <v>8.5</v>
      </c>
      <c r="L479">
        <v>3170.5</v>
      </c>
    </row>
    <row r="480" spans="1:12" x14ac:dyDescent="0.3">
      <c r="A480">
        <v>12</v>
      </c>
      <c r="B480">
        <v>23</v>
      </c>
      <c r="C480">
        <v>0</v>
      </c>
      <c r="D480">
        <v>11</v>
      </c>
      <c r="E480">
        <v>12</v>
      </c>
      <c r="F480">
        <v>0</v>
      </c>
      <c r="G480">
        <v>9</v>
      </c>
      <c r="H480" t="s">
        <v>51</v>
      </c>
      <c r="I480" t="s">
        <v>85</v>
      </c>
      <c r="J480">
        <v>533</v>
      </c>
      <c r="K480">
        <v>8.8000000000000007</v>
      </c>
      <c r="L480">
        <v>4690.3999999999996</v>
      </c>
    </row>
    <row r="481" spans="1:12" x14ac:dyDescent="0.3">
      <c r="A481">
        <v>20</v>
      </c>
      <c r="B481">
        <v>23</v>
      </c>
      <c r="C481">
        <v>2</v>
      </c>
      <c r="D481">
        <v>8</v>
      </c>
      <c r="E481">
        <v>1</v>
      </c>
      <c r="F481">
        <v>0</v>
      </c>
      <c r="G481">
        <v>5</v>
      </c>
      <c r="H481" t="s">
        <v>22</v>
      </c>
      <c r="I481" t="s">
        <v>92</v>
      </c>
      <c r="J481">
        <v>507</v>
      </c>
      <c r="K481">
        <v>7.8</v>
      </c>
      <c r="L481" t="s">
        <v>275</v>
      </c>
    </row>
    <row r="482" spans="1:12" x14ac:dyDescent="0.3">
      <c r="A482">
        <v>15</v>
      </c>
      <c r="B482">
        <v>22</v>
      </c>
      <c r="C482">
        <v>3</v>
      </c>
      <c r="D482">
        <v>18</v>
      </c>
      <c r="E482">
        <v>12</v>
      </c>
      <c r="F482">
        <v>0</v>
      </c>
      <c r="G482">
        <v>4</v>
      </c>
      <c r="H482" t="s">
        <v>31</v>
      </c>
      <c r="I482" t="s">
        <v>90</v>
      </c>
      <c r="J482">
        <v>700</v>
      </c>
      <c r="K482">
        <v>7.9</v>
      </c>
      <c r="L482">
        <v>5530</v>
      </c>
    </row>
    <row r="483" spans="1:12" x14ac:dyDescent="0.3">
      <c r="A483">
        <v>12</v>
      </c>
      <c r="B483">
        <v>23</v>
      </c>
      <c r="C483">
        <v>1</v>
      </c>
      <c r="D483">
        <v>5</v>
      </c>
      <c r="E483">
        <v>1</v>
      </c>
      <c r="F483">
        <v>0</v>
      </c>
      <c r="G483">
        <v>11</v>
      </c>
      <c r="H483" t="s">
        <v>30</v>
      </c>
      <c r="I483" t="s">
        <v>80</v>
      </c>
      <c r="J483">
        <v>468</v>
      </c>
      <c r="K483">
        <v>9.1999999999999993</v>
      </c>
      <c r="L483">
        <v>4305.5999999999904</v>
      </c>
    </row>
    <row r="484" spans="1:12" x14ac:dyDescent="0.3">
      <c r="A484">
        <v>20</v>
      </c>
      <c r="B484">
        <v>23</v>
      </c>
      <c r="C484">
        <v>1</v>
      </c>
      <c r="D484">
        <v>6</v>
      </c>
      <c r="E484">
        <v>1</v>
      </c>
      <c r="F484">
        <v>0</v>
      </c>
      <c r="G484">
        <v>5</v>
      </c>
      <c r="H484" t="s">
        <v>18</v>
      </c>
      <c r="I484" t="s">
        <v>85</v>
      </c>
      <c r="J484">
        <v>413</v>
      </c>
      <c r="K484" t="s">
        <v>246</v>
      </c>
      <c r="L484">
        <v>3180.1</v>
      </c>
    </row>
    <row r="485" spans="1:12" x14ac:dyDescent="0.3">
      <c r="A485">
        <v>23</v>
      </c>
      <c r="B485">
        <v>22</v>
      </c>
      <c r="D485">
        <v>18</v>
      </c>
      <c r="E485">
        <v>12</v>
      </c>
      <c r="F485">
        <v>0</v>
      </c>
      <c r="G485">
        <v>12</v>
      </c>
      <c r="H485" t="s">
        <v>23</v>
      </c>
      <c r="I485" t="s">
        <v>107</v>
      </c>
      <c r="J485">
        <v>799</v>
      </c>
      <c r="K485">
        <v>8.4</v>
      </c>
    </row>
    <row r="486" spans="1:12" x14ac:dyDescent="0.3">
      <c r="A486">
        <v>15</v>
      </c>
      <c r="B486">
        <v>22</v>
      </c>
      <c r="C486">
        <v>2</v>
      </c>
      <c r="D486">
        <v>14</v>
      </c>
      <c r="E486">
        <v>1</v>
      </c>
      <c r="F486">
        <v>0</v>
      </c>
      <c r="G486">
        <v>6</v>
      </c>
      <c r="H486" t="s">
        <v>30</v>
      </c>
      <c r="I486" t="s">
        <v>105</v>
      </c>
      <c r="J486">
        <v>487</v>
      </c>
      <c r="K486" t="s">
        <v>239</v>
      </c>
      <c r="L486">
        <v>4480.3999999999996</v>
      </c>
    </row>
    <row r="487" spans="1:12" x14ac:dyDescent="0.3">
      <c r="A487">
        <v>22</v>
      </c>
      <c r="B487">
        <v>23</v>
      </c>
      <c r="C487">
        <v>2</v>
      </c>
      <c r="D487">
        <v>12</v>
      </c>
      <c r="E487">
        <v>1</v>
      </c>
      <c r="F487">
        <v>0</v>
      </c>
      <c r="G487">
        <v>1</v>
      </c>
      <c r="H487" t="s">
        <v>18</v>
      </c>
      <c r="I487" t="s">
        <v>83</v>
      </c>
      <c r="J487">
        <v>480</v>
      </c>
      <c r="K487">
        <v>7.7</v>
      </c>
      <c r="L487">
        <v>3696</v>
      </c>
    </row>
    <row r="488" spans="1:12" x14ac:dyDescent="0.3">
      <c r="A488">
        <v>12</v>
      </c>
      <c r="C488">
        <v>2</v>
      </c>
      <c r="D488">
        <v>19</v>
      </c>
      <c r="E488">
        <v>1</v>
      </c>
      <c r="F488">
        <v>0</v>
      </c>
      <c r="G488">
        <v>6</v>
      </c>
      <c r="H488" t="s">
        <v>22</v>
      </c>
      <c r="I488" t="s">
        <v>96</v>
      </c>
      <c r="J488">
        <v>611</v>
      </c>
      <c r="K488">
        <v>7.8</v>
      </c>
      <c r="L488">
        <v>4765.8</v>
      </c>
    </row>
    <row r="489" spans="1:12" x14ac:dyDescent="0.3">
      <c r="A489">
        <v>8</v>
      </c>
      <c r="B489">
        <v>19</v>
      </c>
      <c r="C489">
        <v>0</v>
      </c>
      <c r="D489">
        <v>14</v>
      </c>
      <c r="E489">
        <v>1</v>
      </c>
      <c r="F489">
        <v>0</v>
      </c>
      <c r="G489">
        <v>2</v>
      </c>
      <c r="H489" t="s">
        <v>20</v>
      </c>
      <c r="I489" t="s">
        <v>96</v>
      </c>
      <c r="J489">
        <v>327</v>
      </c>
      <c r="K489">
        <v>9.1</v>
      </c>
      <c r="L489">
        <v>2975.7</v>
      </c>
    </row>
    <row r="490" spans="1:12" x14ac:dyDescent="0.3">
      <c r="A490">
        <v>11</v>
      </c>
      <c r="B490">
        <v>23</v>
      </c>
      <c r="C490">
        <v>1</v>
      </c>
      <c r="D490">
        <v>19</v>
      </c>
      <c r="E490">
        <v>1</v>
      </c>
      <c r="F490">
        <v>0</v>
      </c>
      <c r="G490">
        <v>6</v>
      </c>
      <c r="H490" t="s">
        <v>38</v>
      </c>
      <c r="I490" t="s">
        <v>96</v>
      </c>
      <c r="J490">
        <v>507</v>
      </c>
      <c r="K490">
        <v>7.4</v>
      </c>
      <c r="L490">
        <v>3751.8</v>
      </c>
    </row>
    <row r="491" spans="1:12" x14ac:dyDescent="0.3">
      <c r="A491">
        <v>18</v>
      </c>
      <c r="B491">
        <v>22</v>
      </c>
      <c r="C491">
        <v>3</v>
      </c>
      <c r="D491">
        <v>7</v>
      </c>
      <c r="E491">
        <v>1</v>
      </c>
      <c r="F491">
        <v>0</v>
      </c>
      <c r="G491">
        <v>11</v>
      </c>
      <c r="H491" t="s">
        <v>25</v>
      </c>
      <c r="I491" t="s">
        <v>87</v>
      </c>
      <c r="J491">
        <v>602</v>
      </c>
      <c r="K491">
        <v>8.1</v>
      </c>
      <c r="L491">
        <v>4876.2</v>
      </c>
    </row>
    <row r="492" spans="1:12" x14ac:dyDescent="0.3">
      <c r="A492">
        <v>16</v>
      </c>
      <c r="B492">
        <v>23</v>
      </c>
      <c r="C492">
        <v>2</v>
      </c>
      <c r="D492">
        <v>3</v>
      </c>
      <c r="E492">
        <v>1</v>
      </c>
      <c r="G492">
        <v>11</v>
      </c>
      <c r="H492" t="s">
        <v>57</v>
      </c>
      <c r="I492" t="s">
        <v>90</v>
      </c>
      <c r="J492">
        <v>314</v>
      </c>
      <c r="K492">
        <v>9.1999999999999993</v>
      </c>
      <c r="L492">
        <v>2888.7999999999902</v>
      </c>
    </row>
    <row r="493" spans="1:12" x14ac:dyDescent="0.3">
      <c r="A493">
        <v>6</v>
      </c>
      <c r="B493">
        <v>22</v>
      </c>
      <c r="C493">
        <v>1</v>
      </c>
      <c r="D493">
        <v>15</v>
      </c>
      <c r="E493">
        <v>7</v>
      </c>
      <c r="F493">
        <v>0</v>
      </c>
      <c r="G493">
        <v>5</v>
      </c>
      <c r="H493" t="s">
        <v>14</v>
      </c>
      <c r="I493" t="s">
        <v>80</v>
      </c>
      <c r="J493">
        <v>389</v>
      </c>
      <c r="K493">
        <v>8.9</v>
      </c>
      <c r="L493">
        <v>3462.1</v>
      </c>
    </row>
    <row r="494" spans="1:12" x14ac:dyDescent="0.3">
      <c r="A494">
        <v>9</v>
      </c>
      <c r="B494">
        <v>20</v>
      </c>
      <c r="C494">
        <v>3</v>
      </c>
      <c r="D494">
        <v>16</v>
      </c>
      <c r="E494">
        <v>1</v>
      </c>
      <c r="F494">
        <v>0</v>
      </c>
      <c r="G494">
        <v>11</v>
      </c>
      <c r="H494" t="s">
        <v>22</v>
      </c>
      <c r="I494" t="s">
        <v>107</v>
      </c>
      <c r="J494">
        <v>616</v>
      </c>
      <c r="K494">
        <v>7.8</v>
      </c>
    </row>
    <row r="495" spans="1:12" x14ac:dyDescent="0.3">
      <c r="A495">
        <v>6</v>
      </c>
      <c r="B495">
        <v>17</v>
      </c>
      <c r="C495">
        <v>3</v>
      </c>
      <c r="D495">
        <v>13</v>
      </c>
      <c r="E495">
        <v>1</v>
      </c>
      <c r="F495">
        <v>0</v>
      </c>
      <c r="G495">
        <v>12</v>
      </c>
      <c r="H495" t="s">
        <v>19</v>
      </c>
      <c r="I495" t="s">
        <v>107</v>
      </c>
      <c r="J495">
        <v>331</v>
      </c>
      <c r="K495">
        <v>8.9</v>
      </c>
      <c r="L495">
        <v>2945.9</v>
      </c>
    </row>
    <row r="496" spans="1:12" x14ac:dyDescent="0.3">
      <c r="A496">
        <v>11</v>
      </c>
      <c r="B496">
        <v>22</v>
      </c>
      <c r="C496">
        <v>3</v>
      </c>
      <c r="D496">
        <v>17</v>
      </c>
      <c r="E496">
        <v>1</v>
      </c>
      <c r="F496">
        <v>0</v>
      </c>
      <c r="G496">
        <v>6</v>
      </c>
      <c r="H496" t="s">
        <v>38</v>
      </c>
      <c r="I496" t="s">
        <v>120</v>
      </c>
      <c r="J496">
        <v>481</v>
      </c>
      <c r="K496">
        <v>7.4</v>
      </c>
      <c r="L496">
        <v>3559.4</v>
      </c>
    </row>
    <row r="497" spans="1:12" x14ac:dyDescent="0.3">
      <c r="A497">
        <v>17</v>
      </c>
      <c r="B497">
        <v>23</v>
      </c>
      <c r="C497">
        <v>1</v>
      </c>
      <c r="E497">
        <v>1</v>
      </c>
      <c r="F497">
        <v>0</v>
      </c>
      <c r="G497">
        <v>3</v>
      </c>
      <c r="H497" t="s">
        <v>33</v>
      </c>
      <c r="I497" t="s">
        <v>97</v>
      </c>
      <c r="J497">
        <v>334</v>
      </c>
      <c r="K497" t="s">
        <v>247</v>
      </c>
      <c r="L497">
        <v>3106.2</v>
      </c>
    </row>
    <row r="498" spans="1:12" x14ac:dyDescent="0.3">
      <c r="A498">
        <v>21</v>
      </c>
      <c r="C498">
        <v>3</v>
      </c>
      <c r="D498">
        <v>12</v>
      </c>
      <c r="E498">
        <v>1</v>
      </c>
      <c r="F498">
        <v>0</v>
      </c>
      <c r="G498">
        <v>8</v>
      </c>
      <c r="H498" t="s">
        <v>16</v>
      </c>
      <c r="I498" t="s">
        <v>82</v>
      </c>
      <c r="J498">
        <v>490</v>
      </c>
      <c r="K498">
        <v>8.9</v>
      </c>
      <c r="L498">
        <v>4361</v>
      </c>
    </row>
    <row r="499" spans="1:12" x14ac:dyDescent="0.3">
      <c r="A499">
        <v>18</v>
      </c>
      <c r="B499">
        <v>22</v>
      </c>
      <c r="C499">
        <v>1</v>
      </c>
      <c r="D499">
        <v>16</v>
      </c>
      <c r="E499">
        <v>1</v>
      </c>
      <c r="G499">
        <v>2</v>
      </c>
      <c r="H499" t="s">
        <v>36</v>
      </c>
      <c r="I499" t="s">
        <v>92</v>
      </c>
      <c r="J499">
        <v>524</v>
      </c>
      <c r="K499">
        <v>8.8000000000000007</v>
      </c>
      <c r="L499">
        <v>4611.2</v>
      </c>
    </row>
    <row r="500" spans="1:12" x14ac:dyDescent="0.3">
      <c r="A500">
        <v>11</v>
      </c>
      <c r="B500">
        <v>22</v>
      </c>
      <c r="C500">
        <v>1</v>
      </c>
      <c r="D500">
        <v>20</v>
      </c>
      <c r="E500">
        <v>1</v>
      </c>
      <c r="F500">
        <v>0</v>
      </c>
      <c r="G500">
        <v>8</v>
      </c>
      <c r="H500" t="s">
        <v>32</v>
      </c>
      <c r="I500" t="s">
        <v>71</v>
      </c>
      <c r="J500">
        <v>525</v>
      </c>
      <c r="K500">
        <v>7.6</v>
      </c>
      <c r="L500">
        <v>3990</v>
      </c>
    </row>
    <row r="501" spans="1:12" x14ac:dyDescent="0.3">
      <c r="A501">
        <v>12</v>
      </c>
      <c r="B501">
        <v>22</v>
      </c>
      <c r="C501">
        <v>0</v>
      </c>
      <c r="D501">
        <v>14</v>
      </c>
      <c r="E501">
        <v>12</v>
      </c>
      <c r="F501">
        <v>0</v>
      </c>
      <c r="H501" t="s">
        <v>48</v>
      </c>
      <c r="I501" t="s">
        <v>71</v>
      </c>
      <c r="J501">
        <v>604</v>
      </c>
      <c r="K501">
        <v>8.6999999999999993</v>
      </c>
      <c r="L501">
        <v>5254.7999999999902</v>
      </c>
    </row>
    <row r="502" spans="1:12" x14ac:dyDescent="0.3">
      <c r="A502">
        <v>5</v>
      </c>
      <c r="B502">
        <v>18</v>
      </c>
      <c r="C502">
        <v>2</v>
      </c>
      <c r="D502">
        <v>20</v>
      </c>
      <c r="E502">
        <v>1</v>
      </c>
      <c r="F502">
        <v>0</v>
      </c>
      <c r="G502">
        <v>8</v>
      </c>
      <c r="H502" t="s">
        <v>23</v>
      </c>
      <c r="I502" t="s">
        <v>90</v>
      </c>
      <c r="J502">
        <v>426</v>
      </c>
      <c r="K502">
        <v>8.4</v>
      </c>
      <c r="L502">
        <v>3578.4</v>
      </c>
    </row>
    <row r="503" spans="1:12" x14ac:dyDescent="0.3">
      <c r="A503">
        <v>7</v>
      </c>
      <c r="B503">
        <v>17</v>
      </c>
      <c r="C503">
        <v>2</v>
      </c>
      <c r="D503">
        <v>16</v>
      </c>
      <c r="E503">
        <v>7</v>
      </c>
      <c r="F503">
        <v>0</v>
      </c>
      <c r="G503">
        <v>8</v>
      </c>
      <c r="H503" t="s">
        <v>16</v>
      </c>
      <c r="I503" t="s">
        <v>73</v>
      </c>
      <c r="J503">
        <v>570</v>
      </c>
      <c r="K503">
        <v>8.9</v>
      </c>
      <c r="L503">
        <v>5073</v>
      </c>
    </row>
    <row r="504" spans="1:12" x14ac:dyDescent="0.3">
      <c r="A504">
        <v>5</v>
      </c>
      <c r="B504">
        <v>21</v>
      </c>
      <c r="C504">
        <v>0</v>
      </c>
      <c r="D504">
        <v>15</v>
      </c>
      <c r="E504">
        <v>1</v>
      </c>
      <c r="F504">
        <v>0</v>
      </c>
      <c r="G504">
        <v>10</v>
      </c>
      <c r="H504" t="s">
        <v>21</v>
      </c>
      <c r="I504" t="s">
        <v>83</v>
      </c>
      <c r="J504">
        <v>443</v>
      </c>
      <c r="K504">
        <v>8.6999999999999993</v>
      </c>
      <c r="L504">
        <v>3854.1</v>
      </c>
    </row>
    <row r="505" spans="1:12" x14ac:dyDescent="0.3">
      <c r="A505">
        <v>13</v>
      </c>
      <c r="B505">
        <v>22</v>
      </c>
      <c r="C505">
        <v>0</v>
      </c>
      <c r="D505">
        <v>12</v>
      </c>
      <c r="E505">
        <v>1</v>
      </c>
      <c r="F505">
        <v>0</v>
      </c>
      <c r="G505">
        <v>6</v>
      </c>
      <c r="H505" t="s">
        <v>16</v>
      </c>
      <c r="I505" t="s">
        <v>99</v>
      </c>
      <c r="J505">
        <v>377</v>
      </c>
      <c r="L505">
        <v>3355.3</v>
      </c>
    </row>
    <row r="506" spans="1:12" x14ac:dyDescent="0.3">
      <c r="A506">
        <v>19</v>
      </c>
      <c r="B506">
        <v>22</v>
      </c>
      <c r="C506">
        <v>0</v>
      </c>
      <c r="D506">
        <v>20</v>
      </c>
      <c r="E506">
        <v>12</v>
      </c>
      <c r="F506">
        <v>0</v>
      </c>
      <c r="G506">
        <v>9</v>
      </c>
      <c r="H506" t="s">
        <v>30</v>
      </c>
      <c r="I506" t="s">
        <v>93</v>
      </c>
      <c r="K506">
        <v>9.1999999999999993</v>
      </c>
      <c r="L506">
        <v>5198</v>
      </c>
    </row>
    <row r="507" spans="1:12" x14ac:dyDescent="0.3">
      <c r="A507">
        <v>22</v>
      </c>
      <c r="B507">
        <v>22</v>
      </c>
      <c r="C507">
        <v>3</v>
      </c>
      <c r="D507">
        <v>14</v>
      </c>
      <c r="E507">
        <v>1</v>
      </c>
      <c r="F507">
        <v>0</v>
      </c>
      <c r="G507">
        <v>3</v>
      </c>
      <c r="H507" t="s">
        <v>35</v>
      </c>
      <c r="I507" t="s">
        <v>72</v>
      </c>
      <c r="J507">
        <v>666</v>
      </c>
      <c r="K507">
        <v>8.1999999999999993</v>
      </c>
      <c r="L507">
        <v>5461.2</v>
      </c>
    </row>
    <row r="508" spans="1:12" x14ac:dyDescent="0.3">
      <c r="A508">
        <v>9</v>
      </c>
      <c r="B508">
        <v>23</v>
      </c>
      <c r="C508">
        <v>2</v>
      </c>
      <c r="D508">
        <v>5</v>
      </c>
      <c r="E508">
        <v>1</v>
      </c>
      <c r="F508">
        <v>0</v>
      </c>
      <c r="G508">
        <v>8</v>
      </c>
      <c r="I508" t="s">
        <v>122</v>
      </c>
      <c r="J508">
        <v>341</v>
      </c>
      <c r="K508">
        <v>7.4</v>
      </c>
      <c r="L508">
        <v>2523.4</v>
      </c>
    </row>
    <row r="509" spans="1:12" x14ac:dyDescent="0.3">
      <c r="A509">
        <v>9</v>
      </c>
      <c r="B509">
        <v>23</v>
      </c>
      <c r="C509">
        <v>1</v>
      </c>
      <c r="D509">
        <v>3</v>
      </c>
      <c r="E509">
        <v>1</v>
      </c>
      <c r="F509">
        <v>0</v>
      </c>
      <c r="G509">
        <v>1</v>
      </c>
      <c r="H509" t="s">
        <v>24</v>
      </c>
      <c r="I509" t="s">
        <v>76</v>
      </c>
      <c r="J509">
        <v>392</v>
      </c>
      <c r="K509">
        <v>7.9</v>
      </c>
      <c r="L509">
        <v>3096.8</v>
      </c>
    </row>
    <row r="510" spans="1:12" x14ac:dyDescent="0.3">
      <c r="A510">
        <v>15</v>
      </c>
      <c r="B510">
        <v>22</v>
      </c>
      <c r="C510">
        <v>2</v>
      </c>
      <c r="D510">
        <v>7</v>
      </c>
      <c r="E510">
        <v>1</v>
      </c>
      <c r="F510">
        <v>0</v>
      </c>
      <c r="G510">
        <v>6</v>
      </c>
      <c r="H510" t="s">
        <v>26</v>
      </c>
      <c r="I510" t="s">
        <v>84</v>
      </c>
      <c r="J510">
        <v>477</v>
      </c>
      <c r="K510">
        <v>8.5</v>
      </c>
      <c r="L510">
        <v>4054.5</v>
      </c>
    </row>
    <row r="511" spans="1:12" x14ac:dyDescent="0.3">
      <c r="A511">
        <v>21</v>
      </c>
      <c r="B511">
        <v>23</v>
      </c>
      <c r="C511">
        <v>0</v>
      </c>
      <c r="D511">
        <v>21</v>
      </c>
      <c r="E511">
        <v>1</v>
      </c>
      <c r="F511">
        <v>0</v>
      </c>
      <c r="G511">
        <v>3</v>
      </c>
      <c r="H511" t="s">
        <v>21</v>
      </c>
      <c r="I511" t="s">
        <v>75</v>
      </c>
      <c r="J511">
        <v>478</v>
      </c>
      <c r="K511" t="s">
        <v>242</v>
      </c>
      <c r="L511" t="s">
        <v>276</v>
      </c>
    </row>
    <row r="512" spans="1:12" x14ac:dyDescent="0.3">
      <c r="A512">
        <v>23</v>
      </c>
      <c r="B512">
        <v>23</v>
      </c>
      <c r="C512">
        <v>3</v>
      </c>
      <c r="D512">
        <v>11</v>
      </c>
      <c r="E512">
        <v>1</v>
      </c>
      <c r="F512">
        <v>0</v>
      </c>
      <c r="G512">
        <v>5</v>
      </c>
      <c r="H512" t="s">
        <v>60</v>
      </c>
      <c r="I512" t="s">
        <v>80</v>
      </c>
      <c r="J512">
        <v>533</v>
      </c>
      <c r="K512">
        <v>9.1</v>
      </c>
      <c r="L512">
        <v>4850.3</v>
      </c>
    </row>
    <row r="513" spans="1:12" x14ac:dyDescent="0.3">
      <c r="A513">
        <v>12</v>
      </c>
      <c r="B513">
        <v>22</v>
      </c>
      <c r="C513">
        <v>0</v>
      </c>
      <c r="D513">
        <v>9</v>
      </c>
      <c r="E513">
        <v>1</v>
      </c>
      <c r="F513">
        <v>0</v>
      </c>
      <c r="G513">
        <v>9</v>
      </c>
      <c r="H513" t="s">
        <v>24</v>
      </c>
      <c r="I513" t="s">
        <v>93</v>
      </c>
      <c r="J513">
        <v>494</v>
      </c>
      <c r="K513">
        <v>7.9</v>
      </c>
      <c r="L513">
        <v>3902.6</v>
      </c>
    </row>
    <row r="514" spans="1:12" x14ac:dyDescent="0.3">
      <c r="A514">
        <v>18</v>
      </c>
      <c r="B514">
        <v>22</v>
      </c>
      <c r="C514">
        <v>3</v>
      </c>
      <c r="D514">
        <v>19</v>
      </c>
      <c r="E514">
        <v>1</v>
      </c>
      <c r="F514">
        <v>0</v>
      </c>
      <c r="G514">
        <v>3</v>
      </c>
      <c r="H514" t="s">
        <v>20</v>
      </c>
      <c r="I514" t="s">
        <v>80</v>
      </c>
      <c r="J514">
        <v>751</v>
      </c>
      <c r="K514">
        <v>9.1</v>
      </c>
    </row>
    <row r="515" spans="1:12" x14ac:dyDescent="0.3">
      <c r="B515">
        <v>21</v>
      </c>
      <c r="C515">
        <v>0</v>
      </c>
      <c r="D515">
        <v>5</v>
      </c>
      <c r="E515">
        <v>1</v>
      </c>
      <c r="F515">
        <v>0</v>
      </c>
      <c r="G515">
        <v>11</v>
      </c>
      <c r="H515" t="s">
        <v>20</v>
      </c>
      <c r="I515" t="s">
        <v>100</v>
      </c>
      <c r="J515">
        <v>321</v>
      </c>
      <c r="K515">
        <v>9.1</v>
      </c>
      <c r="L515">
        <v>2921.1</v>
      </c>
    </row>
    <row r="516" spans="1:12" x14ac:dyDescent="0.3">
      <c r="A516">
        <v>13</v>
      </c>
      <c r="B516">
        <v>22</v>
      </c>
      <c r="C516">
        <v>0</v>
      </c>
      <c r="E516">
        <v>12</v>
      </c>
      <c r="F516">
        <v>0</v>
      </c>
      <c r="G516">
        <v>6</v>
      </c>
      <c r="H516" t="s">
        <v>30</v>
      </c>
      <c r="I516" t="s">
        <v>106</v>
      </c>
      <c r="J516">
        <v>503</v>
      </c>
      <c r="K516">
        <v>9.1999999999999993</v>
      </c>
      <c r="L516">
        <v>4627.5999999999904</v>
      </c>
    </row>
    <row r="517" spans="1:12" x14ac:dyDescent="0.3">
      <c r="A517">
        <v>18</v>
      </c>
      <c r="B517">
        <v>23</v>
      </c>
      <c r="C517">
        <v>2</v>
      </c>
      <c r="D517">
        <v>4</v>
      </c>
      <c r="E517">
        <v>12</v>
      </c>
      <c r="F517">
        <v>0</v>
      </c>
      <c r="G517">
        <v>5</v>
      </c>
      <c r="H517" t="s">
        <v>20</v>
      </c>
      <c r="I517" t="s">
        <v>75</v>
      </c>
      <c r="J517">
        <v>692</v>
      </c>
      <c r="K517">
        <v>9.1</v>
      </c>
      <c r="L517">
        <v>6297.2</v>
      </c>
    </row>
    <row r="518" spans="1:12" x14ac:dyDescent="0.3">
      <c r="A518">
        <v>22</v>
      </c>
      <c r="B518">
        <v>22</v>
      </c>
      <c r="C518">
        <v>2</v>
      </c>
      <c r="D518">
        <v>7</v>
      </c>
      <c r="E518">
        <v>1</v>
      </c>
      <c r="F518">
        <v>0</v>
      </c>
      <c r="G518">
        <v>10</v>
      </c>
      <c r="H518" t="s">
        <v>25</v>
      </c>
      <c r="I518" t="s">
        <v>93</v>
      </c>
      <c r="J518">
        <v>602</v>
      </c>
      <c r="K518">
        <v>8.1</v>
      </c>
      <c r="L518">
        <v>4876.2</v>
      </c>
    </row>
    <row r="519" spans="1:12" x14ac:dyDescent="0.3">
      <c r="A519">
        <v>20</v>
      </c>
      <c r="B519">
        <v>23</v>
      </c>
      <c r="C519">
        <v>1</v>
      </c>
      <c r="D519">
        <v>10</v>
      </c>
      <c r="E519">
        <v>12</v>
      </c>
      <c r="F519">
        <v>0</v>
      </c>
      <c r="G519">
        <v>9</v>
      </c>
      <c r="H519" t="s">
        <v>32</v>
      </c>
      <c r="I519" t="s">
        <v>89</v>
      </c>
      <c r="J519">
        <v>545</v>
      </c>
      <c r="K519">
        <v>7.6</v>
      </c>
      <c r="L519">
        <v>4142</v>
      </c>
    </row>
    <row r="520" spans="1:12" x14ac:dyDescent="0.3">
      <c r="A520">
        <v>15</v>
      </c>
      <c r="B520">
        <v>23</v>
      </c>
      <c r="C520">
        <v>3</v>
      </c>
      <c r="D520">
        <v>15</v>
      </c>
      <c r="E520">
        <v>12</v>
      </c>
      <c r="F520">
        <v>0</v>
      </c>
      <c r="G520">
        <v>9</v>
      </c>
      <c r="H520" t="s">
        <v>63</v>
      </c>
      <c r="I520" t="s">
        <v>94</v>
      </c>
      <c r="J520">
        <v>587</v>
      </c>
      <c r="K520">
        <v>7.7</v>
      </c>
      <c r="L520">
        <v>4519.8999999999996</v>
      </c>
    </row>
    <row r="521" spans="1:12" x14ac:dyDescent="0.3">
      <c r="A521">
        <v>8</v>
      </c>
      <c r="B521">
        <v>18</v>
      </c>
      <c r="C521">
        <v>1</v>
      </c>
      <c r="D521">
        <v>5</v>
      </c>
      <c r="E521">
        <v>1</v>
      </c>
      <c r="F521">
        <v>0</v>
      </c>
      <c r="G521">
        <v>10</v>
      </c>
      <c r="H521" t="s">
        <v>23</v>
      </c>
      <c r="I521" t="s">
        <v>93</v>
      </c>
      <c r="J521">
        <v>404</v>
      </c>
      <c r="K521">
        <v>8.4</v>
      </c>
      <c r="L521">
        <v>3393.6</v>
      </c>
    </row>
    <row r="522" spans="1:12" x14ac:dyDescent="0.3">
      <c r="A522">
        <v>13</v>
      </c>
      <c r="B522">
        <v>22</v>
      </c>
      <c r="C522">
        <v>0</v>
      </c>
      <c r="E522">
        <v>1</v>
      </c>
      <c r="F522">
        <v>0</v>
      </c>
      <c r="G522">
        <v>8</v>
      </c>
      <c r="H522" t="s">
        <v>55</v>
      </c>
      <c r="I522" t="s">
        <v>106</v>
      </c>
      <c r="J522">
        <v>408</v>
      </c>
      <c r="K522">
        <v>7.8</v>
      </c>
      <c r="L522">
        <v>3182.4</v>
      </c>
    </row>
    <row r="523" spans="1:12" x14ac:dyDescent="0.3">
      <c r="A523">
        <v>20</v>
      </c>
      <c r="B523">
        <v>23</v>
      </c>
      <c r="C523">
        <v>3</v>
      </c>
      <c r="D523">
        <v>10</v>
      </c>
      <c r="E523">
        <v>1</v>
      </c>
      <c r="F523">
        <v>0</v>
      </c>
      <c r="G523">
        <v>8</v>
      </c>
      <c r="H523" t="s">
        <v>20</v>
      </c>
      <c r="I523" t="s">
        <v>85</v>
      </c>
      <c r="J523">
        <v>675</v>
      </c>
      <c r="K523">
        <v>9.1</v>
      </c>
      <c r="L523">
        <v>6142.5</v>
      </c>
    </row>
    <row r="524" spans="1:12" x14ac:dyDescent="0.3">
      <c r="A524">
        <v>11</v>
      </c>
      <c r="B524">
        <v>22</v>
      </c>
      <c r="C524">
        <v>1</v>
      </c>
      <c r="D524">
        <v>11</v>
      </c>
      <c r="E524">
        <v>1</v>
      </c>
      <c r="F524">
        <v>0</v>
      </c>
      <c r="G524">
        <v>12</v>
      </c>
      <c r="H524" t="s">
        <v>33</v>
      </c>
      <c r="I524" t="s">
        <v>89</v>
      </c>
      <c r="J524">
        <v>413</v>
      </c>
      <c r="K524">
        <v>9.3000000000000007</v>
      </c>
      <c r="L524" t="s">
        <v>277</v>
      </c>
    </row>
    <row r="525" spans="1:12" x14ac:dyDescent="0.3">
      <c r="A525">
        <v>16</v>
      </c>
      <c r="B525">
        <v>23</v>
      </c>
      <c r="C525">
        <v>0</v>
      </c>
      <c r="D525">
        <v>14</v>
      </c>
      <c r="E525">
        <v>1</v>
      </c>
      <c r="F525">
        <v>0</v>
      </c>
      <c r="G525">
        <v>3</v>
      </c>
      <c r="H525" t="s">
        <v>22</v>
      </c>
      <c r="I525" t="s">
        <v>91</v>
      </c>
      <c r="J525">
        <v>631</v>
      </c>
      <c r="K525">
        <v>7.8</v>
      </c>
      <c r="L525">
        <v>4921.8</v>
      </c>
    </row>
    <row r="526" spans="1:12" x14ac:dyDescent="0.3">
      <c r="A526">
        <v>17</v>
      </c>
      <c r="B526">
        <v>23</v>
      </c>
      <c r="C526">
        <v>1</v>
      </c>
      <c r="D526">
        <v>12</v>
      </c>
      <c r="E526">
        <v>1</v>
      </c>
      <c r="F526">
        <v>0</v>
      </c>
      <c r="H526" t="s">
        <v>26</v>
      </c>
      <c r="I526" t="s">
        <v>94</v>
      </c>
      <c r="J526">
        <v>512</v>
      </c>
      <c r="K526">
        <v>8.5</v>
      </c>
      <c r="L526">
        <v>4352</v>
      </c>
    </row>
    <row r="527" spans="1:12" x14ac:dyDescent="0.3">
      <c r="A527">
        <v>14</v>
      </c>
      <c r="B527">
        <v>23</v>
      </c>
      <c r="C527">
        <v>2</v>
      </c>
      <c r="D527">
        <v>7</v>
      </c>
      <c r="E527">
        <v>1</v>
      </c>
      <c r="F527">
        <v>0</v>
      </c>
      <c r="G527">
        <v>12</v>
      </c>
      <c r="H527" t="s">
        <v>25</v>
      </c>
      <c r="I527" t="s">
        <v>85</v>
      </c>
      <c r="J527">
        <v>545</v>
      </c>
      <c r="K527">
        <v>8.1</v>
      </c>
      <c r="L527">
        <v>4414.5</v>
      </c>
    </row>
    <row r="528" spans="1:12" x14ac:dyDescent="0.3">
      <c r="A528">
        <v>7</v>
      </c>
      <c r="B528">
        <v>20</v>
      </c>
      <c r="C528">
        <v>2</v>
      </c>
      <c r="D528">
        <v>6</v>
      </c>
      <c r="E528">
        <v>7</v>
      </c>
      <c r="F528">
        <v>0</v>
      </c>
      <c r="G528">
        <v>7</v>
      </c>
      <c r="I528" t="s">
        <v>78</v>
      </c>
      <c r="J528">
        <v>416</v>
      </c>
      <c r="K528">
        <v>7.7</v>
      </c>
      <c r="L528">
        <v>3203.2</v>
      </c>
    </row>
    <row r="529" spans="1:12" x14ac:dyDescent="0.3">
      <c r="A529">
        <v>5</v>
      </c>
      <c r="B529">
        <v>17</v>
      </c>
      <c r="C529">
        <v>2</v>
      </c>
      <c r="D529">
        <v>12</v>
      </c>
      <c r="E529">
        <v>1</v>
      </c>
      <c r="F529">
        <v>0</v>
      </c>
      <c r="G529">
        <v>10</v>
      </c>
      <c r="H529" t="s">
        <v>24</v>
      </c>
      <c r="I529" t="s">
        <v>87</v>
      </c>
      <c r="J529">
        <v>494</v>
      </c>
      <c r="K529">
        <v>7.9</v>
      </c>
      <c r="L529">
        <v>3902.6</v>
      </c>
    </row>
    <row r="530" spans="1:12" x14ac:dyDescent="0.3">
      <c r="A530">
        <v>13</v>
      </c>
      <c r="B530">
        <v>22</v>
      </c>
      <c r="C530">
        <v>1</v>
      </c>
      <c r="D530">
        <v>7</v>
      </c>
      <c r="E530">
        <v>1</v>
      </c>
      <c r="F530">
        <v>0</v>
      </c>
      <c r="H530" t="s">
        <v>35</v>
      </c>
      <c r="I530" t="s">
        <v>76</v>
      </c>
      <c r="J530">
        <v>432</v>
      </c>
      <c r="K530">
        <v>8.1999999999999993</v>
      </c>
      <c r="L530">
        <v>3542.3999999999901</v>
      </c>
    </row>
    <row r="531" spans="1:12" x14ac:dyDescent="0.3">
      <c r="A531">
        <v>20</v>
      </c>
      <c r="B531">
        <v>22</v>
      </c>
      <c r="C531">
        <v>1</v>
      </c>
      <c r="E531">
        <v>12</v>
      </c>
      <c r="F531">
        <v>0</v>
      </c>
      <c r="G531">
        <v>5</v>
      </c>
      <c r="H531" t="s">
        <v>33</v>
      </c>
      <c r="I531" t="s">
        <v>84</v>
      </c>
      <c r="J531">
        <v>560</v>
      </c>
      <c r="K531">
        <v>9.3000000000000007</v>
      </c>
      <c r="L531">
        <v>5208</v>
      </c>
    </row>
    <row r="532" spans="1:12" x14ac:dyDescent="0.3">
      <c r="A532">
        <v>11</v>
      </c>
      <c r="B532">
        <v>22</v>
      </c>
      <c r="C532">
        <v>2</v>
      </c>
      <c r="D532">
        <v>20</v>
      </c>
      <c r="E532">
        <v>1</v>
      </c>
      <c r="F532">
        <v>0</v>
      </c>
      <c r="G532">
        <v>2</v>
      </c>
      <c r="H532" t="s">
        <v>20</v>
      </c>
      <c r="I532" t="s">
        <v>95</v>
      </c>
      <c r="J532">
        <v>650</v>
      </c>
      <c r="K532">
        <v>9.1</v>
      </c>
      <c r="L532">
        <v>5915</v>
      </c>
    </row>
    <row r="533" spans="1:12" x14ac:dyDescent="0.3">
      <c r="A533">
        <v>9</v>
      </c>
      <c r="B533">
        <v>18</v>
      </c>
      <c r="C533">
        <v>2</v>
      </c>
      <c r="D533">
        <v>12</v>
      </c>
      <c r="E533">
        <v>1</v>
      </c>
      <c r="F533">
        <v>0</v>
      </c>
      <c r="G533">
        <v>2</v>
      </c>
      <c r="H533" t="s">
        <v>24</v>
      </c>
      <c r="I533" t="s">
        <v>73</v>
      </c>
      <c r="J533">
        <v>460</v>
      </c>
      <c r="K533">
        <v>7.9</v>
      </c>
      <c r="L533">
        <v>3634</v>
      </c>
    </row>
    <row r="534" spans="1:12" x14ac:dyDescent="0.3">
      <c r="A534">
        <v>5</v>
      </c>
      <c r="B534">
        <v>17</v>
      </c>
      <c r="C534">
        <v>0</v>
      </c>
      <c r="D534">
        <v>17</v>
      </c>
      <c r="E534">
        <v>1</v>
      </c>
      <c r="F534">
        <v>0</v>
      </c>
      <c r="G534">
        <v>1</v>
      </c>
      <c r="H534" t="s">
        <v>20</v>
      </c>
      <c r="I534" t="s">
        <v>111</v>
      </c>
      <c r="J534">
        <v>458</v>
      </c>
      <c r="K534">
        <v>9.1</v>
      </c>
      <c r="L534">
        <v>4167.8</v>
      </c>
    </row>
    <row r="535" spans="1:12" x14ac:dyDescent="0.3">
      <c r="A535">
        <v>6</v>
      </c>
      <c r="B535">
        <v>21</v>
      </c>
      <c r="C535">
        <v>2</v>
      </c>
      <c r="D535">
        <v>3</v>
      </c>
      <c r="E535">
        <v>1</v>
      </c>
      <c r="F535">
        <v>0</v>
      </c>
      <c r="G535">
        <v>11</v>
      </c>
      <c r="H535" t="s">
        <v>24</v>
      </c>
      <c r="I535" t="s">
        <v>77</v>
      </c>
      <c r="J535">
        <v>487</v>
      </c>
      <c r="K535">
        <v>7.9</v>
      </c>
      <c r="L535" t="s">
        <v>278</v>
      </c>
    </row>
    <row r="536" spans="1:12" x14ac:dyDescent="0.3">
      <c r="A536">
        <v>18</v>
      </c>
      <c r="B536">
        <v>22</v>
      </c>
      <c r="C536">
        <v>2</v>
      </c>
      <c r="D536">
        <v>7</v>
      </c>
      <c r="E536">
        <v>1</v>
      </c>
      <c r="F536">
        <v>0</v>
      </c>
      <c r="G536">
        <v>4</v>
      </c>
      <c r="H536" t="s">
        <v>26</v>
      </c>
      <c r="I536" t="s">
        <v>84</v>
      </c>
      <c r="J536">
        <v>491</v>
      </c>
      <c r="K536">
        <v>8.5</v>
      </c>
      <c r="L536">
        <v>4173.5</v>
      </c>
    </row>
    <row r="537" spans="1:12" x14ac:dyDescent="0.3">
      <c r="A537">
        <v>22</v>
      </c>
      <c r="B537">
        <v>22</v>
      </c>
      <c r="C537">
        <v>3</v>
      </c>
      <c r="D537">
        <v>4</v>
      </c>
      <c r="E537">
        <v>1</v>
      </c>
      <c r="F537">
        <v>0</v>
      </c>
      <c r="G537">
        <v>10</v>
      </c>
      <c r="H537" t="s">
        <v>22</v>
      </c>
      <c r="I537" t="s">
        <v>96</v>
      </c>
      <c r="J537">
        <v>503</v>
      </c>
      <c r="K537">
        <v>7.8</v>
      </c>
      <c r="L537">
        <v>3923.4</v>
      </c>
    </row>
    <row r="538" spans="1:12" x14ac:dyDescent="0.3">
      <c r="A538">
        <v>21</v>
      </c>
      <c r="B538">
        <v>22</v>
      </c>
      <c r="C538">
        <v>2</v>
      </c>
      <c r="D538">
        <v>14</v>
      </c>
      <c r="E538">
        <v>12</v>
      </c>
      <c r="F538">
        <v>0</v>
      </c>
      <c r="G538">
        <v>4</v>
      </c>
      <c r="H538" t="s">
        <v>23</v>
      </c>
      <c r="I538" t="s">
        <v>90</v>
      </c>
      <c r="J538">
        <v>564</v>
      </c>
      <c r="K538">
        <v>8.4</v>
      </c>
      <c r="L538">
        <v>4737.6000000000004</v>
      </c>
    </row>
    <row r="539" spans="1:12" x14ac:dyDescent="0.3">
      <c r="A539">
        <v>18</v>
      </c>
      <c r="B539">
        <v>23</v>
      </c>
      <c r="C539">
        <v>1</v>
      </c>
      <c r="D539">
        <v>9</v>
      </c>
      <c r="E539">
        <v>1</v>
      </c>
      <c r="F539">
        <v>0</v>
      </c>
      <c r="G539">
        <v>7</v>
      </c>
      <c r="H539" t="s">
        <v>36</v>
      </c>
      <c r="I539" t="s">
        <v>87</v>
      </c>
      <c r="J539">
        <v>562</v>
      </c>
      <c r="K539">
        <v>8.8000000000000007</v>
      </c>
      <c r="L539">
        <v>4945.6000000000004</v>
      </c>
    </row>
    <row r="540" spans="1:12" x14ac:dyDescent="0.3">
      <c r="A540">
        <v>11</v>
      </c>
      <c r="B540">
        <v>23</v>
      </c>
      <c r="C540">
        <v>1</v>
      </c>
      <c r="D540">
        <v>6</v>
      </c>
      <c r="E540">
        <v>1</v>
      </c>
      <c r="F540">
        <v>0</v>
      </c>
      <c r="G540">
        <v>8</v>
      </c>
      <c r="H540" t="s">
        <v>24</v>
      </c>
      <c r="I540" t="s">
        <v>85</v>
      </c>
      <c r="J540">
        <v>459</v>
      </c>
      <c r="K540">
        <v>7.9</v>
      </c>
      <c r="L540">
        <v>3626.1</v>
      </c>
    </row>
    <row r="541" spans="1:12" x14ac:dyDescent="0.3">
      <c r="A541">
        <v>17</v>
      </c>
      <c r="B541">
        <v>22</v>
      </c>
      <c r="C541">
        <v>1</v>
      </c>
      <c r="D541">
        <v>17</v>
      </c>
      <c r="E541">
        <v>1</v>
      </c>
      <c r="F541">
        <v>0</v>
      </c>
      <c r="G541">
        <v>9</v>
      </c>
      <c r="I541" t="s">
        <v>85</v>
      </c>
      <c r="J541">
        <v>525</v>
      </c>
      <c r="K541" t="s">
        <v>242</v>
      </c>
      <c r="L541">
        <v>4567.5</v>
      </c>
    </row>
    <row r="542" spans="1:12" x14ac:dyDescent="0.3">
      <c r="A542">
        <v>10</v>
      </c>
      <c r="B542">
        <v>23</v>
      </c>
      <c r="C542">
        <v>2</v>
      </c>
      <c r="D542">
        <v>22</v>
      </c>
      <c r="E542">
        <v>1</v>
      </c>
      <c r="F542">
        <v>0</v>
      </c>
      <c r="G542">
        <v>8</v>
      </c>
      <c r="H542" t="s">
        <v>24</v>
      </c>
      <c r="I542" t="s">
        <v>83</v>
      </c>
      <c r="J542">
        <v>631</v>
      </c>
      <c r="K542">
        <v>7.9</v>
      </c>
      <c r="L542" t="s">
        <v>279</v>
      </c>
    </row>
    <row r="543" spans="1:12" x14ac:dyDescent="0.3">
      <c r="A543">
        <v>8</v>
      </c>
      <c r="B543">
        <v>23</v>
      </c>
      <c r="C543">
        <v>0</v>
      </c>
      <c r="D543">
        <v>5</v>
      </c>
      <c r="E543">
        <v>1</v>
      </c>
      <c r="F543">
        <v>0</v>
      </c>
      <c r="G543">
        <v>12</v>
      </c>
      <c r="H543" t="s">
        <v>15</v>
      </c>
      <c r="I543" t="s">
        <v>76</v>
      </c>
      <c r="K543">
        <v>8.3000000000000007</v>
      </c>
      <c r="L543">
        <v>2216.1</v>
      </c>
    </row>
    <row r="544" spans="1:12" x14ac:dyDescent="0.3">
      <c r="A544">
        <v>12</v>
      </c>
      <c r="B544">
        <v>22</v>
      </c>
      <c r="C544">
        <v>1</v>
      </c>
      <c r="D544">
        <v>18</v>
      </c>
      <c r="E544">
        <v>1</v>
      </c>
      <c r="G544">
        <v>2</v>
      </c>
      <c r="H544" t="s">
        <v>30</v>
      </c>
      <c r="I544" t="s">
        <v>90</v>
      </c>
      <c r="J544">
        <v>591</v>
      </c>
      <c r="K544">
        <v>9.1999999999999993</v>
      </c>
    </row>
    <row r="545" spans="1:12" x14ac:dyDescent="0.3">
      <c r="A545">
        <v>13</v>
      </c>
      <c r="B545">
        <v>22</v>
      </c>
      <c r="C545">
        <v>1</v>
      </c>
      <c r="D545">
        <v>3</v>
      </c>
      <c r="F545">
        <v>0</v>
      </c>
      <c r="G545">
        <v>8</v>
      </c>
      <c r="H545" t="s">
        <v>36</v>
      </c>
      <c r="I545" t="s">
        <v>71</v>
      </c>
      <c r="J545" t="s">
        <v>143</v>
      </c>
      <c r="K545">
        <v>8.8000000000000007</v>
      </c>
      <c r="L545">
        <v>3696</v>
      </c>
    </row>
    <row r="546" spans="1:12" x14ac:dyDescent="0.3">
      <c r="A546">
        <v>18</v>
      </c>
      <c r="B546">
        <v>23</v>
      </c>
      <c r="C546">
        <v>2</v>
      </c>
      <c r="D546">
        <v>13</v>
      </c>
      <c r="E546">
        <v>1</v>
      </c>
      <c r="F546">
        <v>0</v>
      </c>
      <c r="G546">
        <v>1</v>
      </c>
      <c r="H546" t="s">
        <v>21</v>
      </c>
      <c r="I546" t="s">
        <v>123</v>
      </c>
      <c r="J546">
        <v>661</v>
      </c>
      <c r="K546">
        <v>8.6999999999999993</v>
      </c>
      <c r="L546">
        <v>5750.7</v>
      </c>
    </row>
    <row r="547" spans="1:12" x14ac:dyDescent="0.3">
      <c r="B547">
        <v>22</v>
      </c>
      <c r="C547">
        <v>3</v>
      </c>
      <c r="D547">
        <v>19</v>
      </c>
      <c r="E547">
        <v>1</v>
      </c>
      <c r="F547">
        <v>0</v>
      </c>
      <c r="G547">
        <v>9</v>
      </c>
      <c r="H547" t="s">
        <v>58</v>
      </c>
      <c r="I547" t="s">
        <v>75</v>
      </c>
      <c r="J547">
        <v>701</v>
      </c>
      <c r="K547">
        <v>8.4</v>
      </c>
      <c r="L547" t="s">
        <v>280</v>
      </c>
    </row>
    <row r="548" spans="1:12" x14ac:dyDescent="0.3">
      <c r="A548">
        <v>10</v>
      </c>
      <c r="B548">
        <v>23</v>
      </c>
      <c r="C548">
        <v>2</v>
      </c>
      <c r="D548">
        <v>11</v>
      </c>
      <c r="E548">
        <v>1</v>
      </c>
      <c r="F548">
        <v>0</v>
      </c>
      <c r="G548">
        <v>4</v>
      </c>
      <c r="H548" t="s">
        <v>18</v>
      </c>
      <c r="I548" t="s">
        <v>74</v>
      </c>
      <c r="J548">
        <v>404</v>
      </c>
      <c r="K548">
        <v>7.7</v>
      </c>
      <c r="L548">
        <v>3110.8</v>
      </c>
    </row>
    <row r="549" spans="1:12" x14ac:dyDescent="0.3">
      <c r="A549">
        <v>19</v>
      </c>
      <c r="B549">
        <v>22</v>
      </c>
      <c r="C549">
        <v>2</v>
      </c>
      <c r="D549">
        <v>3</v>
      </c>
      <c r="E549">
        <v>1</v>
      </c>
      <c r="F549">
        <v>0</v>
      </c>
      <c r="G549">
        <v>9</v>
      </c>
      <c r="H549" t="s">
        <v>24</v>
      </c>
      <c r="I549" t="s">
        <v>95</v>
      </c>
      <c r="J549">
        <v>589</v>
      </c>
      <c r="K549">
        <v>7.9</v>
      </c>
      <c r="L549">
        <v>4653.1000000000004</v>
      </c>
    </row>
    <row r="550" spans="1:12" x14ac:dyDescent="0.3">
      <c r="A550">
        <v>10</v>
      </c>
      <c r="B550">
        <v>22</v>
      </c>
      <c r="C550">
        <v>3</v>
      </c>
      <c r="D550">
        <v>8</v>
      </c>
      <c r="E550">
        <v>1</v>
      </c>
      <c r="F550">
        <v>0</v>
      </c>
      <c r="G550">
        <v>4</v>
      </c>
      <c r="H550" t="s">
        <v>36</v>
      </c>
      <c r="I550" t="s">
        <v>83</v>
      </c>
      <c r="J550">
        <v>352</v>
      </c>
      <c r="K550">
        <v>8.8000000000000007</v>
      </c>
      <c r="L550">
        <v>3097.6</v>
      </c>
    </row>
    <row r="551" spans="1:12" x14ac:dyDescent="0.3">
      <c r="A551">
        <v>17</v>
      </c>
      <c r="B551">
        <v>22</v>
      </c>
      <c r="C551">
        <v>2</v>
      </c>
      <c r="D551">
        <v>14</v>
      </c>
      <c r="E551">
        <v>1</v>
      </c>
      <c r="F551">
        <v>0</v>
      </c>
      <c r="G551">
        <v>12</v>
      </c>
      <c r="H551" t="s">
        <v>35</v>
      </c>
      <c r="I551" t="s">
        <v>70</v>
      </c>
      <c r="J551">
        <v>685</v>
      </c>
      <c r="K551">
        <v>8.1999999999999993</v>
      </c>
      <c r="L551">
        <v>5616.99999999999</v>
      </c>
    </row>
    <row r="552" spans="1:12" x14ac:dyDescent="0.3">
      <c r="A552">
        <v>22</v>
      </c>
      <c r="B552">
        <v>23</v>
      </c>
      <c r="C552">
        <v>0</v>
      </c>
      <c r="D552">
        <v>19</v>
      </c>
      <c r="E552">
        <v>1</v>
      </c>
      <c r="F552">
        <v>0</v>
      </c>
      <c r="G552">
        <v>8</v>
      </c>
      <c r="H552" t="s">
        <v>26</v>
      </c>
      <c r="I552" t="s">
        <v>76</v>
      </c>
      <c r="J552">
        <v>601</v>
      </c>
      <c r="K552">
        <v>8.5</v>
      </c>
      <c r="L552" t="s">
        <v>281</v>
      </c>
    </row>
    <row r="553" spans="1:12" x14ac:dyDescent="0.3">
      <c r="A553">
        <v>13</v>
      </c>
      <c r="B553">
        <v>22</v>
      </c>
      <c r="C553">
        <v>3</v>
      </c>
      <c r="D553">
        <v>8</v>
      </c>
      <c r="E553">
        <v>1</v>
      </c>
      <c r="F553">
        <v>0</v>
      </c>
      <c r="G553">
        <v>11</v>
      </c>
      <c r="H553" t="s">
        <v>26</v>
      </c>
      <c r="I553" t="s">
        <v>77</v>
      </c>
      <c r="J553">
        <v>569</v>
      </c>
      <c r="K553">
        <v>8.5</v>
      </c>
      <c r="L553">
        <v>4836.5</v>
      </c>
    </row>
    <row r="554" spans="1:12" x14ac:dyDescent="0.3">
      <c r="A554">
        <v>19</v>
      </c>
      <c r="B554">
        <v>22</v>
      </c>
      <c r="C554">
        <v>0</v>
      </c>
      <c r="D554">
        <v>9</v>
      </c>
      <c r="E554">
        <v>1</v>
      </c>
      <c r="F554">
        <v>0</v>
      </c>
      <c r="G554">
        <v>12</v>
      </c>
      <c r="H554" t="s">
        <v>18</v>
      </c>
      <c r="I554" t="s">
        <v>87</v>
      </c>
      <c r="J554">
        <v>444</v>
      </c>
      <c r="K554" t="s">
        <v>246</v>
      </c>
      <c r="L554">
        <v>3418.8</v>
      </c>
    </row>
    <row r="555" spans="1:12" x14ac:dyDescent="0.3">
      <c r="A555">
        <v>14</v>
      </c>
      <c r="B555">
        <v>22</v>
      </c>
      <c r="C555">
        <v>3</v>
      </c>
      <c r="D555">
        <v>8</v>
      </c>
      <c r="E555">
        <v>12</v>
      </c>
      <c r="F555">
        <v>0</v>
      </c>
      <c r="G555">
        <v>7</v>
      </c>
      <c r="H555" t="s">
        <v>57</v>
      </c>
      <c r="I555" t="s">
        <v>74</v>
      </c>
      <c r="J555">
        <v>596</v>
      </c>
      <c r="L555">
        <v>5483.2</v>
      </c>
    </row>
    <row r="556" spans="1:12" x14ac:dyDescent="0.3">
      <c r="A556">
        <v>21</v>
      </c>
      <c r="B556">
        <v>22</v>
      </c>
      <c r="C556">
        <v>2</v>
      </c>
      <c r="D556">
        <v>13</v>
      </c>
      <c r="E556">
        <v>1</v>
      </c>
      <c r="F556">
        <v>0</v>
      </c>
      <c r="G556">
        <v>5</v>
      </c>
      <c r="I556" t="s">
        <v>71</v>
      </c>
      <c r="J556">
        <v>672</v>
      </c>
      <c r="K556">
        <v>7.7</v>
      </c>
      <c r="L556">
        <v>5174.3999999999996</v>
      </c>
    </row>
    <row r="557" spans="1:12" x14ac:dyDescent="0.3">
      <c r="A557">
        <v>22</v>
      </c>
      <c r="B557">
        <v>22</v>
      </c>
      <c r="C557">
        <v>3</v>
      </c>
      <c r="D557">
        <v>14</v>
      </c>
      <c r="E557">
        <v>1</v>
      </c>
      <c r="F557">
        <v>0</v>
      </c>
      <c r="G557">
        <v>3</v>
      </c>
      <c r="H557" t="s">
        <v>35</v>
      </c>
      <c r="I557" t="s">
        <v>72</v>
      </c>
      <c r="J557">
        <v>666</v>
      </c>
      <c r="K557">
        <v>8.1999999999999993</v>
      </c>
      <c r="L557">
        <v>5461.2</v>
      </c>
    </row>
    <row r="558" spans="1:12" x14ac:dyDescent="0.3">
      <c r="A558">
        <v>11</v>
      </c>
      <c r="B558">
        <v>23</v>
      </c>
      <c r="C558">
        <v>2</v>
      </c>
      <c r="D558">
        <v>19</v>
      </c>
      <c r="E558">
        <v>12</v>
      </c>
      <c r="F558">
        <v>0</v>
      </c>
      <c r="G558">
        <v>3</v>
      </c>
      <c r="H558" t="s">
        <v>20</v>
      </c>
      <c r="I558" t="s">
        <v>72</v>
      </c>
      <c r="J558" t="s">
        <v>159</v>
      </c>
      <c r="K558">
        <v>9.1</v>
      </c>
      <c r="L558">
        <v>7452.9</v>
      </c>
    </row>
    <row r="559" spans="1:12" x14ac:dyDescent="0.3">
      <c r="B559">
        <v>17</v>
      </c>
      <c r="C559">
        <v>2</v>
      </c>
      <c r="D559">
        <v>5</v>
      </c>
      <c r="F559">
        <v>0</v>
      </c>
      <c r="G559">
        <v>12</v>
      </c>
      <c r="H559" t="s">
        <v>15</v>
      </c>
      <c r="I559" t="s">
        <v>74</v>
      </c>
      <c r="J559">
        <v>389</v>
      </c>
      <c r="K559">
        <v>8.3000000000000007</v>
      </c>
    </row>
    <row r="560" spans="1:12" x14ac:dyDescent="0.3">
      <c r="A560">
        <v>22</v>
      </c>
      <c r="B560">
        <v>23</v>
      </c>
      <c r="D560">
        <v>20</v>
      </c>
      <c r="E560">
        <v>1</v>
      </c>
      <c r="F560">
        <v>0</v>
      </c>
      <c r="G560">
        <v>10</v>
      </c>
      <c r="H560" t="s">
        <v>35</v>
      </c>
      <c r="I560" t="s">
        <v>86</v>
      </c>
      <c r="J560">
        <v>673</v>
      </c>
      <c r="K560">
        <v>8.1999999999999993</v>
      </c>
      <c r="L560">
        <v>5518.5999999999904</v>
      </c>
    </row>
    <row r="561" spans="1:12" x14ac:dyDescent="0.3">
      <c r="A561">
        <v>20</v>
      </c>
      <c r="B561">
        <v>23</v>
      </c>
      <c r="C561">
        <v>3</v>
      </c>
      <c r="D561">
        <v>4</v>
      </c>
      <c r="E561">
        <v>1</v>
      </c>
      <c r="F561">
        <v>0</v>
      </c>
      <c r="G561">
        <v>2</v>
      </c>
      <c r="H561" t="s">
        <v>15</v>
      </c>
      <c r="I561" t="s">
        <v>73</v>
      </c>
      <c r="J561" t="s">
        <v>160</v>
      </c>
      <c r="K561">
        <v>8.3000000000000007</v>
      </c>
      <c r="L561">
        <v>4764.2</v>
      </c>
    </row>
    <row r="562" spans="1:12" x14ac:dyDescent="0.3">
      <c r="A562">
        <v>12</v>
      </c>
      <c r="B562">
        <v>22</v>
      </c>
      <c r="C562">
        <v>2</v>
      </c>
      <c r="D562">
        <v>6</v>
      </c>
      <c r="F562">
        <v>0</v>
      </c>
      <c r="G562">
        <v>6</v>
      </c>
      <c r="H562" t="s">
        <v>23</v>
      </c>
      <c r="I562" t="s">
        <v>79</v>
      </c>
      <c r="J562">
        <v>463</v>
      </c>
      <c r="K562">
        <v>8.4</v>
      </c>
      <c r="L562">
        <v>3889.2</v>
      </c>
    </row>
    <row r="563" spans="1:12" x14ac:dyDescent="0.3">
      <c r="A563">
        <v>14</v>
      </c>
      <c r="B563">
        <v>22</v>
      </c>
      <c r="C563">
        <v>3</v>
      </c>
      <c r="D563">
        <v>20</v>
      </c>
      <c r="E563">
        <v>1</v>
      </c>
      <c r="F563">
        <v>0</v>
      </c>
      <c r="G563">
        <v>5</v>
      </c>
      <c r="H563" t="s">
        <v>32</v>
      </c>
      <c r="I563" t="s">
        <v>124</v>
      </c>
      <c r="J563">
        <v>742</v>
      </c>
      <c r="K563">
        <v>7.6</v>
      </c>
      <c r="L563">
        <v>5639.2</v>
      </c>
    </row>
    <row r="564" spans="1:12" x14ac:dyDescent="0.3">
      <c r="A564">
        <v>13</v>
      </c>
      <c r="B564">
        <v>22</v>
      </c>
      <c r="C564">
        <v>2</v>
      </c>
      <c r="D564">
        <v>22</v>
      </c>
      <c r="E564">
        <v>1</v>
      </c>
      <c r="F564">
        <v>0</v>
      </c>
      <c r="G564">
        <v>3</v>
      </c>
      <c r="H564" t="s">
        <v>26</v>
      </c>
      <c r="I564" t="s">
        <v>85</v>
      </c>
      <c r="K564">
        <v>8.5</v>
      </c>
    </row>
    <row r="565" spans="1:12" x14ac:dyDescent="0.3">
      <c r="B565">
        <v>22</v>
      </c>
      <c r="C565">
        <v>2</v>
      </c>
      <c r="D565">
        <v>14</v>
      </c>
      <c r="E565">
        <v>12</v>
      </c>
      <c r="F565">
        <v>0</v>
      </c>
      <c r="G565">
        <v>8</v>
      </c>
      <c r="H565" t="s">
        <v>30</v>
      </c>
      <c r="I565" t="s">
        <v>84</v>
      </c>
      <c r="J565">
        <v>577</v>
      </c>
      <c r="K565">
        <v>9.1999999999999993</v>
      </c>
      <c r="L565">
        <v>5308.4</v>
      </c>
    </row>
    <row r="566" spans="1:12" x14ac:dyDescent="0.3">
      <c r="A566">
        <v>18</v>
      </c>
      <c r="B566">
        <v>22</v>
      </c>
      <c r="C566">
        <v>2</v>
      </c>
      <c r="D566">
        <v>20</v>
      </c>
      <c r="E566">
        <v>1</v>
      </c>
      <c r="F566">
        <v>0</v>
      </c>
      <c r="G566">
        <v>5</v>
      </c>
      <c r="H566" t="s">
        <v>21</v>
      </c>
      <c r="I566" t="s">
        <v>74</v>
      </c>
      <c r="J566" t="s">
        <v>161</v>
      </c>
      <c r="K566" t="s">
        <v>242</v>
      </c>
      <c r="L566" t="s">
        <v>282</v>
      </c>
    </row>
    <row r="567" spans="1:12" x14ac:dyDescent="0.3">
      <c r="A567">
        <v>11</v>
      </c>
      <c r="B567">
        <v>22</v>
      </c>
      <c r="C567">
        <v>0</v>
      </c>
      <c r="D567">
        <v>4</v>
      </c>
      <c r="E567">
        <v>12</v>
      </c>
      <c r="F567">
        <v>0</v>
      </c>
      <c r="G567">
        <v>1</v>
      </c>
      <c r="H567" t="s">
        <v>16</v>
      </c>
      <c r="I567" t="s">
        <v>89</v>
      </c>
      <c r="J567">
        <v>596</v>
      </c>
      <c r="K567">
        <v>8.9</v>
      </c>
    </row>
    <row r="568" spans="1:12" x14ac:dyDescent="0.3">
      <c r="A568">
        <v>10</v>
      </c>
      <c r="B568">
        <v>19</v>
      </c>
      <c r="C568">
        <v>1</v>
      </c>
      <c r="D568">
        <v>16</v>
      </c>
      <c r="E568">
        <v>1</v>
      </c>
      <c r="F568">
        <v>0</v>
      </c>
      <c r="G568">
        <v>11</v>
      </c>
      <c r="H568" t="s">
        <v>25</v>
      </c>
      <c r="I568" t="s">
        <v>75</v>
      </c>
      <c r="J568">
        <v>397</v>
      </c>
      <c r="K568">
        <v>8.1</v>
      </c>
      <c r="L568" t="s">
        <v>283</v>
      </c>
    </row>
    <row r="569" spans="1:12" x14ac:dyDescent="0.3">
      <c r="A569">
        <v>16</v>
      </c>
      <c r="B569">
        <v>22</v>
      </c>
      <c r="C569">
        <v>2</v>
      </c>
      <c r="D569">
        <v>9</v>
      </c>
      <c r="E569">
        <v>12</v>
      </c>
      <c r="F569">
        <v>0</v>
      </c>
      <c r="G569">
        <v>11</v>
      </c>
      <c r="H569" t="s">
        <v>26</v>
      </c>
      <c r="I569" t="s">
        <v>95</v>
      </c>
      <c r="K569">
        <v>8.5</v>
      </c>
      <c r="L569">
        <v>4190.5</v>
      </c>
    </row>
    <row r="570" spans="1:12" x14ac:dyDescent="0.3">
      <c r="A570">
        <v>22</v>
      </c>
      <c r="B570">
        <v>22</v>
      </c>
      <c r="C570">
        <v>1</v>
      </c>
      <c r="D570">
        <v>11</v>
      </c>
      <c r="E570">
        <v>1</v>
      </c>
      <c r="F570">
        <v>0</v>
      </c>
      <c r="G570">
        <v>8</v>
      </c>
      <c r="H570" t="s">
        <v>36</v>
      </c>
      <c r="I570" t="s">
        <v>81</v>
      </c>
      <c r="J570">
        <v>486</v>
      </c>
      <c r="K570">
        <v>8.8000000000000007</v>
      </c>
      <c r="L570">
        <v>4276.8</v>
      </c>
    </row>
    <row r="571" spans="1:12" x14ac:dyDescent="0.3">
      <c r="A571">
        <v>7</v>
      </c>
      <c r="B571">
        <v>21</v>
      </c>
      <c r="C571">
        <v>1</v>
      </c>
      <c r="D571">
        <v>12</v>
      </c>
      <c r="E571">
        <v>1</v>
      </c>
      <c r="F571">
        <v>0</v>
      </c>
      <c r="G571">
        <v>10</v>
      </c>
      <c r="H571" t="s">
        <v>22</v>
      </c>
      <c r="J571" t="s">
        <v>162</v>
      </c>
      <c r="K571">
        <v>7.8</v>
      </c>
      <c r="L571">
        <v>2425.7999999999902</v>
      </c>
    </row>
    <row r="572" spans="1:12" x14ac:dyDescent="0.3">
      <c r="A572">
        <v>10</v>
      </c>
      <c r="B572">
        <v>22</v>
      </c>
      <c r="C572">
        <v>2</v>
      </c>
      <c r="D572">
        <v>21</v>
      </c>
      <c r="E572">
        <v>7</v>
      </c>
      <c r="F572">
        <v>0</v>
      </c>
      <c r="G572">
        <v>3</v>
      </c>
      <c r="H572" t="s">
        <v>24</v>
      </c>
      <c r="I572" t="s">
        <v>83</v>
      </c>
      <c r="J572">
        <v>734</v>
      </c>
      <c r="K572">
        <v>7.9</v>
      </c>
      <c r="L572">
        <v>5798.6</v>
      </c>
    </row>
    <row r="573" spans="1:12" x14ac:dyDescent="0.3">
      <c r="A573">
        <v>23</v>
      </c>
      <c r="B573">
        <v>22</v>
      </c>
      <c r="C573">
        <v>2</v>
      </c>
      <c r="D573">
        <v>15</v>
      </c>
      <c r="E573">
        <v>1</v>
      </c>
      <c r="F573">
        <v>0</v>
      </c>
      <c r="G573">
        <v>2</v>
      </c>
      <c r="H573" t="s">
        <v>42</v>
      </c>
      <c r="I573" t="s">
        <v>90</v>
      </c>
      <c r="J573">
        <v>669</v>
      </c>
      <c r="K573">
        <v>7.8</v>
      </c>
      <c r="L573">
        <v>5218.2</v>
      </c>
    </row>
    <row r="574" spans="1:12" x14ac:dyDescent="0.3">
      <c r="A574">
        <v>5</v>
      </c>
      <c r="B574">
        <v>17</v>
      </c>
      <c r="C574">
        <v>2</v>
      </c>
      <c r="D574">
        <v>4</v>
      </c>
      <c r="E574">
        <v>1</v>
      </c>
      <c r="F574">
        <v>0</v>
      </c>
      <c r="G574">
        <v>5</v>
      </c>
      <c r="J574">
        <v>376</v>
      </c>
      <c r="K574">
        <v>7.6</v>
      </c>
      <c r="L574" t="s">
        <v>265</v>
      </c>
    </row>
    <row r="575" spans="1:12" x14ac:dyDescent="0.3">
      <c r="A575">
        <v>20</v>
      </c>
      <c r="B575">
        <v>23</v>
      </c>
      <c r="C575">
        <v>2</v>
      </c>
      <c r="D575">
        <v>12</v>
      </c>
      <c r="E575">
        <v>1</v>
      </c>
      <c r="F575">
        <v>0</v>
      </c>
      <c r="G575">
        <v>8</v>
      </c>
      <c r="H575" t="s">
        <v>35</v>
      </c>
      <c r="I575" t="s">
        <v>75</v>
      </c>
      <c r="J575">
        <v>483</v>
      </c>
      <c r="K575">
        <v>8.1999999999999993</v>
      </c>
      <c r="L575">
        <v>3960.5999999999899</v>
      </c>
    </row>
    <row r="576" spans="1:12" x14ac:dyDescent="0.3">
      <c r="A576">
        <v>21</v>
      </c>
      <c r="B576">
        <v>22</v>
      </c>
      <c r="C576">
        <v>1</v>
      </c>
      <c r="D576">
        <v>3</v>
      </c>
      <c r="E576">
        <v>1</v>
      </c>
      <c r="F576">
        <v>0</v>
      </c>
      <c r="G576">
        <v>3</v>
      </c>
      <c r="H576" t="s">
        <v>30</v>
      </c>
      <c r="I576" t="s">
        <v>97</v>
      </c>
      <c r="J576">
        <v>405</v>
      </c>
      <c r="K576">
        <v>9.1999999999999993</v>
      </c>
      <c r="L576">
        <v>3725.99999999999</v>
      </c>
    </row>
    <row r="577" spans="1:12" x14ac:dyDescent="0.3">
      <c r="A577">
        <v>8</v>
      </c>
      <c r="B577">
        <v>22</v>
      </c>
      <c r="C577">
        <v>1</v>
      </c>
      <c r="D577">
        <v>17</v>
      </c>
      <c r="E577">
        <v>1</v>
      </c>
      <c r="F577">
        <v>0</v>
      </c>
      <c r="G577">
        <v>2</v>
      </c>
      <c r="H577" t="s">
        <v>24</v>
      </c>
      <c r="I577" t="s">
        <v>125</v>
      </c>
      <c r="J577">
        <v>371</v>
      </c>
      <c r="K577">
        <v>7.9</v>
      </c>
      <c r="L577">
        <v>2930.9</v>
      </c>
    </row>
    <row r="578" spans="1:12" x14ac:dyDescent="0.3">
      <c r="A578">
        <v>8</v>
      </c>
      <c r="B578">
        <v>21</v>
      </c>
      <c r="C578">
        <v>1</v>
      </c>
      <c r="D578">
        <v>15</v>
      </c>
      <c r="E578">
        <v>1</v>
      </c>
      <c r="F578">
        <v>0</v>
      </c>
      <c r="G578">
        <v>4</v>
      </c>
      <c r="H578" t="s">
        <v>16</v>
      </c>
      <c r="I578" t="s">
        <v>88</v>
      </c>
      <c r="J578">
        <v>571</v>
      </c>
      <c r="K578">
        <v>8.9</v>
      </c>
      <c r="L578">
        <v>5081.8999999999996</v>
      </c>
    </row>
    <row r="579" spans="1:12" x14ac:dyDescent="0.3">
      <c r="A579">
        <v>19</v>
      </c>
      <c r="B579">
        <v>23</v>
      </c>
      <c r="C579">
        <v>0</v>
      </c>
      <c r="D579">
        <v>19</v>
      </c>
      <c r="E579">
        <v>1</v>
      </c>
      <c r="F579">
        <v>0</v>
      </c>
      <c r="G579">
        <v>4</v>
      </c>
      <c r="H579" t="s">
        <v>18</v>
      </c>
      <c r="I579" t="s">
        <v>70</v>
      </c>
      <c r="J579">
        <v>614</v>
      </c>
      <c r="L579">
        <v>4727.8</v>
      </c>
    </row>
    <row r="580" spans="1:12" x14ac:dyDescent="0.3">
      <c r="A580">
        <v>23</v>
      </c>
      <c r="B580">
        <v>22</v>
      </c>
      <c r="C580">
        <v>1</v>
      </c>
      <c r="D580">
        <v>16</v>
      </c>
      <c r="E580">
        <v>1</v>
      </c>
      <c r="F580">
        <v>0</v>
      </c>
      <c r="G580">
        <v>9</v>
      </c>
      <c r="H580" t="s">
        <v>23</v>
      </c>
      <c r="I580" t="s">
        <v>109</v>
      </c>
      <c r="J580">
        <v>610</v>
      </c>
      <c r="K580">
        <v>8.4</v>
      </c>
      <c r="L580">
        <v>5124</v>
      </c>
    </row>
    <row r="581" spans="1:12" x14ac:dyDescent="0.3">
      <c r="A581">
        <v>16</v>
      </c>
      <c r="B581">
        <v>22</v>
      </c>
      <c r="C581">
        <v>3</v>
      </c>
      <c r="D581">
        <v>4</v>
      </c>
      <c r="E581">
        <v>1</v>
      </c>
      <c r="F581">
        <v>0</v>
      </c>
      <c r="G581">
        <v>3</v>
      </c>
      <c r="H581" t="s">
        <v>46</v>
      </c>
      <c r="I581" t="s">
        <v>70</v>
      </c>
      <c r="J581">
        <v>492</v>
      </c>
      <c r="K581">
        <v>8.4</v>
      </c>
      <c r="L581">
        <v>4132.8</v>
      </c>
    </row>
    <row r="582" spans="1:12" x14ac:dyDescent="0.3">
      <c r="A582">
        <v>22</v>
      </c>
      <c r="B582">
        <v>22</v>
      </c>
      <c r="C582">
        <v>1</v>
      </c>
      <c r="D582">
        <v>4</v>
      </c>
      <c r="E582">
        <v>1</v>
      </c>
      <c r="F582">
        <v>0</v>
      </c>
      <c r="G582">
        <v>12</v>
      </c>
      <c r="H582" t="s">
        <v>18</v>
      </c>
      <c r="I582" t="s">
        <v>84</v>
      </c>
      <c r="J582">
        <v>497</v>
      </c>
      <c r="K582">
        <v>7.7</v>
      </c>
      <c r="L582">
        <v>3826.9</v>
      </c>
    </row>
    <row r="583" spans="1:12" x14ac:dyDescent="0.3">
      <c r="A583">
        <v>9</v>
      </c>
      <c r="B583">
        <v>20</v>
      </c>
      <c r="C583">
        <v>3</v>
      </c>
      <c r="D583">
        <v>16</v>
      </c>
      <c r="E583">
        <v>1</v>
      </c>
      <c r="F583">
        <v>0</v>
      </c>
      <c r="G583">
        <v>11</v>
      </c>
      <c r="H583" t="s">
        <v>22</v>
      </c>
      <c r="I583" t="s">
        <v>107</v>
      </c>
      <c r="J583">
        <v>616</v>
      </c>
      <c r="K583">
        <v>7.8</v>
      </c>
    </row>
    <row r="584" spans="1:12" x14ac:dyDescent="0.3">
      <c r="A584">
        <v>22</v>
      </c>
      <c r="B584">
        <v>23</v>
      </c>
      <c r="C584">
        <v>0</v>
      </c>
      <c r="D584">
        <v>18</v>
      </c>
      <c r="E584">
        <v>1</v>
      </c>
      <c r="F584">
        <v>0</v>
      </c>
      <c r="G584">
        <v>6</v>
      </c>
      <c r="H584" t="s">
        <v>20</v>
      </c>
      <c r="I584" t="s">
        <v>73</v>
      </c>
      <c r="J584">
        <v>581</v>
      </c>
      <c r="L584">
        <v>5287.0999999999904</v>
      </c>
    </row>
    <row r="585" spans="1:12" x14ac:dyDescent="0.3">
      <c r="A585">
        <v>21</v>
      </c>
      <c r="B585">
        <v>23</v>
      </c>
      <c r="C585">
        <v>3</v>
      </c>
      <c r="E585">
        <v>1</v>
      </c>
      <c r="F585">
        <v>0</v>
      </c>
      <c r="G585">
        <v>12</v>
      </c>
      <c r="H585" t="s">
        <v>16</v>
      </c>
      <c r="I585" t="s">
        <v>105</v>
      </c>
      <c r="J585">
        <v>594</v>
      </c>
      <c r="K585">
        <v>8.9</v>
      </c>
      <c r="L585">
        <v>5286.6</v>
      </c>
    </row>
    <row r="586" spans="1:12" x14ac:dyDescent="0.3">
      <c r="A586">
        <v>12</v>
      </c>
      <c r="B586">
        <v>22</v>
      </c>
      <c r="C586">
        <v>3</v>
      </c>
      <c r="D586">
        <v>15</v>
      </c>
      <c r="E586">
        <v>12</v>
      </c>
      <c r="F586">
        <v>0</v>
      </c>
      <c r="G586">
        <v>10</v>
      </c>
      <c r="H586" t="s">
        <v>16</v>
      </c>
      <c r="I586" t="s">
        <v>91</v>
      </c>
      <c r="J586">
        <v>747</v>
      </c>
      <c r="K586">
        <v>8.9</v>
      </c>
      <c r="L586">
        <v>6648.3</v>
      </c>
    </row>
    <row r="587" spans="1:12" x14ac:dyDescent="0.3">
      <c r="A587">
        <v>9</v>
      </c>
      <c r="B587">
        <v>22</v>
      </c>
      <c r="C587">
        <v>3</v>
      </c>
      <c r="D587">
        <v>5</v>
      </c>
      <c r="E587">
        <v>1</v>
      </c>
      <c r="F587">
        <v>0</v>
      </c>
      <c r="G587">
        <v>1</v>
      </c>
      <c r="I587" t="s">
        <v>97</v>
      </c>
      <c r="J587">
        <v>401</v>
      </c>
      <c r="K587">
        <v>8.1</v>
      </c>
      <c r="L587">
        <v>3248.1</v>
      </c>
    </row>
    <row r="588" spans="1:12" x14ac:dyDescent="0.3">
      <c r="A588">
        <v>19</v>
      </c>
      <c r="B588">
        <v>23</v>
      </c>
      <c r="C588">
        <v>1</v>
      </c>
      <c r="D588">
        <v>8</v>
      </c>
      <c r="E588">
        <v>1</v>
      </c>
      <c r="F588">
        <v>0</v>
      </c>
      <c r="G588">
        <v>10</v>
      </c>
      <c r="H588" t="s">
        <v>30</v>
      </c>
      <c r="I588" t="s">
        <v>96</v>
      </c>
      <c r="J588">
        <v>555</v>
      </c>
      <c r="K588">
        <v>9.1999999999999993</v>
      </c>
      <c r="L588">
        <v>5106</v>
      </c>
    </row>
    <row r="589" spans="1:12" x14ac:dyDescent="0.3">
      <c r="A589">
        <v>19</v>
      </c>
      <c r="B589">
        <v>22</v>
      </c>
      <c r="C589">
        <v>3</v>
      </c>
      <c r="D589">
        <v>7</v>
      </c>
      <c r="F589">
        <v>0</v>
      </c>
      <c r="G589">
        <v>4</v>
      </c>
      <c r="H589" t="s">
        <v>16</v>
      </c>
      <c r="I589" t="s">
        <v>109</v>
      </c>
      <c r="J589">
        <v>384</v>
      </c>
      <c r="K589">
        <v>8.9</v>
      </c>
      <c r="L589">
        <v>3417.6</v>
      </c>
    </row>
    <row r="590" spans="1:12" x14ac:dyDescent="0.3">
      <c r="A590">
        <v>11</v>
      </c>
      <c r="B590">
        <v>23</v>
      </c>
      <c r="C590">
        <v>0</v>
      </c>
      <c r="D590">
        <v>15</v>
      </c>
      <c r="E590">
        <v>1</v>
      </c>
      <c r="F590">
        <v>0</v>
      </c>
      <c r="G590">
        <v>2</v>
      </c>
      <c r="H590" t="s">
        <v>38</v>
      </c>
      <c r="I590" t="s">
        <v>89</v>
      </c>
      <c r="J590">
        <v>352</v>
      </c>
      <c r="K590">
        <v>7.4</v>
      </c>
      <c r="L590">
        <v>2604.8000000000002</v>
      </c>
    </row>
    <row r="591" spans="1:12" x14ac:dyDescent="0.3">
      <c r="A591">
        <v>14</v>
      </c>
      <c r="B591">
        <v>23</v>
      </c>
      <c r="C591">
        <v>1</v>
      </c>
      <c r="D591">
        <v>6</v>
      </c>
      <c r="F591">
        <v>0</v>
      </c>
      <c r="G591">
        <v>12</v>
      </c>
      <c r="H591" t="s">
        <v>15</v>
      </c>
      <c r="I591" t="s">
        <v>102</v>
      </c>
      <c r="J591">
        <v>619</v>
      </c>
      <c r="K591">
        <v>8.3000000000000007</v>
      </c>
      <c r="L591">
        <v>5137.7</v>
      </c>
    </row>
    <row r="592" spans="1:12" x14ac:dyDescent="0.3">
      <c r="A592">
        <v>9</v>
      </c>
      <c r="B592">
        <v>20</v>
      </c>
      <c r="C592">
        <v>1</v>
      </c>
      <c r="D592">
        <v>4</v>
      </c>
      <c r="E592">
        <v>7</v>
      </c>
      <c r="F592">
        <v>0</v>
      </c>
      <c r="G592">
        <v>1</v>
      </c>
      <c r="H592" t="s">
        <v>25</v>
      </c>
      <c r="I592" t="s">
        <v>91</v>
      </c>
      <c r="J592">
        <v>398</v>
      </c>
      <c r="L592">
        <v>3223.7999999999902</v>
      </c>
    </row>
    <row r="593" spans="1:12" x14ac:dyDescent="0.3">
      <c r="A593">
        <v>22</v>
      </c>
      <c r="B593">
        <v>23</v>
      </c>
      <c r="C593">
        <v>3</v>
      </c>
      <c r="D593">
        <v>19</v>
      </c>
      <c r="E593">
        <v>1</v>
      </c>
      <c r="F593">
        <v>0</v>
      </c>
      <c r="G593">
        <v>5</v>
      </c>
      <c r="H593" t="s">
        <v>24</v>
      </c>
      <c r="I593" t="s">
        <v>87</v>
      </c>
      <c r="J593">
        <v>733</v>
      </c>
      <c r="K593">
        <v>7.9</v>
      </c>
      <c r="L593">
        <v>5790.7</v>
      </c>
    </row>
    <row r="594" spans="1:12" x14ac:dyDescent="0.3">
      <c r="A594">
        <v>21</v>
      </c>
      <c r="B594">
        <v>22</v>
      </c>
      <c r="C594">
        <v>2</v>
      </c>
      <c r="D594">
        <v>13</v>
      </c>
      <c r="E594">
        <v>1</v>
      </c>
      <c r="F594">
        <v>0</v>
      </c>
      <c r="G594">
        <v>6</v>
      </c>
      <c r="H594" t="s">
        <v>36</v>
      </c>
      <c r="I594" t="s">
        <v>97</v>
      </c>
      <c r="J594" t="s">
        <v>163</v>
      </c>
      <c r="K594">
        <v>8.8000000000000007</v>
      </c>
      <c r="L594">
        <v>4540.8</v>
      </c>
    </row>
    <row r="595" spans="1:12" x14ac:dyDescent="0.3">
      <c r="A595">
        <v>14</v>
      </c>
      <c r="B595">
        <v>22</v>
      </c>
      <c r="C595">
        <v>2</v>
      </c>
      <c r="D595">
        <v>6</v>
      </c>
      <c r="E595">
        <v>1</v>
      </c>
      <c r="F595">
        <v>0</v>
      </c>
      <c r="G595">
        <v>3</v>
      </c>
      <c r="H595" t="s">
        <v>51</v>
      </c>
      <c r="J595">
        <v>376</v>
      </c>
      <c r="K595">
        <v>8.8000000000000007</v>
      </c>
      <c r="L595">
        <v>3308.8</v>
      </c>
    </row>
    <row r="596" spans="1:12" x14ac:dyDescent="0.3">
      <c r="B596">
        <v>19</v>
      </c>
      <c r="C596">
        <v>1</v>
      </c>
      <c r="D596">
        <v>14</v>
      </c>
      <c r="E596">
        <v>1</v>
      </c>
      <c r="G596">
        <v>5</v>
      </c>
      <c r="H596" t="s">
        <v>22</v>
      </c>
      <c r="I596" t="s">
        <v>111</v>
      </c>
      <c r="J596">
        <v>313</v>
      </c>
      <c r="K596">
        <v>7.8</v>
      </c>
      <c r="L596">
        <v>2441.4</v>
      </c>
    </row>
    <row r="597" spans="1:12" x14ac:dyDescent="0.3">
      <c r="A597">
        <v>8</v>
      </c>
      <c r="B597">
        <v>19</v>
      </c>
      <c r="C597">
        <v>1</v>
      </c>
      <c r="D597">
        <v>9</v>
      </c>
      <c r="E597">
        <v>1</v>
      </c>
      <c r="F597">
        <v>0</v>
      </c>
      <c r="G597">
        <v>11</v>
      </c>
      <c r="H597" t="s">
        <v>15</v>
      </c>
      <c r="I597" t="s">
        <v>89</v>
      </c>
      <c r="J597" t="s">
        <v>164</v>
      </c>
      <c r="K597">
        <v>8.3000000000000007</v>
      </c>
      <c r="L597">
        <v>2971.4</v>
      </c>
    </row>
    <row r="598" spans="1:12" x14ac:dyDescent="0.3">
      <c r="A598">
        <v>5</v>
      </c>
      <c r="B598">
        <v>19</v>
      </c>
      <c r="C598">
        <v>1</v>
      </c>
      <c r="D598">
        <v>6</v>
      </c>
      <c r="F598">
        <v>0</v>
      </c>
      <c r="G598">
        <v>3</v>
      </c>
      <c r="H598" t="s">
        <v>38</v>
      </c>
      <c r="I598" t="s">
        <v>96</v>
      </c>
      <c r="J598">
        <v>403</v>
      </c>
      <c r="K598" t="s">
        <v>251</v>
      </c>
      <c r="L598" t="s">
        <v>284</v>
      </c>
    </row>
    <row r="599" spans="1:12" x14ac:dyDescent="0.3">
      <c r="A599">
        <v>5</v>
      </c>
      <c r="B599">
        <v>17</v>
      </c>
      <c r="C599">
        <v>2</v>
      </c>
      <c r="D599">
        <v>22</v>
      </c>
      <c r="E599">
        <v>1</v>
      </c>
      <c r="F599">
        <v>0</v>
      </c>
      <c r="G599">
        <v>7</v>
      </c>
      <c r="H599" t="s">
        <v>36</v>
      </c>
      <c r="I599" t="s">
        <v>76</v>
      </c>
      <c r="J599">
        <v>574</v>
      </c>
      <c r="K599">
        <v>8.8000000000000007</v>
      </c>
      <c r="L599">
        <v>5051.2</v>
      </c>
    </row>
    <row r="600" spans="1:12" x14ac:dyDescent="0.3">
      <c r="A600">
        <v>6</v>
      </c>
      <c r="B600">
        <v>17</v>
      </c>
      <c r="C600">
        <v>3</v>
      </c>
      <c r="D600">
        <v>15</v>
      </c>
      <c r="E600">
        <v>1</v>
      </c>
      <c r="F600">
        <v>0</v>
      </c>
      <c r="G600">
        <v>10</v>
      </c>
      <c r="H600" t="s">
        <v>55</v>
      </c>
      <c r="I600" t="s">
        <v>106</v>
      </c>
      <c r="J600">
        <v>440</v>
      </c>
      <c r="K600">
        <v>7.8</v>
      </c>
      <c r="L600">
        <v>3432</v>
      </c>
    </row>
    <row r="601" spans="1:12" x14ac:dyDescent="0.3">
      <c r="A601">
        <v>16</v>
      </c>
      <c r="B601">
        <v>22</v>
      </c>
      <c r="C601">
        <v>0</v>
      </c>
      <c r="D601">
        <v>21</v>
      </c>
      <c r="E601">
        <v>12</v>
      </c>
      <c r="F601">
        <v>0</v>
      </c>
      <c r="G601">
        <v>10</v>
      </c>
      <c r="H601" t="s">
        <v>21</v>
      </c>
      <c r="I601" t="s">
        <v>94</v>
      </c>
      <c r="J601">
        <v>589</v>
      </c>
      <c r="K601">
        <v>8.6999999999999993</v>
      </c>
      <c r="L601">
        <v>5124.2999999999902</v>
      </c>
    </row>
    <row r="602" spans="1:12" x14ac:dyDescent="0.3">
      <c r="A602">
        <v>15</v>
      </c>
      <c r="B602">
        <v>23</v>
      </c>
      <c r="C602">
        <v>2</v>
      </c>
      <c r="D602">
        <v>10</v>
      </c>
      <c r="E602">
        <v>1</v>
      </c>
      <c r="F602">
        <v>0</v>
      </c>
      <c r="G602">
        <v>8</v>
      </c>
      <c r="H602" t="s">
        <v>18</v>
      </c>
      <c r="I602" t="s">
        <v>97</v>
      </c>
      <c r="J602">
        <v>414</v>
      </c>
      <c r="K602">
        <v>7.7</v>
      </c>
      <c r="L602">
        <v>3187.8</v>
      </c>
    </row>
    <row r="603" spans="1:12" x14ac:dyDescent="0.3">
      <c r="A603">
        <v>5</v>
      </c>
      <c r="B603">
        <v>22</v>
      </c>
      <c r="C603">
        <v>1</v>
      </c>
      <c r="D603">
        <v>22</v>
      </c>
      <c r="E603">
        <v>7</v>
      </c>
      <c r="F603">
        <v>0</v>
      </c>
      <c r="G603">
        <v>2</v>
      </c>
      <c r="H603" t="s">
        <v>24</v>
      </c>
      <c r="I603" t="s">
        <v>92</v>
      </c>
      <c r="L603">
        <v>5071.8</v>
      </c>
    </row>
    <row r="604" spans="1:12" x14ac:dyDescent="0.3">
      <c r="A604">
        <v>21</v>
      </c>
      <c r="B604">
        <v>22</v>
      </c>
      <c r="D604">
        <v>6</v>
      </c>
      <c r="E604">
        <v>1</v>
      </c>
      <c r="F604">
        <v>0</v>
      </c>
      <c r="G604">
        <v>11</v>
      </c>
      <c r="H604" t="s">
        <v>59</v>
      </c>
      <c r="I604" t="s">
        <v>85</v>
      </c>
      <c r="J604">
        <v>645</v>
      </c>
      <c r="K604">
        <v>8.1</v>
      </c>
      <c r="L604">
        <v>5224.5</v>
      </c>
    </row>
    <row r="605" spans="1:12" x14ac:dyDescent="0.3">
      <c r="A605">
        <v>23</v>
      </c>
      <c r="B605">
        <v>22</v>
      </c>
      <c r="C605">
        <v>3</v>
      </c>
      <c r="D605">
        <v>5</v>
      </c>
      <c r="E605">
        <v>1</v>
      </c>
      <c r="F605">
        <v>0</v>
      </c>
      <c r="G605">
        <v>7</v>
      </c>
      <c r="H605" t="s">
        <v>32</v>
      </c>
      <c r="I605" t="s">
        <v>126</v>
      </c>
      <c r="J605">
        <v>475</v>
      </c>
      <c r="K605">
        <v>7.6</v>
      </c>
      <c r="L605" t="s">
        <v>285</v>
      </c>
    </row>
    <row r="606" spans="1:12" x14ac:dyDescent="0.3">
      <c r="A606">
        <v>12</v>
      </c>
      <c r="B606">
        <v>23</v>
      </c>
      <c r="C606">
        <v>2</v>
      </c>
      <c r="D606">
        <v>7</v>
      </c>
      <c r="E606">
        <v>1</v>
      </c>
      <c r="F606">
        <v>0</v>
      </c>
      <c r="G606">
        <v>7</v>
      </c>
      <c r="H606" t="s">
        <v>36</v>
      </c>
      <c r="I606" t="s">
        <v>79</v>
      </c>
      <c r="J606" t="s">
        <v>165</v>
      </c>
      <c r="K606">
        <v>8.8000000000000007</v>
      </c>
      <c r="L606">
        <v>3185.6</v>
      </c>
    </row>
    <row r="607" spans="1:12" x14ac:dyDescent="0.3">
      <c r="A607">
        <v>11</v>
      </c>
      <c r="B607">
        <v>23</v>
      </c>
      <c r="C607">
        <v>0</v>
      </c>
      <c r="D607">
        <v>18</v>
      </c>
      <c r="E607">
        <v>1</v>
      </c>
      <c r="F607">
        <v>0</v>
      </c>
      <c r="G607">
        <v>4</v>
      </c>
      <c r="I607" t="s">
        <v>78</v>
      </c>
      <c r="J607">
        <v>529</v>
      </c>
      <c r="L607">
        <v>4443.6000000000004</v>
      </c>
    </row>
    <row r="608" spans="1:12" x14ac:dyDescent="0.3">
      <c r="A608">
        <v>10</v>
      </c>
      <c r="B608">
        <v>21</v>
      </c>
      <c r="C608">
        <v>1</v>
      </c>
      <c r="D608">
        <v>22</v>
      </c>
      <c r="E608">
        <v>1</v>
      </c>
      <c r="F608">
        <v>0</v>
      </c>
      <c r="G608">
        <v>6</v>
      </c>
      <c r="H608" t="s">
        <v>32</v>
      </c>
      <c r="I608" t="s">
        <v>73</v>
      </c>
      <c r="J608">
        <v>646</v>
      </c>
      <c r="K608">
        <v>7.6</v>
      </c>
      <c r="L608">
        <v>4909.5999999999904</v>
      </c>
    </row>
    <row r="609" spans="1:12" x14ac:dyDescent="0.3">
      <c r="A609">
        <v>7</v>
      </c>
      <c r="B609">
        <v>20</v>
      </c>
      <c r="C609">
        <v>1</v>
      </c>
      <c r="D609">
        <v>11</v>
      </c>
      <c r="E609">
        <v>1</v>
      </c>
      <c r="F609">
        <v>0</v>
      </c>
      <c r="G609">
        <v>5</v>
      </c>
      <c r="H609" t="s">
        <v>21</v>
      </c>
      <c r="I609" t="s">
        <v>95</v>
      </c>
      <c r="J609">
        <v>299</v>
      </c>
      <c r="K609">
        <v>8.6999999999999993</v>
      </c>
      <c r="L609">
        <v>2601.2999999999902</v>
      </c>
    </row>
    <row r="610" spans="1:12" x14ac:dyDescent="0.3">
      <c r="A610">
        <v>23</v>
      </c>
      <c r="B610">
        <v>22</v>
      </c>
      <c r="C610">
        <v>0</v>
      </c>
      <c r="D610">
        <v>17</v>
      </c>
      <c r="E610">
        <v>1</v>
      </c>
      <c r="F610">
        <v>0</v>
      </c>
      <c r="G610">
        <v>8</v>
      </c>
      <c r="H610" t="s">
        <v>20</v>
      </c>
      <c r="I610" t="s">
        <v>77</v>
      </c>
      <c r="J610">
        <v>675</v>
      </c>
      <c r="K610">
        <v>9.1</v>
      </c>
      <c r="L610">
        <v>6142.5</v>
      </c>
    </row>
    <row r="611" spans="1:12" x14ac:dyDescent="0.3">
      <c r="A611">
        <v>7</v>
      </c>
      <c r="B611">
        <v>23</v>
      </c>
      <c r="C611">
        <v>2</v>
      </c>
      <c r="D611">
        <v>13</v>
      </c>
      <c r="E611">
        <v>1</v>
      </c>
      <c r="F611">
        <v>0</v>
      </c>
      <c r="G611">
        <v>4</v>
      </c>
      <c r="H611" t="s">
        <v>52</v>
      </c>
      <c r="I611" t="s">
        <v>79</v>
      </c>
      <c r="J611">
        <v>503</v>
      </c>
      <c r="K611">
        <v>9.3000000000000007</v>
      </c>
      <c r="L611">
        <v>4677.8999999999996</v>
      </c>
    </row>
    <row r="612" spans="1:12" x14ac:dyDescent="0.3">
      <c r="A612">
        <v>18</v>
      </c>
      <c r="B612">
        <v>23</v>
      </c>
      <c r="C612">
        <v>0</v>
      </c>
      <c r="D612">
        <v>8</v>
      </c>
      <c r="F612">
        <v>0</v>
      </c>
      <c r="G612">
        <v>3</v>
      </c>
      <c r="H612" t="s">
        <v>23</v>
      </c>
      <c r="I612" t="s">
        <v>94</v>
      </c>
      <c r="J612">
        <v>530</v>
      </c>
      <c r="K612">
        <v>8.4</v>
      </c>
      <c r="L612">
        <v>4452</v>
      </c>
    </row>
    <row r="613" spans="1:12" x14ac:dyDescent="0.3">
      <c r="A613">
        <v>8</v>
      </c>
      <c r="B613">
        <v>23</v>
      </c>
      <c r="C613">
        <v>2</v>
      </c>
      <c r="D613">
        <v>8</v>
      </c>
      <c r="E613">
        <v>1</v>
      </c>
      <c r="F613">
        <v>0</v>
      </c>
      <c r="G613">
        <v>7</v>
      </c>
      <c r="H613" t="s">
        <v>14</v>
      </c>
      <c r="I613" t="s">
        <v>87</v>
      </c>
      <c r="J613">
        <v>554</v>
      </c>
      <c r="K613">
        <v>8.9</v>
      </c>
      <c r="L613" t="s">
        <v>286</v>
      </c>
    </row>
    <row r="614" spans="1:12" x14ac:dyDescent="0.3">
      <c r="A614">
        <v>8</v>
      </c>
      <c r="B614">
        <v>23</v>
      </c>
      <c r="C614">
        <v>2</v>
      </c>
      <c r="D614">
        <v>8</v>
      </c>
      <c r="E614">
        <v>1</v>
      </c>
      <c r="F614">
        <v>0</v>
      </c>
      <c r="G614">
        <v>7</v>
      </c>
      <c r="H614" t="s">
        <v>15</v>
      </c>
      <c r="I614" t="s">
        <v>78</v>
      </c>
      <c r="J614" t="s">
        <v>166</v>
      </c>
      <c r="K614">
        <v>8.3000000000000007</v>
      </c>
      <c r="L614">
        <v>4955.1000000000004</v>
      </c>
    </row>
    <row r="615" spans="1:12" x14ac:dyDescent="0.3">
      <c r="A615">
        <v>18</v>
      </c>
      <c r="B615">
        <v>22</v>
      </c>
      <c r="C615">
        <v>0</v>
      </c>
      <c r="D615">
        <v>16</v>
      </c>
      <c r="E615">
        <v>1</v>
      </c>
      <c r="F615">
        <v>0</v>
      </c>
      <c r="G615">
        <v>3</v>
      </c>
      <c r="H615" t="s">
        <v>22</v>
      </c>
      <c r="I615" t="s">
        <v>76</v>
      </c>
      <c r="J615">
        <v>552</v>
      </c>
      <c r="K615">
        <v>7.8</v>
      </c>
      <c r="L615">
        <v>4305.5999999999904</v>
      </c>
    </row>
    <row r="616" spans="1:12" x14ac:dyDescent="0.3">
      <c r="A616">
        <v>5</v>
      </c>
      <c r="B616">
        <v>18</v>
      </c>
      <c r="C616">
        <v>1</v>
      </c>
      <c r="D616">
        <v>11</v>
      </c>
      <c r="E616">
        <v>1</v>
      </c>
      <c r="F616">
        <v>0</v>
      </c>
      <c r="G616">
        <v>4</v>
      </c>
      <c r="H616" t="s">
        <v>62</v>
      </c>
      <c r="I616" t="s">
        <v>105</v>
      </c>
      <c r="J616">
        <v>267</v>
      </c>
      <c r="K616">
        <v>8.5</v>
      </c>
      <c r="L616">
        <v>2269.5</v>
      </c>
    </row>
    <row r="617" spans="1:12" x14ac:dyDescent="0.3">
      <c r="A617">
        <v>17</v>
      </c>
      <c r="B617">
        <v>23</v>
      </c>
      <c r="C617">
        <v>1</v>
      </c>
      <c r="D617">
        <v>14</v>
      </c>
      <c r="E617">
        <v>1</v>
      </c>
      <c r="F617">
        <v>0</v>
      </c>
      <c r="H617" t="s">
        <v>35</v>
      </c>
      <c r="I617" t="s">
        <v>76</v>
      </c>
      <c r="J617">
        <v>567</v>
      </c>
      <c r="K617">
        <v>8.1999999999999993</v>
      </c>
    </row>
    <row r="618" spans="1:12" x14ac:dyDescent="0.3">
      <c r="A618">
        <v>15</v>
      </c>
      <c r="B618">
        <v>22</v>
      </c>
      <c r="C618">
        <v>2</v>
      </c>
      <c r="D618">
        <v>16</v>
      </c>
      <c r="E618">
        <v>1</v>
      </c>
      <c r="F618">
        <v>0</v>
      </c>
      <c r="G618">
        <v>4</v>
      </c>
      <c r="H618" t="s">
        <v>36</v>
      </c>
      <c r="I618" t="s">
        <v>85</v>
      </c>
      <c r="J618">
        <v>650</v>
      </c>
      <c r="K618">
        <v>8.8000000000000007</v>
      </c>
      <c r="L618">
        <v>5720</v>
      </c>
    </row>
    <row r="619" spans="1:12" x14ac:dyDescent="0.3">
      <c r="A619">
        <v>7</v>
      </c>
      <c r="B619">
        <v>23</v>
      </c>
      <c r="C619">
        <v>1</v>
      </c>
      <c r="D619">
        <v>12</v>
      </c>
      <c r="E619">
        <v>7</v>
      </c>
      <c r="F619">
        <v>0</v>
      </c>
      <c r="G619">
        <v>5</v>
      </c>
      <c r="H619" t="s">
        <v>18</v>
      </c>
      <c r="J619">
        <v>611</v>
      </c>
      <c r="K619">
        <v>7.7</v>
      </c>
      <c r="L619">
        <v>4704.7</v>
      </c>
    </row>
    <row r="620" spans="1:12" x14ac:dyDescent="0.3">
      <c r="A620">
        <v>5</v>
      </c>
      <c r="B620">
        <v>23</v>
      </c>
      <c r="C620">
        <v>1</v>
      </c>
      <c r="D620">
        <v>5</v>
      </c>
      <c r="E620">
        <v>1</v>
      </c>
      <c r="F620">
        <v>0</v>
      </c>
      <c r="G620">
        <v>11</v>
      </c>
      <c r="H620" t="s">
        <v>38</v>
      </c>
      <c r="I620" t="s">
        <v>109</v>
      </c>
      <c r="J620">
        <v>360</v>
      </c>
      <c r="K620">
        <v>7.4</v>
      </c>
      <c r="L620">
        <v>2664</v>
      </c>
    </row>
    <row r="621" spans="1:12" x14ac:dyDescent="0.3">
      <c r="A621">
        <v>21</v>
      </c>
      <c r="B621">
        <v>22</v>
      </c>
      <c r="C621">
        <v>2</v>
      </c>
      <c r="D621">
        <v>19</v>
      </c>
      <c r="E621">
        <v>1</v>
      </c>
      <c r="F621">
        <v>0</v>
      </c>
      <c r="G621">
        <v>6</v>
      </c>
      <c r="H621" t="s">
        <v>49</v>
      </c>
      <c r="I621" t="s">
        <v>96</v>
      </c>
      <c r="J621" t="s">
        <v>167</v>
      </c>
      <c r="K621">
        <v>8.5</v>
      </c>
      <c r="L621">
        <v>5967</v>
      </c>
    </row>
    <row r="622" spans="1:12" x14ac:dyDescent="0.3">
      <c r="A622">
        <v>20</v>
      </c>
      <c r="B622">
        <v>22</v>
      </c>
      <c r="C622">
        <v>1</v>
      </c>
      <c r="D622">
        <v>17</v>
      </c>
      <c r="E622">
        <v>1</v>
      </c>
      <c r="F622">
        <v>0</v>
      </c>
      <c r="G622">
        <v>7</v>
      </c>
      <c r="H622" t="s">
        <v>18</v>
      </c>
      <c r="I622" t="s">
        <v>72</v>
      </c>
      <c r="J622">
        <v>575</v>
      </c>
      <c r="K622">
        <v>7.7</v>
      </c>
      <c r="L622">
        <v>4427.5</v>
      </c>
    </row>
    <row r="623" spans="1:12" x14ac:dyDescent="0.3">
      <c r="A623">
        <v>8</v>
      </c>
      <c r="B623">
        <v>21</v>
      </c>
      <c r="C623">
        <v>0</v>
      </c>
      <c r="E623">
        <v>7</v>
      </c>
      <c r="F623">
        <v>0</v>
      </c>
      <c r="G623">
        <v>9</v>
      </c>
      <c r="H623" t="s">
        <v>24</v>
      </c>
      <c r="I623" t="s">
        <v>92</v>
      </c>
      <c r="J623" t="s">
        <v>168</v>
      </c>
      <c r="K623">
        <v>7.9</v>
      </c>
      <c r="L623">
        <v>3262.7</v>
      </c>
    </row>
    <row r="624" spans="1:12" x14ac:dyDescent="0.3">
      <c r="A624">
        <v>22</v>
      </c>
      <c r="B624">
        <v>22</v>
      </c>
      <c r="C624">
        <v>1</v>
      </c>
      <c r="D624">
        <v>15</v>
      </c>
      <c r="E624">
        <v>1</v>
      </c>
      <c r="F624">
        <v>0</v>
      </c>
      <c r="G624">
        <v>5</v>
      </c>
      <c r="H624" t="s">
        <v>22</v>
      </c>
      <c r="I624" t="s">
        <v>75</v>
      </c>
      <c r="J624" t="s">
        <v>169</v>
      </c>
      <c r="K624">
        <v>7.8</v>
      </c>
      <c r="L624">
        <v>4937.3999999999996</v>
      </c>
    </row>
    <row r="625" spans="1:12" x14ac:dyDescent="0.3">
      <c r="A625">
        <v>11</v>
      </c>
      <c r="B625">
        <v>22</v>
      </c>
      <c r="C625">
        <v>1</v>
      </c>
      <c r="E625">
        <v>1</v>
      </c>
      <c r="F625">
        <v>0</v>
      </c>
      <c r="G625">
        <v>12</v>
      </c>
      <c r="H625" t="s">
        <v>23</v>
      </c>
      <c r="I625" t="s">
        <v>89</v>
      </c>
      <c r="J625">
        <v>585</v>
      </c>
      <c r="K625">
        <v>8.4</v>
      </c>
      <c r="L625" t="s">
        <v>143</v>
      </c>
    </row>
    <row r="626" spans="1:12" x14ac:dyDescent="0.3">
      <c r="A626">
        <v>19</v>
      </c>
      <c r="B626">
        <v>23</v>
      </c>
      <c r="C626">
        <v>0</v>
      </c>
      <c r="D626">
        <v>15</v>
      </c>
      <c r="E626">
        <v>12</v>
      </c>
      <c r="F626">
        <v>0</v>
      </c>
      <c r="G626">
        <v>2</v>
      </c>
      <c r="H626" t="s">
        <v>42</v>
      </c>
      <c r="I626" t="s">
        <v>97</v>
      </c>
      <c r="J626">
        <v>642</v>
      </c>
      <c r="K626">
        <v>7.8</v>
      </c>
      <c r="L626" t="s">
        <v>287</v>
      </c>
    </row>
    <row r="627" spans="1:12" x14ac:dyDescent="0.3">
      <c r="A627">
        <v>18</v>
      </c>
      <c r="B627">
        <v>22</v>
      </c>
      <c r="C627">
        <v>3</v>
      </c>
      <c r="D627">
        <v>9</v>
      </c>
      <c r="E627">
        <v>1</v>
      </c>
      <c r="F627">
        <v>0</v>
      </c>
      <c r="G627">
        <v>9</v>
      </c>
      <c r="H627" t="s">
        <v>21</v>
      </c>
      <c r="I627" t="s">
        <v>96</v>
      </c>
      <c r="J627">
        <v>653</v>
      </c>
      <c r="K627">
        <v>8.6999999999999993</v>
      </c>
      <c r="L627">
        <v>5681.0999999999904</v>
      </c>
    </row>
    <row r="628" spans="1:12" x14ac:dyDescent="0.3">
      <c r="A628">
        <v>11</v>
      </c>
      <c r="B628">
        <v>22</v>
      </c>
      <c r="C628">
        <v>0</v>
      </c>
      <c r="D628">
        <v>13</v>
      </c>
      <c r="E628">
        <v>1</v>
      </c>
      <c r="F628">
        <v>0</v>
      </c>
      <c r="G628">
        <v>4</v>
      </c>
      <c r="H628" t="s">
        <v>31</v>
      </c>
      <c r="I628" t="s">
        <v>82</v>
      </c>
      <c r="J628">
        <v>490</v>
      </c>
      <c r="K628">
        <v>7.9</v>
      </c>
      <c r="L628">
        <v>3871</v>
      </c>
    </row>
    <row r="629" spans="1:12" x14ac:dyDescent="0.3">
      <c r="A629">
        <v>20</v>
      </c>
      <c r="C629">
        <v>2</v>
      </c>
      <c r="D629">
        <v>5</v>
      </c>
      <c r="E629">
        <v>1</v>
      </c>
      <c r="F629">
        <v>0</v>
      </c>
      <c r="G629">
        <v>3</v>
      </c>
      <c r="H629" t="s">
        <v>22</v>
      </c>
      <c r="I629" t="s">
        <v>72</v>
      </c>
      <c r="K629" t="s">
        <v>240</v>
      </c>
      <c r="L629">
        <v>4126.2</v>
      </c>
    </row>
    <row r="630" spans="1:12" x14ac:dyDescent="0.3">
      <c r="A630">
        <v>18</v>
      </c>
      <c r="B630">
        <v>23</v>
      </c>
      <c r="C630">
        <v>2</v>
      </c>
      <c r="D630">
        <v>14</v>
      </c>
      <c r="E630">
        <v>1</v>
      </c>
      <c r="F630">
        <v>0</v>
      </c>
      <c r="G630">
        <v>4</v>
      </c>
      <c r="H630" t="s">
        <v>20</v>
      </c>
      <c r="I630" t="s">
        <v>90</v>
      </c>
      <c r="J630">
        <v>660</v>
      </c>
      <c r="K630">
        <v>9.1</v>
      </c>
      <c r="L630">
        <v>6006</v>
      </c>
    </row>
    <row r="631" spans="1:12" x14ac:dyDescent="0.3">
      <c r="A631">
        <v>9</v>
      </c>
      <c r="B631">
        <v>18</v>
      </c>
      <c r="C631">
        <v>1</v>
      </c>
      <c r="D631">
        <v>14</v>
      </c>
      <c r="E631">
        <v>1</v>
      </c>
      <c r="F631">
        <v>0</v>
      </c>
      <c r="H631" t="s">
        <v>12</v>
      </c>
      <c r="I631" t="s">
        <v>127</v>
      </c>
      <c r="J631">
        <v>447</v>
      </c>
      <c r="K631">
        <v>8.1</v>
      </c>
      <c r="L631">
        <v>3620.7</v>
      </c>
    </row>
    <row r="632" spans="1:12" x14ac:dyDescent="0.3">
      <c r="A632">
        <v>7</v>
      </c>
      <c r="C632">
        <v>0</v>
      </c>
      <c r="D632">
        <v>16</v>
      </c>
      <c r="E632">
        <v>1</v>
      </c>
      <c r="F632">
        <v>0</v>
      </c>
      <c r="G632">
        <v>1</v>
      </c>
      <c r="H632" t="s">
        <v>60</v>
      </c>
      <c r="I632" t="s">
        <v>97</v>
      </c>
      <c r="J632">
        <v>590</v>
      </c>
      <c r="K632">
        <v>9.1</v>
      </c>
      <c r="L632">
        <v>5369</v>
      </c>
    </row>
    <row r="633" spans="1:12" x14ac:dyDescent="0.3">
      <c r="A633">
        <v>15</v>
      </c>
      <c r="B633">
        <v>23</v>
      </c>
      <c r="C633">
        <v>1</v>
      </c>
      <c r="D633">
        <v>19</v>
      </c>
      <c r="E633">
        <v>1</v>
      </c>
      <c r="F633">
        <v>0</v>
      </c>
      <c r="G633">
        <v>8</v>
      </c>
      <c r="H633" t="s">
        <v>20</v>
      </c>
      <c r="I633" t="s">
        <v>85</v>
      </c>
      <c r="J633">
        <v>477</v>
      </c>
      <c r="K633">
        <v>9.1</v>
      </c>
    </row>
    <row r="634" spans="1:12" x14ac:dyDescent="0.3">
      <c r="A634">
        <v>18</v>
      </c>
      <c r="B634">
        <v>23</v>
      </c>
      <c r="C634">
        <v>2</v>
      </c>
      <c r="D634">
        <v>12</v>
      </c>
      <c r="E634">
        <v>12</v>
      </c>
      <c r="F634">
        <v>0</v>
      </c>
      <c r="G634">
        <v>3</v>
      </c>
      <c r="H634" t="s">
        <v>32</v>
      </c>
      <c r="I634" t="s">
        <v>82</v>
      </c>
      <c r="J634">
        <v>532</v>
      </c>
      <c r="K634">
        <v>7.6</v>
      </c>
      <c r="L634" t="s">
        <v>288</v>
      </c>
    </row>
    <row r="635" spans="1:12" x14ac:dyDescent="0.3">
      <c r="A635">
        <v>15</v>
      </c>
      <c r="B635">
        <v>22</v>
      </c>
      <c r="C635">
        <v>0</v>
      </c>
      <c r="D635">
        <v>14</v>
      </c>
      <c r="E635">
        <v>1</v>
      </c>
      <c r="F635">
        <v>0</v>
      </c>
      <c r="G635">
        <v>9</v>
      </c>
      <c r="H635" t="s">
        <v>30</v>
      </c>
      <c r="I635" t="s">
        <v>95</v>
      </c>
      <c r="J635">
        <v>598</v>
      </c>
      <c r="K635">
        <v>9.1999999999999993</v>
      </c>
      <c r="L635">
        <v>5501.5999999999904</v>
      </c>
    </row>
    <row r="636" spans="1:12" x14ac:dyDescent="0.3">
      <c r="B636">
        <v>22</v>
      </c>
      <c r="C636">
        <v>1</v>
      </c>
      <c r="D636">
        <v>9</v>
      </c>
      <c r="E636">
        <v>1</v>
      </c>
      <c r="F636">
        <v>0</v>
      </c>
      <c r="G636">
        <v>2</v>
      </c>
      <c r="H636" t="s">
        <v>23</v>
      </c>
      <c r="I636" t="s">
        <v>78</v>
      </c>
      <c r="J636">
        <v>314</v>
      </c>
      <c r="K636">
        <v>8.4</v>
      </c>
      <c r="L636">
        <v>2637.6</v>
      </c>
    </row>
    <row r="637" spans="1:12" x14ac:dyDescent="0.3">
      <c r="A637">
        <v>10</v>
      </c>
      <c r="B637">
        <v>20</v>
      </c>
      <c r="C637">
        <v>3</v>
      </c>
      <c r="D637">
        <v>21</v>
      </c>
      <c r="E637">
        <v>7</v>
      </c>
      <c r="F637">
        <v>0</v>
      </c>
      <c r="G637">
        <v>4</v>
      </c>
      <c r="H637" t="s">
        <v>21</v>
      </c>
      <c r="I637" t="s">
        <v>105</v>
      </c>
      <c r="J637">
        <v>634</v>
      </c>
      <c r="K637">
        <v>8.6999999999999993</v>
      </c>
      <c r="L637">
        <v>5515.7999999999902</v>
      </c>
    </row>
    <row r="638" spans="1:12" x14ac:dyDescent="0.3">
      <c r="B638">
        <v>22</v>
      </c>
      <c r="C638">
        <v>2</v>
      </c>
      <c r="D638">
        <v>7</v>
      </c>
      <c r="E638">
        <v>12</v>
      </c>
      <c r="F638">
        <v>0</v>
      </c>
      <c r="G638">
        <v>5</v>
      </c>
      <c r="H638" t="s">
        <v>39</v>
      </c>
      <c r="I638" t="s">
        <v>75</v>
      </c>
      <c r="J638">
        <v>588</v>
      </c>
      <c r="K638">
        <v>8.8000000000000007</v>
      </c>
      <c r="L638">
        <v>5174.3999999999996</v>
      </c>
    </row>
    <row r="639" spans="1:12" x14ac:dyDescent="0.3">
      <c r="A639">
        <v>15</v>
      </c>
      <c r="B639">
        <v>22</v>
      </c>
      <c r="C639">
        <v>0</v>
      </c>
      <c r="D639">
        <v>18</v>
      </c>
      <c r="E639">
        <v>1</v>
      </c>
      <c r="F639">
        <v>0</v>
      </c>
      <c r="G639">
        <v>12</v>
      </c>
      <c r="H639" t="s">
        <v>26</v>
      </c>
      <c r="I639" t="s">
        <v>89</v>
      </c>
      <c r="J639">
        <v>439</v>
      </c>
      <c r="K639">
        <v>8.5</v>
      </c>
      <c r="L639">
        <v>3731.5</v>
      </c>
    </row>
    <row r="640" spans="1:12" x14ac:dyDescent="0.3">
      <c r="A640">
        <v>6</v>
      </c>
      <c r="B640">
        <v>18</v>
      </c>
      <c r="C640">
        <v>0</v>
      </c>
      <c r="D640">
        <v>5</v>
      </c>
      <c r="E640">
        <v>1</v>
      </c>
      <c r="F640">
        <v>0</v>
      </c>
      <c r="G640">
        <v>12</v>
      </c>
      <c r="H640" t="s">
        <v>31</v>
      </c>
      <c r="I640" t="s">
        <v>109</v>
      </c>
      <c r="J640">
        <v>292</v>
      </c>
      <c r="K640">
        <v>7.9</v>
      </c>
      <c r="L640">
        <v>2306.8000000000002</v>
      </c>
    </row>
    <row r="641" spans="1:12" x14ac:dyDescent="0.3">
      <c r="A641">
        <v>10</v>
      </c>
      <c r="B641">
        <v>20</v>
      </c>
      <c r="C641">
        <v>2</v>
      </c>
      <c r="D641">
        <v>8</v>
      </c>
      <c r="E641">
        <v>1</v>
      </c>
      <c r="F641">
        <v>0</v>
      </c>
      <c r="H641" t="s">
        <v>22</v>
      </c>
      <c r="I641" t="s">
        <v>83</v>
      </c>
      <c r="J641">
        <v>427</v>
      </c>
      <c r="K641">
        <v>7.8</v>
      </c>
      <c r="L641">
        <v>3330.6</v>
      </c>
    </row>
    <row r="642" spans="1:12" x14ac:dyDescent="0.3">
      <c r="A642">
        <v>13</v>
      </c>
      <c r="B642">
        <v>23</v>
      </c>
      <c r="C642">
        <v>0</v>
      </c>
      <c r="D642">
        <v>17</v>
      </c>
      <c r="E642">
        <v>1</v>
      </c>
      <c r="F642">
        <v>0</v>
      </c>
      <c r="G642">
        <v>5</v>
      </c>
      <c r="H642" t="s">
        <v>35</v>
      </c>
      <c r="I642" t="s">
        <v>73</v>
      </c>
      <c r="J642">
        <v>528</v>
      </c>
      <c r="K642">
        <v>8.1999999999999993</v>
      </c>
      <c r="L642" t="s">
        <v>289</v>
      </c>
    </row>
    <row r="643" spans="1:12" x14ac:dyDescent="0.3">
      <c r="A643">
        <v>18</v>
      </c>
      <c r="B643">
        <v>22</v>
      </c>
      <c r="C643">
        <v>3</v>
      </c>
      <c r="D643">
        <v>15</v>
      </c>
      <c r="E643">
        <v>1</v>
      </c>
      <c r="F643">
        <v>0</v>
      </c>
      <c r="G643">
        <v>11</v>
      </c>
      <c r="H643" t="s">
        <v>26</v>
      </c>
      <c r="I643" t="s">
        <v>88</v>
      </c>
      <c r="J643">
        <v>600</v>
      </c>
      <c r="K643">
        <v>8.5</v>
      </c>
      <c r="L643">
        <v>5100</v>
      </c>
    </row>
    <row r="644" spans="1:12" x14ac:dyDescent="0.3">
      <c r="A644">
        <v>6</v>
      </c>
      <c r="B644">
        <v>21</v>
      </c>
      <c r="C644">
        <v>1</v>
      </c>
      <c r="D644">
        <v>15</v>
      </c>
      <c r="E644">
        <v>7</v>
      </c>
      <c r="F644">
        <v>0</v>
      </c>
      <c r="G644">
        <v>1</v>
      </c>
      <c r="H644" t="s">
        <v>32</v>
      </c>
      <c r="I644" t="s">
        <v>91</v>
      </c>
      <c r="J644">
        <v>388</v>
      </c>
      <c r="K644">
        <v>7.6</v>
      </c>
      <c r="L644">
        <v>2948.7999999999902</v>
      </c>
    </row>
    <row r="645" spans="1:12" x14ac:dyDescent="0.3">
      <c r="B645">
        <v>23</v>
      </c>
      <c r="C645">
        <v>1</v>
      </c>
      <c r="D645">
        <v>10</v>
      </c>
      <c r="E645">
        <v>1</v>
      </c>
      <c r="F645">
        <v>0</v>
      </c>
      <c r="G645">
        <v>12</v>
      </c>
      <c r="H645" t="s">
        <v>26</v>
      </c>
      <c r="I645" t="s">
        <v>87</v>
      </c>
      <c r="J645">
        <v>659</v>
      </c>
      <c r="K645">
        <v>8.5</v>
      </c>
      <c r="L645">
        <v>5601.5</v>
      </c>
    </row>
    <row r="646" spans="1:12" x14ac:dyDescent="0.3">
      <c r="A646">
        <v>16</v>
      </c>
      <c r="B646">
        <v>22</v>
      </c>
      <c r="C646">
        <v>3</v>
      </c>
      <c r="D646">
        <v>15</v>
      </c>
      <c r="E646">
        <v>12</v>
      </c>
      <c r="F646">
        <v>0</v>
      </c>
      <c r="G646">
        <v>1</v>
      </c>
      <c r="H646" t="s">
        <v>33</v>
      </c>
      <c r="I646" t="s">
        <v>104</v>
      </c>
      <c r="J646">
        <v>827</v>
      </c>
      <c r="K646">
        <v>9.3000000000000007</v>
      </c>
      <c r="L646">
        <v>7691.1</v>
      </c>
    </row>
    <row r="647" spans="1:12" x14ac:dyDescent="0.3">
      <c r="A647">
        <v>17</v>
      </c>
      <c r="B647">
        <v>23</v>
      </c>
      <c r="C647">
        <v>3</v>
      </c>
      <c r="D647">
        <v>12</v>
      </c>
      <c r="E647">
        <v>1</v>
      </c>
      <c r="F647">
        <v>0</v>
      </c>
      <c r="G647">
        <v>2</v>
      </c>
      <c r="H647" t="s">
        <v>64</v>
      </c>
      <c r="I647" t="s">
        <v>93</v>
      </c>
      <c r="J647">
        <v>622</v>
      </c>
      <c r="K647" t="s">
        <v>249</v>
      </c>
      <c r="L647">
        <v>5100.3999999999996</v>
      </c>
    </row>
    <row r="648" spans="1:12" x14ac:dyDescent="0.3">
      <c r="A648">
        <v>22</v>
      </c>
      <c r="B648">
        <v>23</v>
      </c>
      <c r="C648">
        <v>3</v>
      </c>
      <c r="D648">
        <v>19</v>
      </c>
      <c r="E648">
        <v>12</v>
      </c>
      <c r="F648">
        <v>0</v>
      </c>
      <c r="G648">
        <v>1</v>
      </c>
      <c r="H648" t="s">
        <v>32</v>
      </c>
      <c r="I648" t="s">
        <v>76</v>
      </c>
      <c r="J648">
        <v>717</v>
      </c>
      <c r="K648">
        <v>7.6</v>
      </c>
      <c r="L648">
        <v>5449.2</v>
      </c>
    </row>
    <row r="649" spans="1:12" x14ac:dyDescent="0.3">
      <c r="A649">
        <v>15</v>
      </c>
      <c r="B649">
        <v>22</v>
      </c>
      <c r="C649">
        <v>2</v>
      </c>
      <c r="D649">
        <v>19</v>
      </c>
      <c r="E649">
        <v>1</v>
      </c>
      <c r="F649">
        <v>0</v>
      </c>
      <c r="G649">
        <v>9</v>
      </c>
      <c r="H649" t="s">
        <v>41</v>
      </c>
      <c r="I649" t="s">
        <v>88</v>
      </c>
      <c r="J649">
        <v>500</v>
      </c>
      <c r="K649">
        <v>7.4</v>
      </c>
      <c r="L649" t="s">
        <v>290</v>
      </c>
    </row>
    <row r="650" spans="1:12" x14ac:dyDescent="0.3">
      <c r="B650">
        <v>23</v>
      </c>
      <c r="C650">
        <v>0</v>
      </c>
      <c r="D650">
        <v>9</v>
      </c>
      <c r="E650">
        <v>1</v>
      </c>
      <c r="F650">
        <v>0</v>
      </c>
      <c r="G650">
        <v>1</v>
      </c>
      <c r="H650" t="s">
        <v>35</v>
      </c>
      <c r="I650" t="s">
        <v>82</v>
      </c>
      <c r="J650">
        <v>350</v>
      </c>
      <c r="K650" t="s">
        <v>249</v>
      </c>
      <c r="L650">
        <v>2869.99999999999</v>
      </c>
    </row>
    <row r="651" spans="1:12" x14ac:dyDescent="0.3">
      <c r="A651">
        <v>5</v>
      </c>
      <c r="B651">
        <v>21</v>
      </c>
      <c r="C651">
        <v>3</v>
      </c>
      <c r="D651">
        <v>16</v>
      </c>
      <c r="E651">
        <v>7</v>
      </c>
      <c r="F651">
        <v>0</v>
      </c>
      <c r="G651">
        <v>3</v>
      </c>
      <c r="H651" t="s">
        <v>18</v>
      </c>
      <c r="I651" t="s">
        <v>87</v>
      </c>
      <c r="J651">
        <v>682</v>
      </c>
      <c r="K651">
        <v>7.7</v>
      </c>
      <c r="L651">
        <v>5251.4</v>
      </c>
    </row>
    <row r="652" spans="1:12" x14ac:dyDescent="0.3">
      <c r="A652">
        <v>17</v>
      </c>
      <c r="C652">
        <v>3</v>
      </c>
      <c r="D652">
        <v>19</v>
      </c>
      <c r="E652">
        <v>1</v>
      </c>
      <c r="F652">
        <v>0</v>
      </c>
      <c r="G652">
        <v>11</v>
      </c>
      <c r="H652" t="s">
        <v>33</v>
      </c>
      <c r="I652" t="s">
        <v>90</v>
      </c>
      <c r="L652">
        <v>6807.6</v>
      </c>
    </row>
    <row r="653" spans="1:12" x14ac:dyDescent="0.3">
      <c r="A653">
        <v>11</v>
      </c>
      <c r="B653">
        <v>23</v>
      </c>
      <c r="C653">
        <v>1</v>
      </c>
      <c r="D653">
        <v>20</v>
      </c>
      <c r="E653">
        <v>1</v>
      </c>
      <c r="F653">
        <v>0</v>
      </c>
      <c r="G653">
        <v>2</v>
      </c>
      <c r="H653" t="s">
        <v>26</v>
      </c>
      <c r="I653" t="s">
        <v>106</v>
      </c>
      <c r="J653">
        <v>555</v>
      </c>
      <c r="K653">
        <v>8.5</v>
      </c>
      <c r="L653">
        <v>4717.5</v>
      </c>
    </row>
    <row r="654" spans="1:12" x14ac:dyDescent="0.3">
      <c r="A654">
        <v>20</v>
      </c>
      <c r="B654">
        <v>22</v>
      </c>
      <c r="C654">
        <v>1</v>
      </c>
      <c r="D654">
        <v>8</v>
      </c>
      <c r="E654">
        <v>12</v>
      </c>
      <c r="F654">
        <v>0</v>
      </c>
      <c r="G654">
        <v>3</v>
      </c>
      <c r="H654" t="s">
        <v>16</v>
      </c>
      <c r="I654" t="s">
        <v>109</v>
      </c>
      <c r="J654">
        <v>717</v>
      </c>
      <c r="K654">
        <v>8.9</v>
      </c>
      <c r="L654">
        <v>6381.3</v>
      </c>
    </row>
    <row r="655" spans="1:12" x14ac:dyDescent="0.3">
      <c r="A655">
        <v>19</v>
      </c>
      <c r="B655">
        <v>23</v>
      </c>
      <c r="C655">
        <v>0</v>
      </c>
      <c r="D655">
        <v>6</v>
      </c>
      <c r="E655">
        <v>1</v>
      </c>
      <c r="F655">
        <v>0</v>
      </c>
      <c r="G655">
        <v>9</v>
      </c>
      <c r="H655" t="s">
        <v>20</v>
      </c>
      <c r="I655" t="s">
        <v>121</v>
      </c>
      <c r="K655">
        <v>9.1</v>
      </c>
      <c r="L655">
        <v>4395.3</v>
      </c>
    </row>
    <row r="656" spans="1:12" x14ac:dyDescent="0.3">
      <c r="A656">
        <v>12</v>
      </c>
      <c r="B656">
        <v>22</v>
      </c>
      <c r="C656">
        <v>3</v>
      </c>
      <c r="E656">
        <v>12</v>
      </c>
      <c r="F656">
        <v>0</v>
      </c>
      <c r="H656" t="s">
        <v>21</v>
      </c>
      <c r="I656" t="s">
        <v>96</v>
      </c>
      <c r="J656">
        <v>587</v>
      </c>
      <c r="K656">
        <v>8.6999999999999993</v>
      </c>
      <c r="L656" t="s">
        <v>291</v>
      </c>
    </row>
    <row r="657" spans="1:12" x14ac:dyDescent="0.3">
      <c r="A657">
        <v>8</v>
      </c>
      <c r="B657">
        <v>21</v>
      </c>
      <c r="C657">
        <v>2</v>
      </c>
      <c r="D657">
        <v>5</v>
      </c>
      <c r="E657">
        <v>1</v>
      </c>
      <c r="F657">
        <v>0</v>
      </c>
      <c r="G657">
        <v>12</v>
      </c>
      <c r="H657" t="s">
        <v>30</v>
      </c>
      <c r="I657" t="s">
        <v>74</v>
      </c>
      <c r="J657">
        <v>358</v>
      </c>
      <c r="K657">
        <v>9.1999999999999993</v>
      </c>
      <c r="L657">
        <v>3293.6</v>
      </c>
    </row>
    <row r="658" spans="1:12" x14ac:dyDescent="0.3">
      <c r="B658">
        <v>23</v>
      </c>
      <c r="C658">
        <v>0</v>
      </c>
      <c r="D658">
        <v>3</v>
      </c>
      <c r="E658">
        <v>1</v>
      </c>
      <c r="F658">
        <v>0</v>
      </c>
      <c r="G658">
        <v>11</v>
      </c>
      <c r="H658" t="s">
        <v>20</v>
      </c>
      <c r="I658" t="s">
        <v>84</v>
      </c>
      <c r="J658">
        <v>251</v>
      </c>
      <c r="K658">
        <v>9.1</v>
      </c>
      <c r="L658">
        <v>2284.1</v>
      </c>
    </row>
    <row r="659" spans="1:12" x14ac:dyDescent="0.3">
      <c r="A659">
        <v>19</v>
      </c>
      <c r="B659">
        <v>23</v>
      </c>
      <c r="C659">
        <v>1</v>
      </c>
      <c r="D659">
        <v>10</v>
      </c>
      <c r="E659">
        <v>1</v>
      </c>
      <c r="F659">
        <v>0</v>
      </c>
      <c r="G659">
        <v>5</v>
      </c>
      <c r="H659" t="s">
        <v>37</v>
      </c>
      <c r="I659" t="s">
        <v>77</v>
      </c>
      <c r="J659">
        <v>589</v>
      </c>
      <c r="K659">
        <v>8.3000000000000007</v>
      </c>
      <c r="L659">
        <v>4888.7</v>
      </c>
    </row>
    <row r="660" spans="1:12" x14ac:dyDescent="0.3">
      <c r="A660">
        <v>14</v>
      </c>
      <c r="B660">
        <v>23</v>
      </c>
      <c r="C660">
        <v>1</v>
      </c>
      <c r="D660">
        <v>16</v>
      </c>
      <c r="E660">
        <v>1</v>
      </c>
      <c r="F660">
        <v>0</v>
      </c>
      <c r="G660">
        <v>3</v>
      </c>
      <c r="H660" t="s">
        <v>51</v>
      </c>
      <c r="I660" t="s">
        <v>78</v>
      </c>
      <c r="J660">
        <v>599</v>
      </c>
      <c r="K660">
        <v>8.8000000000000007</v>
      </c>
      <c r="L660">
        <v>5271.2</v>
      </c>
    </row>
    <row r="661" spans="1:12" x14ac:dyDescent="0.3">
      <c r="A661">
        <v>22</v>
      </c>
      <c r="B661">
        <v>23</v>
      </c>
      <c r="C661">
        <v>0</v>
      </c>
      <c r="D661">
        <v>14</v>
      </c>
      <c r="E661">
        <v>12</v>
      </c>
      <c r="F661">
        <v>0</v>
      </c>
      <c r="G661">
        <v>3</v>
      </c>
      <c r="H661" t="s">
        <v>22</v>
      </c>
      <c r="I661" t="s">
        <v>125</v>
      </c>
      <c r="J661">
        <v>579</v>
      </c>
      <c r="K661">
        <v>7.8</v>
      </c>
      <c r="L661" t="s">
        <v>292</v>
      </c>
    </row>
    <row r="662" spans="1:12" x14ac:dyDescent="0.3">
      <c r="A662">
        <v>11</v>
      </c>
      <c r="B662">
        <v>22</v>
      </c>
      <c r="C662">
        <v>3</v>
      </c>
      <c r="D662">
        <v>18</v>
      </c>
      <c r="E662">
        <v>1</v>
      </c>
      <c r="F662">
        <v>0</v>
      </c>
      <c r="G662">
        <v>11</v>
      </c>
      <c r="H662" t="s">
        <v>54</v>
      </c>
      <c r="J662">
        <v>443</v>
      </c>
      <c r="L662">
        <v>4075.6</v>
      </c>
    </row>
    <row r="663" spans="1:12" x14ac:dyDescent="0.3">
      <c r="A663">
        <v>20</v>
      </c>
      <c r="B663">
        <v>22</v>
      </c>
      <c r="C663">
        <v>0</v>
      </c>
      <c r="D663">
        <v>22</v>
      </c>
      <c r="E663">
        <v>1</v>
      </c>
      <c r="F663">
        <v>0</v>
      </c>
      <c r="G663">
        <v>12</v>
      </c>
      <c r="H663" t="s">
        <v>35</v>
      </c>
      <c r="I663" t="s">
        <v>80</v>
      </c>
      <c r="J663">
        <v>473</v>
      </c>
      <c r="K663">
        <v>8.1999999999999993</v>
      </c>
      <c r="L663">
        <v>3878.5999999999899</v>
      </c>
    </row>
    <row r="664" spans="1:12" x14ac:dyDescent="0.3">
      <c r="B664">
        <v>23</v>
      </c>
      <c r="D664">
        <v>4</v>
      </c>
      <c r="E664">
        <v>1</v>
      </c>
      <c r="F664">
        <v>0</v>
      </c>
      <c r="G664">
        <v>1</v>
      </c>
      <c r="H664" t="s">
        <v>26</v>
      </c>
      <c r="I664" t="s">
        <v>74</v>
      </c>
      <c r="J664">
        <v>453</v>
      </c>
      <c r="K664">
        <v>8.5</v>
      </c>
      <c r="L664">
        <v>3850.5</v>
      </c>
    </row>
    <row r="665" spans="1:12" x14ac:dyDescent="0.3">
      <c r="A665">
        <v>21</v>
      </c>
      <c r="B665">
        <v>23</v>
      </c>
      <c r="C665">
        <v>1</v>
      </c>
      <c r="E665">
        <v>1</v>
      </c>
      <c r="F665">
        <v>0</v>
      </c>
      <c r="G665">
        <v>12</v>
      </c>
      <c r="H665" t="s">
        <v>24</v>
      </c>
      <c r="I665" t="s">
        <v>107</v>
      </c>
      <c r="J665">
        <v>661</v>
      </c>
      <c r="K665">
        <v>7.9</v>
      </c>
      <c r="L665">
        <v>5221.8999999999996</v>
      </c>
    </row>
    <row r="666" spans="1:12" x14ac:dyDescent="0.3">
      <c r="A666">
        <v>18</v>
      </c>
      <c r="B666">
        <v>22</v>
      </c>
      <c r="C666">
        <v>0</v>
      </c>
      <c r="D666">
        <v>18</v>
      </c>
      <c r="E666">
        <v>1</v>
      </c>
      <c r="F666">
        <v>0</v>
      </c>
      <c r="G666">
        <v>3</v>
      </c>
      <c r="H666" t="s">
        <v>23</v>
      </c>
      <c r="I666" t="s">
        <v>72</v>
      </c>
      <c r="J666">
        <v>501</v>
      </c>
      <c r="K666" t="s">
        <v>238</v>
      </c>
      <c r="L666">
        <v>4208.3999999999996</v>
      </c>
    </row>
    <row r="667" spans="1:12" x14ac:dyDescent="0.3">
      <c r="A667">
        <v>10</v>
      </c>
      <c r="B667">
        <v>20</v>
      </c>
      <c r="C667">
        <v>0</v>
      </c>
      <c r="D667">
        <v>12</v>
      </c>
      <c r="E667">
        <v>1</v>
      </c>
      <c r="F667">
        <v>0</v>
      </c>
      <c r="G667">
        <v>8</v>
      </c>
      <c r="H667" t="s">
        <v>52</v>
      </c>
      <c r="I667" t="s">
        <v>107</v>
      </c>
      <c r="J667">
        <v>366</v>
      </c>
      <c r="K667">
        <v>9.3000000000000007</v>
      </c>
      <c r="L667">
        <v>3403.8</v>
      </c>
    </row>
    <row r="668" spans="1:12" x14ac:dyDescent="0.3">
      <c r="A668">
        <v>22</v>
      </c>
      <c r="B668">
        <v>23</v>
      </c>
      <c r="C668">
        <v>0</v>
      </c>
      <c r="D668">
        <v>20</v>
      </c>
      <c r="E668">
        <v>12</v>
      </c>
      <c r="F668">
        <v>0</v>
      </c>
      <c r="G668">
        <v>10</v>
      </c>
      <c r="H668" t="s">
        <v>33</v>
      </c>
      <c r="I668" t="s">
        <v>88</v>
      </c>
      <c r="J668">
        <v>684</v>
      </c>
      <c r="K668">
        <v>9.3000000000000007</v>
      </c>
      <c r="L668">
        <v>6361.2</v>
      </c>
    </row>
    <row r="669" spans="1:12" x14ac:dyDescent="0.3">
      <c r="A669">
        <v>10</v>
      </c>
      <c r="B669">
        <v>20</v>
      </c>
      <c r="C669">
        <v>1</v>
      </c>
      <c r="E669">
        <v>7</v>
      </c>
      <c r="F669">
        <v>0</v>
      </c>
      <c r="G669">
        <v>8</v>
      </c>
      <c r="H669" t="s">
        <v>13</v>
      </c>
      <c r="I669" t="s">
        <v>87</v>
      </c>
      <c r="J669">
        <v>423</v>
      </c>
      <c r="K669">
        <v>8.3000000000000007</v>
      </c>
      <c r="L669">
        <v>3510.9</v>
      </c>
    </row>
    <row r="670" spans="1:12" x14ac:dyDescent="0.3">
      <c r="A670">
        <v>17</v>
      </c>
      <c r="B670">
        <v>23</v>
      </c>
      <c r="C670">
        <v>1</v>
      </c>
      <c r="D670">
        <v>9</v>
      </c>
      <c r="F670">
        <v>0</v>
      </c>
      <c r="G670">
        <v>7</v>
      </c>
      <c r="H670" t="s">
        <v>36</v>
      </c>
      <c r="I670" t="s">
        <v>91</v>
      </c>
      <c r="J670">
        <v>568</v>
      </c>
      <c r="K670" t="s">
        <v>244</v>
      </c>
      <c r="L670">
        <v>4998.3999999999996</v>
      </c>
    </row>
    <row r="671" spans="1:12" x14ac:dyDescent="0.3">
      <c r="A671">
        <v>14</v>
      </c>
      <c r="B671">
        <v>23</v>
      </c>
      <c r="D671">
        <v>20</v>
      </c>
      <c r="E671">
        <v>1</v>
      </c>
      <c r="F671">
        <v>0</v>
      </c>
      <c r="G671">
        <v>7</v>
      </c>
      <c r="H671" t="s">
        <v>15</v>
      </c>
      <c r="I671" t="s">
        <v>114</v>
      </c>
      <c r="J671">
        <v>620</v>
      </c>
      <c r="K671">
        <v>8.3000000000000007</v>
      </c>
      <c r="L671">
        <v>5146</v>
      </c>
    </row>
    <row r="672" spans="1:12" x14ac:dyDescent="0.3">
      <c r="B672">
        <v>23</v>
      </c>
      <c r="C672">
        <v>1</v>
      </c>
      <c r="D672">
        <v>6</v>
      </c>
      <c r="E672">
        <v>1</v>
      </c>
      <c r="F672">
        <v>0</v>
      </c>
      <c r="G672">
        <v>3</v>
      </c>
      <c r="H672" t="s">
        <v>15</v>
      </c>
      <c r="I672" t="s">
        <v>77</v>
      </c>
      <c r="J672">
        <v>607</v>
      </c>
      <c r="K672">
        <v>8.3000000000000007</v>
      </c>
      <c r="L672">
        <v>5038.1000000000004</v>
      </c>
    </row>
    <row r="673" spans="1:12" x14ac:dyDescent="0.3">
      <c r="A673">
        <v>16</v>
      </c>
      <c r="B673">
        <v>22</v>
      </c>
      <c r="C673">
        <v>0</v>
      </c>
      <c r="D673">
        <v>3</v>
      </c>
      <c r="E673">
        <v>1</v>
      </c>
      <c r="F673">
        <v>0</v>
      </c>
      <c r="G673">
        <v>12</v>
      </c>
      <c r="H673" t="s">
        <v>28</v>
      </c>
      <c r="I673" t="s">
        <v>107</v>
      </c>
      <c r="J673">
        <v>363</v>
      </c>
      <c r="K673">
        <v>7.7</v>
      </c>
      <c r="L673">
        <v>2795.1</v>
      </c>
    </row>
    <row r="674" spans="1:12" x14ac:dyDescent="0.3">
      <c r="A674">
        <v>22</v>
      </c>
      <c r="B674">
        <v>23</v>
      </c>
      <c r="C674">
        <v>2</v>
      </c>
      <c r="D674">
        <v>14</v>
      </c>
      <c r="E674">
        <v>1</v>
      </c>
      <c r="F674">
        <v>0</v>
      </c>
      <c r="G674">
        <v>6</v>
      </c>
      <c r="H674" t="s">
        <v>18</v>
      </c>
      <c r="I674" t="s">
        <v>96</v>
      </c>
      <c r="J674">
        <v>709</v>
      </c>
      <c r="K674">
        <v>7.7</v>
      </c>
      <c r="L674">
        <v>5459.3</v>
      </c>
    </row>
    <row r="675" spans="1:12" x14ac:dyDescent="0.3">
      <c r="A675">
        <v>12</v>
      </c>
      <c r="B675">
        <v>23</v>
      </c>
      <c r="C675">
        <v>1</v>
      </c>
      <c r="D675">
        <v>12</v>
      </c>
      <c r="E675">
        <v>12</v>
      </c>
      <c r="F675">
        <v>0</v>
      </c>
      <c r="G675">
        <v>4</v>
      </c>
      <c r="H675" t="s">
        <v>16</v>
      </c>
      <c r="I675" t="s">
        <v>81</v>
      </c>
      <c r="J675">
        <v>589</v>
      </c>
      <c r="K675">
        <v>8.9</v>
      </c>
      <c r="L675">
        <v>5242.1000000000004</v>
      </c>
    </row>
    <row r="676" spans="1:12" x14ac:dyDescent="0.3">
      <c r="A676">
        <v>16</v>
      </c>
      <c r="B676">
        <v>22</v>
      </c>
      <c r="C676">
        <v>3</v>
      </c>
      <c r="D676">
        <v>7</v>
      </c>
      <c r="E676">
        <v>1</v>
      </c>
      <c r="F676">
        <v>0</v>
      </c>
      <c r="G676">
        <v>10</v>
      </c>
      <c r="H676" t="s">
        <v>20</v>
      </c>
      <c r="I676" t="s">
        <v>90</v>
      </c>
      <c r="J676">
        <v>612</v>
      </c>
      <c r="K676">
        <v>9.1</v>
      </c>
      <c r="L676">
        <v>5569.2</v>
      </c>
    </row>
    <row r="677" spans="1:12" x14ac:dyDescent="0.3">
      <c r="A677">
        <v>9</v>
      </c>
      <c r="B677">
        <v>22</v>
      </c>
      <c r="C677">
        <v>3</v>
      </c>
      <c r="F677">
        <v>0</v>
      </c>
      <c r="G677">
        <v>2</v>
      </c>
      <c r="H677" t="s">
        <v>32</v>
      </c>
      <c r="I677" t="s">
        <v>76</v>
      </c>
      <c r="J677">
        <v>504</v>
      </c>
      <c r="K677">
        <v>7.6</v>
      </c>
      <c r="L677">
        <v>3830.3999999999901</v>
      </c>
    </row>
    <row r="678" spans="1:12" x14ac:dyDescent="0.3">
      <c r="A678">
        <v>9</v>
      </c>
      <c r="B678">
        <v>21</v>
      </c>
      <c r="C678">
        <v>0</v>
      </c>
      <c r="D678">
        <v>21</v>
      </c>
      <c r="E678">
        <v>1</v>
      </c>
      <c r="F678">
        <v>0</v>
      </c>
      <c r="G678">
        <v>3</v>
      </c>
      <c r="H678" t="s">
        <v>15</v>
      </c>
      <c r="I678" t="s">
        <v>109</v>
      </c>
      <c r="J678">
        <v>419</v>
      </c>
      <c r="K678">
        <v>8.3000000000000007</v>
      </c>
      <c r="L678">
        <v>3477.7</v>
      </c>
    </row>
    <row r="679" spans="1:12" x14ac:dyDescent="0.3">
      <c r="A679">
        <v>23</v>
      </c>
      <c r="B679">
        <v>22</v>
      </c>
      <c r="C679">
        <v>1</v>
      </c>
      <c r="D679">
        <v>12</v>
      </c>
      <c r="E679">
        <v>1</v>
      </c>
      <c r="F679">
        <v>0</v>
      </c>
      <c r="G679">
        <v>9</v>
      </c>
      <c r="H679" t="s">
        <v>16</v>
      </c>
      <c r="I679" t="s">
        <v>83</v>
      </c>
      <c r="J679">
        <v>544</v>
      </c>
      <c r="K679">
        <v>8.9</v>
      </c>
    </row>
    <row r="680" spans="1:12" x14ac:dyDescent="0.3">
      <c r="A680">
        <v>21</v>
      </c>
      <c r="B680">
        <v>23</v>
      </c>
      <c r="C680">
        <v>2</v>
      </c>
      <c r="D680">
        <v>16</v>
      </c>
      <c r="F680">
        <v>0</v>
      </c>
      <c r="G680">
        <v>3</v>
      </c>
      <c r="H680" t="s">
        <v>22</v>
      </c>
      <c r="I680" t="s">
        <v>71</v>
      </c>
      <c r="J680">
        <v>483</v>
      </c>
      <c r="K680">
        <v>7.8</v>
      </c>
      <c r="L680">
        <v>3767.4</v>
      </c>
    </row>
    <row r="681" spans="1:12" x14ac:dyDescent="0.3">
      <c r="A681">
        <v>12</v>
      </c>
      <c r="B681">
        <v>23</v>
      </c>
      <c r="C681">
        <v>1</v>
      </c>
      <c r="D681">
        <v>11</v>
      </c>
      <c r="E681">
        <v>1</v>
      </c>
      <c r="F681">
        <v>0</v>
      </c>
      <c r="G681">
        <v>1</v>
      </c>
      <c r="H681" t="s">
        <v>51</v>
      </c>
      <c r="I681" t="s">
        <v>78</v>
      </c>
      <c r="J681">
        <v>477</v>
      </c>
      <c r="K681">
        <v>8.8000000000000007</v>
      </c>
      <c r="L681">
        <v>4197.6000000000004</v>
      </c>
    </row>
    <row r="682" spans="1:12" x14ac:dyDescent="0.3">
      <c r="A682">
        <v>20</v>
      </c>
      <c r="B682">
        <v>22</v>
      </c>
      <c r="C682">
        <v>3</v>
      </c>
      <c r="D682">
        <v>18</v>
      </c>
      <c r="E682">
        <v>1</v>
      </c>
      <c r="F682">
        <v>0</v>
      </c>
      <c r="G682">
        <v>11</v>
      </c>
      <c r="H682" t="s">
        <v>15</v>
      </c>
      <c r="I682" t="s">
        <v>89</v>
      </c>
      <c r="J682">
        <v>512</v>
      </c>
      <c r="K682">
        <v>8.3000000000000007</v>
      </c>
      <c r="L682">
        <v>4249.6000000000004</v>
      </c>
    </row>
    <row r="683" spans="1:12" x14ac:dyDescent="0.3">
      <c r="A683">
        <v>6</v>
      </c>
      <c r="B683">
        <v>17</v>
      </c>
      <c r="C683">
        <v>2</v>
      </c>
      <c r="D683">
        <v>18</v>
      </c>
      <c r="F683">
        <v>0</v>
      </c>
      <c r="G683">
        <v>4</v>
      </c>
      <c r="H683" t="s">
        <v>33</v>
      </c>
      <c r="I683" t="s">
        <v>84</v>
      </c>
      <c r="J683">
        <v>547</v>
      </c>
      <c r="K683">
        <v>9.3000000000000007</v>
      </c>
      <c r="L683" t="s">
        <v>293</v>
      </c>
    </row>
    <row r="684" spans="1:12" x14ac:dyDescent="0.3">
      <c r="A684">
        <v>15</v>
      </c>
      <c r="B684">
        <v>23</v>
      </c>
      <c r="C684">
        <v>1</v>
      </c>
      <c r="D684">
        <v>22</v>
      </c>
      <c r="E684">
        <v>1</v>
      </c>
      <c r="F684">
        <v>0</v>
      </c>
      <c r="G684">
        <v>5</v>
      </c>
      <c r="H684" t="s">
        <v>36</v>
      </c>
      <c r="I684" t="s">
        <v>71</v>
      </c>
      <c r="J684">
        <v>489</v>
      </c>
      <c r="K684" t="s">
        <v>244</v>
      </c>
      <c r="L684">
        <v>4303.2</v>
      </c>
    </row>
    <row r="685" spans="1:12" x14ac:dyDescent="0.3">
      <c r="A685">
        <v>21</v>
      </c>
      <c r="B685">
        <v>23</v>
      </c>
      <c r="C685">
        <v>3</v>
      </c>
      <c r="D685">
        <v>7</v>
      </c>
      <c r="E685">
        <v>1</v>
      </c>
      <c r="F685">
        <v>0</v>
      </c>
      <c r="G685">
        <v>8</v>
      </c>
      <c r="H685" t="s">
        <v>35</v>
      </c>
      <c r="I685" t="s">
        <v>80</v>
      </c>
      <c r="J685">
        <v>483</v>
      </c>
      <c r="K685">
        <v>8.1999999999999993</v>
      </c>
      <c r="L685" t="s">
        <v>294</v>
      </c>
    </row>
    <row r="686" spans="1:12" x14ac:dyDescent="0.3">
      <c r="A686">
        <v>14</v>
      </c>
      <c r="C686">
        <v>3</v>
      </c>
      <c r="D686">
        <v>5</v>
      </c>
      <c r="E686">
        <v>1</v>
      </c>
      <c r="F686">
        <v>0</v>
      </c>
      <c r="G686">
        <v>9</v>
      </c>
      <c r="H686" t="s">
        <v>22</v>
      </c>
      <c r="I686" t="s">
        <v>78</v>
      </c>
      <c r="J686" t="s">
        <v>170</v>
      </c>
      <c r="K686">
        <v>7.8</v>
      </c>
      <c r="L686" t="s">
        <v>295</v>
      </c>
    </row>
    <row r="687" spans="1:12" x14ac:dyDescent="0.3">
      <c r="A687">
        <v>14</v>
      </c>
      <c r="B687">
        <v>22</v>
      </c>
      <c r="C687">
        <v>3</v>
      </c>
      <c r="D687">
        <v>13</v>
      </c>
      <c r="E687">
        <v>1</v>
      </c>
      <c r="F687">
        <v>0</v>
      </c>
      <c r="G687">
        <v>3</v>
      </c>
      <c r="H687" t="s">
        <v>25</v>
      </c>
      <c r="I687" t="s">
        <v>79</v>
      </c>
      <c r="J687">
        <v>639</v>
      </c>
      <c r="K687">
        <v>8.1</v>
      </c>
      <c r="L687">
        <v>5175.8999999999996</v>
      </c>
    </row>
    <row r="688" spans="1:12" x14ac:dyDescent="0.3">
      <c r="A688">
        <v>19</v>
      </c>
      <c r="B688">
        <v>22</v>
      </c>
      <c r="C688">
        <v>3</v>
      </c>
      <c r="D688">
        <v>19</v>
      </c>
      <c r="E688">
        <v>1</v>
      </c>
      <c r="F688">
        <v>0</v>
      </c>
      <c r="G688">
        <v>12</v>
      </c>
      <c r="H688" t="s">
        <v>47</v>
      </c>
      <c r="I688" t="s">
        <v>127</v>
      </c>
      <c r="J688">
        <v>733</v>
      </c>
      <c r="K688">
        <v>9.1</v>
      </c>
      <c r="L688">
        <v>6670.3</v>
      </c>
    </row>
    <row r="689" spans="1:12" x14ac:dyDescent="0.3">
      <c r="A689">
        <v>15</v>
      </c>
      <c r="B689">
        <v>23</v>
      </c>
      <c r="C689">
        <v>2</v>
      </c>
      <c r="D689">
        <v>18</v>
      </c>
      <c r="E689">
        <v>1</v>
      </c>
      <c r="F689">
        <v>0</v>
      </c>
      <c r="G689">
        <v>4</v>
      </c>
      <c r="H689" t="s">
        <v>15</v>
      </c>
      <c r="I689" t="s">
        <v>76</v>
      </c>
      <c r="J689">
        <v>536</v>
      </c>
      <c r="K689">
        <v>8.3000000000000007</v>
      </c>
      <c r="L689">
        <v>4448.8</v>
      </c>
    </row>
    <row r="690" spans="1:12" x14ac:dyDescent="0.3">
      <c r="A690">
        <v>15</v>
      </c>
      <c r="B690">
        <v>22</v>
      </c>
      <c r="C690">
        <v>3</v>
      </c>
      <c r="D690">
        <v>8</v>
      </c>
      <c r="E690">
        <v>1</v>
      </c>
      <c r="F690">
        <v>0</v>
      </c>
      <c r="G690">
        <v>9</v>
      </c>
      <c r="H690" t="s">
        <v>23</v>
      </c>
      <c r="I690" t="s">
        <v>75</v>
      </c>
      <c r="J690">
        <v>427</v>
      </c>
      <c r="K690">
        <v>8.4</v>
      </c>
      <c r="L690">
        <v>3586.8</v>
      </c>
    </row>
    <row r="691" spans="1:12" x14ac:dyDescent="0.3">
      <c r="A691">
        <v>11</v>
      </c>
      <c r="B691">
        <v>23</v>
      </c>
      <c r="C691">
        <v>1</v>
      </c>
      <c r="E691">
        <v>12</v>
      </c>
      <c r="F691">
        <v>0</v>
      </c>
      <c r="G691">
        <v>3</v>
      </c>
      <c r="H691" t="s">
        <v>33</v>
      </c>
      <c r="I691" t="s">
        <v>95</v>
      </c>
      <c r="J691">
        <v>799</v>
      </c>
      <c r="K691">
        <v>9.3000000000000007</v>
      </c>
      <c r="L691">
        <v>7430.7</v>
      </c>
    </row>
    <row r="692" spans="1:12" x14ac:dyDescent="0.3">
      <c r="A692">
        <v>9</v>
      </c>
      <c r="B692">
        <v>17</v>
      </c>
      <c r="C692">
        <v>1</v>
      </c>
      <c r="D692">
        <v>15</v>
      </c>
      <c r="E692">
        <v>1</v>
      </c>
      <c r="F692">
        <v>0</v>
      </c>
      <c r="G692">
        <v>6</v>
      </c>
      <c r="H692" t="s">
        <v>26</v>
      </c>
      <c r="I692" t="s">
        <v>128</v>
      </c>
      <c r="J692">
        <v>319</v>
      </c>
      <c r="K692">
        <v>8.5</v>
      </c>
      <c r="L692">
        <v>2711.5</v>
      </c>
    </row>
    <row r="693" spans="1:12" x14ac:dyDescent="0.3">
      <c r="A693">
        <v>16</v>
      </c>
      <c r="B693">
        <v>22</v>
      </c>
      <c r="C693">
        <v>1</v>
      </c>
      <c r="D693">
        <v>21</v>
      </c>
      <c r="E693">
        <v>12</v>
      </c>
      <c r="F693">
        <v>0</v>
      </c>
      <c r="G693">
        <v>9</v>
      </c>
      <c r="I693" t="s">
        <v>71</v>
      </c>
      <c r="J693">
        <v>730</v>
      </c>
      <c r="K693">
        <v>8.5</v>
      </c>
    </row>
    <row r="694" spans="1:12" x14ac:dyDescent="0.3">
      <c r="A694">
        <v>12</v>
      </c>
      <c r="B694">
        <v>23</v>
      </c>
      <c r="C694">
        <v>2</v>
      </c>
      <c r="D694">
        <v>20</v>
      </c>
      <c r="E694">
        <v>12</v>
      </c>
      <c r="F694">
        <v>0</v>
      </c>
      <c r="G694">
        <v>1</v>
      </c>
      <c r="H694" t="s">
        <v>33</v>
      </c>
      <c r="I694" t="s">
        <v>80</v>
      </c>
      <c r="J694">
        <v>713</v>
      </c>
      <c r="K694">
        <v>9.3000000000000007</v>
      </c>
      <c r="L694">
        <v>6630.9</v>
      </c>
    </row>
    <row r="695" spans="1:12" x14ac:dyDescent="0.3">
      <c r="A695">
        <v>20</v>
      </c>
      <c r="B695">
        <v>22</v>
      </c>
      <c r="C695">
        <v>2</v>
      </c>
      <c r="D695">
        <v>17</v>
      </c>
      <c r="E695">
        <v>1</v>
      </c>
      <c r="F695">
        <v>0</v>
      </c>
      <c r="G695">
        <v>8</v>
      </c>
      <c r="H695" t="s">
        <v>18</v>
      </c>
      <c r="I695" t="s">
        <v>96</v>
      </c>
      <c r="J695">
        <v>565</v>
      </c>
      <c r="K695">
        <v>7.7</v>
      </c>
      <c r="L695">
        <v>4350.5</v>
      </c>
    </row>
    <row r="696" spans="1:12" x14ac:dyDescent="0.3">
      <c r="A696">
        <v>19</v>
      </c>
      <c r="B696">
        <v>22</v>
      </c>
      <c r="C696">
        <v>3</v>
      </c>
      <c r="D696">
        <v>18</v>
      </c>
      <c r="E696">
        <v>1</v>
      </c>
      <c r="F696">
        <v>0</v>
      </c>
      <c r="G696">
        <v>11</v>
      </c>
      <c r="H696" t="s">
        <v>26</v>
      </c>
      <c r="I696" t="s">
        <v>92</v>
      </c>
      <c r="J696" t="s">
        <v>171</v>
      </c>
      <c r="K696">
        <v>8.5</v>
      </c>
      <c r="L696">
        <v>4947</v>
      </c>
    </row>
    <row r="697" spans="1:12" x14ac:dyDescent="0.3">
      <c r="A697">
        <v>20</v>
      </c>
      <c r="B697">
        <v>22</v>
      </c>
      <c r="C697">
        <v>3</v>
      </c>
      <c r="D697">
        <v>6</v>
      </c>
      <c r="E697">
        <v>1</v>
      </c>
      <c r="F697">
        <v>0</v>
      </c>
      <c r="G697">
        <v>1</v>
      </c>
      <c r="H697" t="s">
        <v>15</v>
      </c>
      <c r="I697" t="s">
        <v>92</v>
      </c>
      <c r="J697">
        <v>587</v>
      </c>
      <c r="K697">
        <v>8.3000000000000007</v>
      </c>
      <c r="L697">
        <v>4872.1000000000004</v>
      </c>
    </row>
    <row r="698" spans="1:12" x14ac:dyDescent="0.3">
      <c r="A698">
        <v>6</v>
      </c>
      <c r="B698">
        <v>18</v>
      </c>
      <c r="C698">
        <v>0</v>
      </c>
      <c r="D698">
        <v>17</v>
      </c>
      <c r="E698">
        <v>1</v>
      </c>
      <c r="G698">
        <v>10</v>
      </c>
      <c r="H698" t="s">
        <v>65</v>
      </c>
      <c r="I698" t="s">
        <v>109</v>
      </c>
      <c r="J698">
        <v>442</v>
      </c>
      <c r="K698">
        <v>8.1999999999999993</v>
      </c>
      <c r="L698">
        <v>3624.3999999999901</v>
      </c>
    </row>
    <row r="699" spans="1:12" x14ac:dyDescent="0.3">
      <c r="B699">
        <v>22</v>
      </c>
      <c r="C699">
        <v>3</v>
      </c>
      <c r="D699">
        <v>18</v>
      </c>
      <c r="E699">
        <v>12</v>
      </c>
      <c r="F699">
        <v>0</v>
      </c>
      <c r="G699">
        <v>7</v>
      </c>
      <c r="I699" t="s">
        <v>78</v>
      </c>
      <c r="J699">
        <v>789</v>
      </c>
      <c r="K699">
        <v>7.8</v>
      </c>
      <c r="L699">
        <v>6154.2</v>
      </c>
    </row>
    <row r="700" spans="1:12" x14ac:dyDescent="0.3">
      <c r="A700">
        <v>17</v>
      </c>
      <c r="B700">
        <v>23</v>
      </c>
      <c r="C700">
        <v>3</v>
      </c>
      <c r="D700">
        <v>7</v>
      </c>
      <c r="E700">
        <v>1</v>
      </c>
      <c r="F700">
        <v>0</v>
      </c>
      <c r="G700">
        <v>6</v>
      </c>
      <c r="H700" t="s">
        <v>35</v>
      </c>
      <c r="I700" t="s">
        <v>94</v>
      </c>
      <c r="J700">
        <v>513</v>
      </c>
      <c r="K700">
        <v>8.1999999999999993</v>
      </c>
      <c r="L700">
        <v>4206.5999999999904</v>
      </c>
    </row>
    <row r="701" spans="1:12" x14ac:dyDescent="0.3">
      <c r="A701">
        <v>8</v>
      </c>
      <c r="B701">
        <v>17</v>
      </c>
      <c r="C701">
        <v>1</v>
      </c>
      <c r="D701">
        <v>6</v>
      </c>
      <c r="E701">
        <v>1</v>
      </c>
      <c r="F701">
        <v>0</v>
      </c>
      <c r="G701">
        <v>12</v>
      </c>
      <c r="H701" t="s">
        <v>25</v>
      </c>
      <c r="I701" t="s">
        <v>84</v>
      </c>
      <c r="J701">
        <v>292</v>
      </c>
      <c r="K701">
        <v>8.1</v>
      </c>
      <c r="L701">
        <v>2365.1999999999998</v>
      </c>
    </row>
    <row r="702" spans="1:12" x14ac:dyDescent="0.3">
      <c r="A702">
        <v>9</v>
      </c>
      <c r="B702">
        <v>19</v>
      </c>
      <c r="C702">
        <v>0</v>
      </c>
      <c r="D702">
        <v>13</v>
      </c>
      <c r="E702">
        <v>7</v>
      </c>
      <c r="F702">
        <v>0</v>
      </c>
      <c r="G702">
        <v>12</v>
      </c>
      <c r="H702" t="s">
        <v>24</v>
      </c>
      <c r="I702" t="s">
        <v>93</v>
      </c>
      <c r="J702">
        <v>543</v>
      </c>
      <c r="K702">
        <v>7.9</v>
      </c>
      <c r="L702">
        <v>4289.7</v>
      </c>
    </row>
    <row r="703" spans="1:12" x14ac:dyDescent="0.3">
      <c r="A703">
        <v>18</v>
      </c>
      <c r="B703">
        <v>23</v>
      </c>
      <c r="C703">
        <v>3</v>
      </c>
      <c r="D703">
        <v>20</v>
      </c>
      <c r="E703">
        <v>1</v>
      </c>
      <c r="F703">
        <v>0</v>
      </c>
      <c r="G703">
        <v>11</v>
      </c>
      <c r="H703" t="s">
        <v>36</v>
      </c>
      <c r="I703" t="s">
        <v>118</v>
      </c>
      <c r="J703">
        <v>598</v>
      </c>
      <c r="K703">
        <v>8.8000000000000007</v>
      </c>
      <c r="L703">
        <v>5262.4</v>
      </c>
    </row>
    <row r="704" spans="1:12" x14ac:dyDescent="0.3">
      <c r="A704">
        <v>10</v>
      </c>
      <c r="B704">
        <v>23</v>
      </c>
      <c r="C704">
        <v>1</v>
      </c>
      <c r="D704">
        <v>22</v>
      </c>
      <c r="F704">
        <v>0</v>
      </c>
      <c r="G704">
        <v>6</v>
      </c>
      <c r="H704" t="s">
        <v>21</v>
      </c>
      <c r="I704" t="s">
        <v>85</v>
      </c>
      <c r="J704">
        <v>565</v>
      </c>
      <c r="K704">
        <v>8.6999999999999993</v>
      </c>
      <c r="L704">
        <v>4915.5</v>
      </c>
    </row>
    <row r="705" spans="1:12" x14ac:dyDescent="0.3">
      <c r="A705">
        <v>22</v>
      </c>
      <c r="B705">
        <v>23</v>
      </c>
      <c r="C705">
        <v>2</v>
      </c>
      <c r="D705">
        <v>21</v>
      </c>
      <c r="E705">
        <v>1</v>
      </c>
      <c r="F705">
        <v>0</v>
      </c>
      <c r="G705">
        <v>6</v>
      </c>
      <c r="H705" t="s">
        <v>35</v>
      </c>
      <c r="I705" t="s">
        <v>81</v>
      </c>
      <c r="J705">
        <v>737</v>
      </c>
      <c r="K705">
        <v>8.1999999999999993</v>
      </c>
      <c r="L705">
        <v>6043.4</v>
      </c>
    </row>
    <row r="706" spans="1:12" x14ac:dyDescent="0.3">
      <c r="A706">
        <v>5</v>
      </c>
      <c r="B706">
        <v>17</v>
      </c>
      <c r="C706">
        <v>0</v>
      </c>
      <c r="D706">
        <v>21</v>
      </c>
      <c r="E706">
        <v>7</v>
      </c>
      <c r="F706">
        <v>0</v>
      </c>
      <c r="G706">
        <v>12</v>
      </c>
      <c r="H706" t="s">
        <v>46</v>
      </c>
      <c r="I706" t="s">
        <v>87</v>
      </c>
      <c r="J706">
        <v>503</v>
      </c>
      <c r="K706">
        <v>8.1</v>
      </c>
      <c r="L706" t="s">
        <v>296</v>
      </c>
    </row>
    <row r="707" spans="1:12" x14ac:dyDescent="0.3">
      <c r="A707">
        <v>7</v>
      </c>
      <c r="B707">
        <v>21</v>
      </c>
      <c r="C707">
        <v>2</v>
      </c>
      <c r="D707">
        <v>5</v>
      </c>
      <c r="E707">
        <v>1</v>
      </c>
      <c r="F707">
        <v>0</v>
      </c>
      <c r="G707">
        <v>11</v>
      </c>
      <c r="H707" t="s">
        <v>30</v>
      </c>
      <c r="I707" t="s">
        <v>79</v>
      </c>
      <c r="J707">
        <v>348</v>
      </c>
      <c r="K707">
        <v>9.1999999999999993</v>
      </c>
      <c r="L707">
        <v>3201.6</v>
      </c>
    </row>
    <row r="708" spans="1:12" x14ac:dyDescent="0.3">
      <c r="A708">
        <v>20</v>
      </c>
      <c r="B708">
        <v>23</v>
      </c>
      <c r="C708">
        <v>1</v>
      </c>
      <c r="D708">
        <v>19</v>
      </c>
      <c r="E708">
        <v>1</v>
      </c>
      <c r="F708">
        <v>0</v>
      </c>
      <c r="G708">
        <v>2</v>
      </c>
      <c r="H708" t="s">
        <v>35</v>
      </c>
      <c r="I708" t="s">
        <v>85</v>
      </c>
      <c r="J708">
        <v>464</v>
      </c>
      <c r="K708">
        <v>8.1999999999999993</v>
      </c>
      <c r="L708">
        <v>3804.7999999999902</v>
      </c>
    </row>
    <row r="709" spans="1:12" x14ac:dyDescent="0.3">
      <c r="A709">
        <v>11</v>
      </c>
      <c r="B709">
        <v>22</v>
      </c>
      <c r="C709">
        <v>2</v>
      </c>
      <c r="D709">
        <v>19</v>
      </c>
      <c r="E709">
        <v>1</v>
      </c>
      <c r="F709">
        <v>0</v>
      </c>
      <c r="G709">
        <v>8</v>
      </c>
      <c r="H709" t="s">
        <v>49</v>
      </c>
      <c r="I709" t="s">
        <v>73</v>
      </c>
      <c r="J709">
        <v>461</v>
      </c>
      <c r="K709">
        <v>8.5</v>
      </c>
      <c r="L709">
        <v>3918.5</v>
      </c>
    </row>
    <row r="710" spans="1:12" x14ac:dyDescent="0.3">
      <c r="A710">
        <v>21</v>
      </c>
      <c r="B710">
        <v>22</v>
      </c>
      <c r="C710">
        <v>1</v>
      </c>
      <c r="D710">
        <v>8</v>
      </c>
      <c r="E710">
        <v>1</v>
      </c>
      <c r="F710">
        <v>0</v>
      </c>
      <c r="G710">
        <v>1</v>
      </c>
      <c r="H710" t="s">
        <v>43</v>
      </c>
      <c r="J710" t="s">
        <v>172</v>
      </c>
      <c r="K710">
        <v>7.6</v>
      </c>
      <c r="L710">
        <v>4620.8</v>
      </c>
    </row>
    <row r="711" spans="1:12" x14ac:dyDescent="0.3">
      <c r="B711">
        <v>23</v>
      </c>
      <c r="C711">
        <v>0</v>
      </c>
      <c r="D711">
        <v>6</v>
      </c>
      <c r="E711">
        <v>1</v>
      </c>
      <c r="F711">
        <v>0</v>
      </c>
      <c r="G711">
        <v>9</v>
      </c>
      <c r="H711" t="s">
        <v>14</v>
      </c>
      <c r="I711" t="s">
        <v>107</v>
      </c>
      <c r="J711">
        <v>564</v>
      </c>
      <c r="K711">
        <v>8.9</v>
      </c>
      <c r="L711">
        <v>5019.6000000000004</v>
      </c>
    </row>
    <row r="712" spans="1:12" x14ac:dyDescent="0.3">
      <c r="A712">
        <v>19</v>
      </c>
      <c r="B712">
        <v>22</v>
      </c>
      <c r="C712">
        <v>2</v>
      </c>
      <c r="D712">
        <v>16</v>
      </c>
      <c r="E712">
        <v>1</v>
      </c>
      <c r="F712">
        <v>0</v>
      </c>
      <c r="G712">
        <v>4</v>
      </c>
      <c r="H712" t="s">
        <v>26</v>
      </c>
      <c r="I712" t="s">
        <v>91</v>
      </c>
      <c r="J712" t="s">
        <v>173</v>
      </c>
      <c r="K712">
        <v>8.5</v>
      </c>
      <c r="L712">
        <v>5950</v>
      </c>
    </row>
    <row r="713" spans="1:12" x14ac:dyDescent="0.3">
      <c r="B713">
        <v>22</v>
      </c>
      <c r="C713">
        <v>1</v>
      </c>
      <c r="D713">
        <v>6</v>
      </c>
      <c r="E713">
        <v>1</v>
      </c>
      <c r="F713">
        <v>0</v>
      </c>
      <c r="H713" t="s">
        <v>36</v>
      </c>
      <c r="I713" t="s">
        <v>109</v>
      </c>
      <c r="J713">
        <v>524</v>
      </c>
      <c r="K713">
        <v>8.8000000000000007</v>
      </c>
      <c r="L713">
        <v>4611.2</v>
      </c>
    </row>
    <row r="714" spans="1:12" x14ac:dyDescent="0.3">
      <c r="A714">
        <v>14</v>
      </c>
      <c r="B714">
        <v>22</v>
      </c>
      <c r="C714">
        <v>1</v>
      </c>
      <c r="D714">
        <v>21</v>
      </c>
      <c r="E714">
        <v>1</v>
      </c>
      <c r="F714">
        <v>0</v>
      </c>
      <c r="G714">
        <v>2</v>
      </c>
      <c r="H714" t="s">
        <v>33</v>
      </c>
      <c r="I714" t="s">
        <v>92</v>
      </c>
      <c r="J714">
        <v>511</v>
      </c>
      <c r="K714">
        <v>9.3000000000000007</v>
      </c>
      <c r="L714">
        <v>4752.3</v>
      </c>
    </row>
    <row r="715" spans="1:12" x14ac:dyDescent="0.3">
      <c r="A715">
        <v>15</v>
      </c>
      <c r="B715">
        <v>22</v>
      </c>
      <c r="C715">
        <v>3</v>
      </c>
      <c r="D715">
        <v>13</v>
      </c>
      <c r="E715">
        <v>12</v>
      </c>
      <c r="F715">
        <v>0</v>
      </c>
      <c r="G715">
        <v>6</v>
      </c>
      <c r="H715" t="s">
        <v>30</v>
      </c>
      <c r="I715" t="s">
        <v>82</v>
      </c>
      <c r="J715">
        <v>682</v>
      </c>
      <c r="K715">
        <v>9.1999999999999993</v>
      </c>
      <c r="L715">
        <v>6274.4</v>
      </c>
    </row>
    <row r="716" spans="1:12" x14ac:dyDescent="0.3">
      <c r="A716">
        <v>17</v>
      </c>
      <c r="B716">
        <v>23</v>
      </c>
      <c r="C716">
        <v>2</v>
      </c>
      <c r="D716">
        <v>8</v>
      </c>
      <c r="E716">
        <v>12</v>
      </c>
      <c r="F716">
        <v>0</v>
      </c>
      <c r="G716">
        <v>9</v>
      </c>
      <c r="H716" t="s">
        <v>33</v>
      </c>
      <c r="I716" t="s">
        <v>96</v>
      </c>
      <c r="J716">
        <v>598</v>
      </c>
      <c r="K716">
        <v>9.3000000000000007</v>
      </c>
      <c r="L716" t="s">
        <v>297</v>
      </c>
    </row>
    <row r="717" spans="1:12" x14ac:dyDescent="0.3">
      <c r="A717">
        <v>23</v>
      </c>
      <c r="B717">
        <v>23</v>
      </c>
      <c r="C717">
        <v>0</v>
      </c>
      <c r="D717">
        <v>11</v>
      </c>
      <c r="E717">
        <v>1</v>
      </c>
      <c r="F717">
        <v>0</v>
      </c>
      <c r="G717">
        <v>10</v>
      </c>
      <c r="H717" t="s">
        <v>35</v>
      </c>
      <c r="I717" t="s">
        <v>72</v>
      </c>
      <c r="J717">
        <v>568</v>
      </c>
      <c r="K717">
        <v>8.1999999999999993</v>
      </c>
      <c r="L717">
        <v>4657.5999999999904</v>
      </c>
    </row>
    <row r="718" spans="1:12" x14ac:dyDescent="0.3">
      <c r="A718">
        <v>16</v>
      </c>
      <c r="B718">
        <v>22</v>
      </c>
      <c r="C718">
        <v>1</v>
      </c>
      <c r="D718">
        <v>15</v>
      </c>
      <c r="E718">
        <v>12</v>
      </c>
      <c r="F718">
        <v>0</v>
      </c>
      <c r="G718">
        <v>3</v>
      </c>
      <c r="I718" t="s">
        <v>85</v>
      </c>
      <c r="J718">
        <v>640</v>
      </c>
      <c r="K718">
        <v>9.1999999999999993</v>
      </c>
      <c r="L718">
        <v>5888</v>
      </c>
    </row>
    <row r="719" spans="1:12" x14ac:dyDescent="0.3">
      <c r="A719">
        <v>10</v>
      </c>
      <c r="B719">
        <v>17</v>
      </c>
      <c r="C719">
        <v>1</v>
      </c>
      <c r="D719">
        <v>10</v>
      </c>
      <c r="E719">
        <v>1</v>
      </c>
      <c r="F719">
        <v>0</v>
      </c>
      <c r="G719">
        <v>2</v>
      </c>
      <c r="H719" t="s">
        <v>33</v>
      </c>
      <c r="I719" t="s">
        <v>79</v>
      </c>
      <c r="J719">
        <v>243</v>
      </c>
      <c r="K719">
        <v>9.3000000000000007</v>
      </c>
      <c r="L719">
        <v>2259.9</v>
      </c>
    </row>
    <row r="720" spans="1:12" x14ac:dyDescent="0.3">
      <c r="A720">
        <v>16</v>
      </c>
      <c r="B720">
        <v>23</v>
      </c>
      <c r="C720">
        <v>0</v>
      </c>
      <c r="D720">
        <v>21</v>
      </c>
      <c r="E720">
        <v>1</v>
      </c>
      <c r="F720">
        <v>0</v>
      </c>
      <c r="G720">
        <v>8</v>
      </c>
      <c r="H720" t="s">
        <v>22</v>
      </c>
      <c r="J720">
        <v>440</v>
      </c>
      <c r="L720">
        <v>3432</v>
      </c>
    </row>
    <row r="721" spans="1:12" x14ac:dyDescent="0.3">
      <c r="A721">
        <v>18</v>
      </c>
      <c r="B721">
        <v>23</v>
      </c>
      <c r="C721">
        <v>0</v>
      </c>
      <c r="D721">
        <v>12</v>
      </c>
      <c r="E721">
        <v>1</v>
      </c>
      <c r="F721">
        <v>0</v>
      </c>
      <c r="G721">
        <v>9</v>
      </c>
      <c r="H721" t="s">
        <v>33</v>
      </c>
      <c r="I721" t="s">
        <v>80</v>
      </c>
      <c r="J721">
        <v>480</v>
      </c>
      <c r="K721">
        <v>9.3000000000000007</v>
      </c>
      <c r="L721">
        <v>4464</v>
      </c>
    </row>
    <row r="722" spans="1:12" x14ac:dyDescent="0.3">
      <c r="A722">
        <v>19</v>
      </c>
      <c r="B722">
        <v>22</v>
      </c>
      <c r="D722">
        <v>16</v>
      </c>
      <c r="E722">
        <v>1</v>
      </c>
      <c r="F722">
        <v>0</v>
      </c>
      <c r="H722" t="s">
        <v>22</v>
      </c>
      <c r="I722" t="s">
        <v>78</v>
      </c>
      <c r="J722">
        <v>541</v>
      </c>
      <c r="K722">
        <v>7.8</v>
      </c>
      <c r="L722">
        <v>4219.8</v>
      </c>
    </row>
    <row r="723" spans="1:12" x14ac:dyDescent="0.3">
      <c r="A723">
        <v>22</v>
      </c>
      <c r="B723">
        <v>22</v>
      </c>
      <c r="C723">
        <v>3</v>
      </c>
      <c r="D723">
        <v>22</v>
      </c>
      <c r="F723">
        <v>0</v>
      </c>
      <c r="G723">
        <v>7</v>
      </c>
      <c r="H723" t="s">
        <v>16</v>
      </c>
      <c r="I723" t="s">
        <v>112</v>
      </c>
      <c r="J723">
        <v>762</v>
      </c>
      <c r="K723">
        <v>8.9</v>
      </c>
      <c r="L723">
        <v>6781.8</v>
      </c>
    </row>
    <row r="724" spans="1:12" x14ac:dyDescent="0.3">
      <c r="A724">
        <v>13</v>
      </c>
      <c r="B724">
        <v>23</v>
      </c>
      <c r="C724">
        <v>1</v>
      </c>
      <c r="D724">
        <v>3</v>
      </c>
      <c r="E724">
        <v>1</v>
      </c>
      <c r="F724">
        <v>0</v>
      </c>
      <c r="G724">
        <v>10</v>
      </c>
      <c r="H724" t="s">
        <v>50</v>
      </c>
      <c r="I724" t="s">
        <v>77</v>
      </c>
      <c r="J724">
        <v>311</v>
      </c>
      <c r="K724">
        <v>9.3000000000000007</v>
      </c>
      <c r="L724">
        <v>2892.3</v>
      </c>
    </row>
    <row r="725" spans="1:12" x14ac:dyDescent="0.3">
      <c r="A725">
        <v>18</v>
      </c>
      <c r="B725">
        <v>22</v>
      </c>
      <c r="C725">
        <v>2</v>
      </c>
      <c r="D725">
        <v>22</v>
      </c>
      <c r="E725">
        <v>1</v>
      </c>
      <c r="F725">
        <v>0</v>
      </c>
      <c r="H725" t="s">
        <v>16</v>
      </c>
      <c r="I725" t="s">
        <v>97</v>
      </c>
      <c r="J725">
        <v>715</v>
      </c>
      <c r="K725">
        <v>8.9</v>
      </c>
      <c r="L725">
        <v>6363.5</v>
      </c>
    </row>
    <row r="726" spans="1:12" x14ac:dyDescent="0.3">
      <c r="A726">
        <v>7</v>
      </c>
      <c r="B726">
        <v>20</v>
      </c>
      <c r="C726">
        <v>2</v>
      </c>
      <c r="D726">
        <v>12</v>
      </c>
      <c r="F726">
        <v>0</v>
      </c>
      <c r="G726">
        <v>6</v>
      </c>
      <c r="H726" t="s">
        <v>23</v>
      </c>
      <c r="I726" t="s">
        <v>120</v>
      </c>
      <c r="J726">
        <v>595</v>
      </c>
      <c r="K726">
        <v>8.4</v>
      </c>
      <c r="L726">
        <v>4998</v>
      </c>
    </row>
    <row r="727" spans="1:12" x14ac:dyDescent="0.3">
      <c r="A727">
        <v>17</v>
      </c>
      <c r="B727">
        <v>23</v>
      </c>
      <c r="C727">
        <v>1</v>
      </c>
      <c r="D727">
        <v>8</v>
      </c>
      <c r="E727">
        <v>1</v>
      </c>
      <c r="F727">
        <v>0</v>
      </c>
      <c r="G727">
        <v>12</v>
      </c>
      <c r="H727" t="s">
        <v>24</v>
      </c>
      <c r="I727" t="s">
        <v>87</v>
      </c>
      <c r="J727">
        <v>559</v>
      </c>
      <c r="K727">
        <v>7.9</v>
      </c>
      <c r="L727">
        <v>4416.1000000000004</v>
      </c>
    </row>
    <row r="728" spans="1:12" x14ac:dyDescent="0.3">
      <c r="A728">
        <v>20</v>
      </c>
      <c r="B728">
        <v>22</v>
      </c>
      <c r="C728">
        <v>3</v>
      </c>
      <c r="D728">
        <v>3</v>
      </c>
      <c r="E728">
        <v>1</v>
      </c>
      <c r="F728">
        <v>0</v>
      </c>
      <c r="G728">
        <v>6</v>
      </c>
      <c r="H728" t="s">
        <v>23</v>
      </c>
      <c r="I728" t="s">
        <v>90</v>
      </c>
      <c r="J728" t="s">
        <v>174</v>
      </c>
      <c r="K728">
        <v>8.4</v>
      </c>
      <c r="L728">
        <v>4754.3999999999996</v>
      </c>
    </row>
    <row r="729" spans="1:12" x14ac:dyDescent="0.3">
      <c r="A729">
        <v>16</v>
      </c>
      <c r="B729">
        <v>22</v>
      </c>
      <c r="C729">
        <v>2</v>
      </c>
      <c r="D729">
        <v>3</v>
      </c>
      <c r="E729">
        <v>12</v>
      </c>
      <c r="F729">
        <v>0</v>
      </c>
      <c r="G729">
        <v>4</v>
      </c>
      <c r="H729" t="s">
        <v>35</v>
      </c>
      <c r="I729" t="s">
        <v>70</v>
      </c>
      <c r="J729">
        <v>614</v>
      </c>
      <c r="K729">
        <v>8.1999999999999993</v>
      </c>
      <c r="L729">
        <v>5034.7999999999902</v>
      </c>
    </row>
    <row r="730" spans="1:12" x14ac:dyDescent="0.3">
      <c r="A730">
        <v>12</v>
      </c>
      <c r="B730">
        <v>22</v>
      </c>
      <c r="C730">
        <v>2</v>
      </c>
      <c r="D730">
        <v>6</v>
      </c>
      <c r="E730">
        <v>1</v>
      </c>
      <c r="F730">
        <v>0</v>
      </c>
      <c r="G730">
        <v>7</v>
      </c>
      <c r="H730" t="s">
        <v>26</v>
      </c>
      <c r="I730" t="s">
        <v>107</v>
      </c>
      <c r="K730">
        <v>8.5</v>
      </c>
      <c r="L730">
        <v>4445.5</v>
      </c>
    </row>
    <row r="731" spans="1:12" x14ac:dyDescent="0.3">
      <c r="A731">
        <v>8</v>
      </c>
      <c r="B731">
        <v>23</v>
      </c>
      <c r="C731">
        <v>0</v>
      </c>
      <c r="D731">
        <v>15</v>
      </c>
      <c r="E731">
        <v>1</v>
      </c>
      <c r="F731">
        <v>0</v>
      </c>
      <c r="G731">
        <v>8</v>
      </c>
      <c r="H731" t="s">
        <v>36</v>
      </c>
      <c r="I731" t="s">
        <v>85</v>
      </c>
      <c r="J731">
        <v>537</v>
      </c>
      <c r="K731">
        <v>8.8000000000000007</v>
      </c>
      <c r="L731">
        <v>4725.6000000000004</v>
      </c>
    </row>
    <row r="732" spans="1:12" x14ac:dyDescent="0.3">
      <c r="A732">
        <v>8</v>
      </c>
      <c r="B732">
        <v>23</v>
      </c>
      <c r="D732">
        <v>8</v>
      </c>
      <c r="E732">
        <v>1</v>
      </c>
      <c r="F732">
        <v>0</v>
      </c>
      <c r="G732">
        <v>3</v>
      </c>
      <c r="H732" t="s">
        <v>32</v>
      </c>
      <c r="J732">
        <v>292</v>
      </c>
      <c r="K732">
        <v>7.6</v>
      </c>
    </row>
    <row r="733" spans="1:12" x14ac:dyDescent="0.3">
      <c r="A733">
        <v>22</v>
      </c>
      <c r="B733">
        <v>22</v>
      </c>
      <c r="C733">
        <v>3</v>
      </c>
      <c r="D733">
        <v>9</v>
      </c>
      <c r="F733">
        <v>0</v>
      </c>
      <c r="G733">
        <v>2</v>
      </c>
      <c r="H733" t="s">
        <v>30</v>
      </c>
      <c r="I733" t="s">
        <v>92</v>
      </c>
      <c r="J733">
        <v>405</v>
      </c>
      <c r="K733">
        <v>9.1999999999999993</v>
      </c>
      <c r="L733">
        <v>3725.99999999999</v>
      </c>
    </row>
    <row r="734" spans="1:12" x14ac:dyDescent="0.3">
      <c r="B734">
        <v>22</v>
      </c>
      <c r="C734">
        <v>2</v>
      </c>
      <c r="D734">
        <v>5</v>
      </c>
      <c r="E734">
        <v>1</v>
      </c>
      <c r="F734">
        <v>0</v>
      </c>
      <c r="G734">
        <v>5</v>
      </c>
      <c r="H734" t="s">
        <v>15</v>
      </c>
      <c r="I734" t="s">
        <v>73</v>
      </c>
      <c r="J734">
        <v>380</v>
      </c>
      <c r="K734">
        <v>8.3000000000000007</v>
      </c>
      <c r="L734">
        <v>3154</v>
      </c>
    </row>
    <row r="735" spans="1:12" x14ac:dyDescent="0.3">
      <c r="A735">
        <v>11</v>
      </c>
      <c r="B735">
        <v>23</v>
      </c>
      <c r="C735">
        <v>2</v>
      </c>
      <c r="D735">
        <v>15</v>
      </c>
      <c r="E735">
        <v>1</v>
      </c>
      <c r="F735">
        <v>0</v>
      </c>
      <c r="G735">
        <v>10</v>
      </c>
      <c r="H735" t="s">
        <v>17</v>
      </c>
      <c r="I735" t="s">
        <v>104</v>
      </c>
      <c r="J735">
        <v>668</v>
      </c>
      <c r="K735">
        <v>8.6999999999999993</v>
      </c>
      <c r="L735">
        <v>5811.5999999999904</v>
      </c>
    </row>
    <row r="736" spans="1:12" x14ac:dyDescent="0.3">
      <c r="A736">
        <v>16</v>
      </c>
      <c r="B736">
        <v>23</v>
      </c>
      <c r="C736">
        <v>2</v>
      </c>
      <c r="D736">
        <v>5</v>
      </c>
      <c r="E736">
        <v>1</v>
      </c>
      <c r="F736">
        <v>0</v>
      </c>
      <c r="G736">
        <v>7</v>
      </c>
      <c r="H736" t="s">
        <v>19</v>
      </c>
      <c r="I736" t="s">
        <v>95</v>
      </c>
      <c r="J736">
        <v>462</v>
      </c>
      <c r="K736">
        <v>8.9</v>
      </c>
    </row>
    <row r="737" spans="1:12" x14ac:dyDescent="0.3">
      <c r="A737">
        <v>23</v>
      </c>
      <c r="B737">
        <v>22</v>
      </c>
      <c r="C737">
        <v>3</v>
      </c>
      <c r="D737">
        <v>20</v>
      </c>
      <c r="E737">
        <v>12</v>
      </c>
      <c r="F737">
        <v>0</v>
      </c>
      <c r="H737" t="s">
        <v>26</v>
      </c>
      <c r="I737" t="s">
        <v>96</v>
      </c>
      <c r="K737">
        <v>8.5</v>
      </c>
      <c r="L737">
        <v>6417.5</v>
      </c>
    </row>
    <row r="738" spans="1:12" x14ac:dyDescent="0.3">
      <c r="A738">
        <v>5</v>
      </c>
      <c r="B738">
        <v>23</v>
      </c>
      <c r="C738">
        <v>0</v>
      </c>
      <c r="D738">
        <v>11</v>
      </c>
      <c r="E738">
        <v>1</v>
      </c>
      <c r="F738">
        <v>0</v>
      </c>
      <c r="G738">
        <v>10</v>
      </c>
      <c r="H738" t="s">
        <v>21</v>
      </c>
      <c r="I738" t="s">
        <v>82</v>
      </c>
      <c r="J738">
        <v>547</v>
      </c>
      <c r="K738">
        <v>8.6999999999999993</v>
      </c>
      <c r="L738">
        <v>4758.8999999999996</v>
      </c>
    </row>
    <row r="739" spans="1:12" x14ac:dyDescent="0.3">
      <c r="A739">
        <v>19</v>
      </c>
      <c r="B739">
        <v>23</v>
      </c>
      <c r="C739">
        <v>1</v>
      </c>
      <c r="D739">
        <v>21</v>
      </c>
      <c r="F739">
        <v>0</v>
      </c>
      <c r="G739">
        <v>11</v>
      </c>
      <c r="H739" t="s">
        <v>39</v>
      </c>
      <c r="I739" t="s">
        <v>93</v>
      </c>
      <c r="J739">
        <v>725</v>
      </c>
      <c r="K739">
        <v>8.8000000000000007</v>
      </c>
      <c r="L739">
        <v>6380</v>
      </c>
    </row>
    <row r="740" spans="1:12" x14ac:dyDescent="0.3">
      <c r="A740">
        <v>17</v>
      </c>
      <c r="B740">
        <v>22</v>
      </c>
      <c r="C740">
        <v>1</v>
      </c>
      <c r="D740">
        <v>18</v>
      </c>
      <c r="E740">
        <v>1</v>
      </c>
      <c r="F740">
        <v>0</v>
      </c>
      <c r="G740">
        <v>2</v>
      </c>
      <c r="H740" t="s">
        <v>20</v>
      </c>
      <c r="I740" t="s">
        <v>79</v>
      </c>
      <c r="J740">
        <v>463</v>
      </c>
      <c r="K740">
        <v>9.1</v>
      </c>
      <c r="L740">
        <v>4213.3</v>
      </c>
    </row>
    <row r="741" spans="1:12" x14ac:dyDescent="0.3">
      <c r="A741">
        <v>15</v>
      </c>
      <c r="B741">
        <v>23</v>
      </c>
      <c r="C741">
        <v>0</v>
      </c>
      <c r="D741">
        <v>22</v>
      </c>
      <c r="E741">
        <v>1</v>
      </c>
      <c r="F741">
        <v>0</v>
      </c>
      <c r="G741">
        <v>4</v>
      </c>
      <c r="H741" t="s">
        <v>25</v>
      </c>
      <c r="I741" t="s">
        <v>104</v>
      </c>
      <c r="J741">
        <v>505</v>
      </c>
      <c r="K741">
        <v>8.1</v>
      </c>
    </row>
    <row r="742" spans="1:12" x14ac:dyDescent="0.3">
      <c r="A742">
        <v>12</v>
      </c>
      <c r="B742">
        <v>23</v>
      </c>
      <c r="C742">
        <v>1</v>
      </c>
      <c r="D742">
        <v>7</v>
      </c>
      <c r="E742">
        <v>1</v>
      </c>
      <c r="F742">
        <v>0</v>
      </c>
      <c r="G742">
        <v>9</v>
      </c>
      <c r="H742" t="s">
        <v>23</v>
      </c>
      <c r="I742" t="s">
        <v>90</v>
      </c>
      <c r="J742">
        <v>459</v>
      </c>
      <c r="L742">
        <v>3855.6</v>
      </c>
    </row>
    <row r="743" spans="1:12" x14ac:dyDescent="0.3">
      <c r="A743">
        <v>17</v>
      </c>
      <c r="B743">
        <v>23</v>
      </c>
      <c r="C743">
        <v>0</v>
      </c>
      <c r="D743">
        <v>17</v>
      </c>
      <c r="E743">
        <v>1</v>
      </c>
      <c r="F743">
        <v>0</v>
      </c>
      <c r="G743">
        <v>5</v>
      </c>
      <c r="H743" t="s">
        <v>22</v>
      </c>
      <c r="I743" t="s">
        <v>70</v>
      </c>
      <c r="J743">
        <v>493</v>
      </c>
      <c r="K743" t="s">
        <v>240</v>
      </c>
      <c r="L743">
        <v>3845.4</v>
      </c>
    </row>
    <row r="744" spans="1:12" x14ac:dyDescent="0.3">
      <c r="A744">
        <v>6</v>
      </c>
      <c r="B744">
        <v>20</v>
      </c>
      <c r="C744">
        <v>3</v>
      </c>
      <c r="D744">
        <v>20</v>
      </c>
      <c r="E744">
        <v>1</v>
      </c>
      <c r="F744">
        <v>0</v>
      </c>
      <c r="G744">
        <v>8</v>
      </c>
      <c r="H744" t="s">
        <v>25</v>
      </c>
      <c r="I744" t="s">
        <v>102</v>
      </c>
      <c r="K744">
        <v>8.1</v>
      </c>
      <c r="L744">
        <v>4220.0999999999904</v>
      </c>
    </row>
    <row r="745" spans="1:12" x14ac:dyDescent="0.3">
      <c r="A745">
        <v>8</v>
      </c>
      <c r="B745">
        <v>22</v>
      </c>
      <c r="D745">
        <v>3</v>
      </c>
      <c r="E745">
        <v>1</v>
      </c>
      <c r="F745">
        <v>0</v>
      </c>
      <c r="G745">
        <v>5</v>
      </c>
      <c r="H745" t="s">
        <v>60</v>
      </c>
      <c r="I745" t="s">
        <v>84</v>
      </c>
      <c r="J745">
        <v>331</v>
      </c>
      <c r="K745">
        <v>9.1</v>
      </c>
      <c r="L745">
        <v>3012.1</v>
      </c>
    </row>
    <row r="746" spans="1:12" x14ac:dyDescent="0.3">
      <c r="A746">
        <v>14</v>
      </c>
      <c r="B746">
        <v>22</v>
      </c>
      <c r="C746">
        <v>2</v>
      </c>
      <c r="D746">
        <v>14</v>
      </c>
      <c r="E746">
        <v>1</v>
      </c>
      <c r="F746">
        <v>0</v>
      </c>
      <c r="G746">
        <v>9</v>
      </c>
      <c r="H746" t="s">
        <v>33</v>
      </c>
      <c r="I746" t="s">
        <v>79</v>
      </c>
      <c r="J746">
        <v>647</v>
      </c>
      <c r="K746" t="s">
        <v>247</v>
      </c>
      <c r="L746">
        <v>6017.1</v>
      </c>
    </row>
    <row r="747" spans="1:12" x14ac:dyDescent="0.3">
      <c r="B747">
        <v>23</v>
      </c>
      <c r="C747">
        <v>0</v>
      </c>
      <c r="D747">
        <v>3</v>
      </c>
      <c r="E747">
        <v>12</v>
      </c>
      <c r="F747">
        <v>0</v>
      </c>
      <c r="G747">
        <v>6</v>
      </c>
      <c r="H747" t="s">
        <v>16</v>
      </c>
      <c r="J747">
        <v>491</v>
      </c>
      <c r="K747">
        <v>8.9</v>
      </c>
      <c r="L747">
        <v>4369.8999999999996</v>
      </c>
    </row>
    <row r="748" spans="1:12" x14ac:dyDescent="0.3">
      <c r="A748">
        <v>20</v>
      </c>
      <c r="B748">
        <v>23</v>
      </c>
      <c r="C748">
        <v>3</v>
      </c>
      <c r="D748">
        <v>5</v>
      </c>
      <c r="E748">
        <v>1</v>
      </c>
      <c r="F748">
        <v>0</v>
      </c>
      <c r="G748">
        <v>3</v>
      </c>
      <c r="H748" t="s">
        <v>49</v>
      </c>
      <c r="I748" t="s">
        <v>84</v>
      </c>
      <c r="J748">
        <v>656</v>
      </c>
      <c r="K748" t="s">
        <v>143</v>
      </c>
      <c r="L748">
        <v>5576</v>
      </c>
    </row>
    <row r="749" spans="1:12" x14ac:dyDescent="0.3">
      <c r="A749">
        <v>22</v>
      </c>
      <c r="B749">
        <v>23</v>
      </c>
      <c r="C749">
        <v>3</v>
      </c>
      <c r="D749">
        <v>20</v>
      </c>
      <c r="E749">
        <v>1</v>
      </c>
      <c r="F749">
        <v>0</v>
      </c>
      <c r="G749">
        <v>12</v>
      </c>
      <c r="H749" t="s">
        <v>38</v>
      </c>
      <c r="I749" t="s">
        <v>84</v>
      </c>
      <c r="J749">
        <v>655</v>
      </c>
      <c r="K749">
        <v>7.4</v>
      </c>
      <c r="L749">
        <v>4847</v>
      </c>
    </row>
    <row r="750" spans="1:12" x14ac:dyDescent="0.3">
      <c r="A750">
        <v>14</v>
      </c>
      <c r="B750">
        <v>23</v>
      </c>
      <c r="C750">
        <v>2</v>
      </c>
      <c r="D750">
        <v>18</v>
      </c>
      <c r="E750">
        <v>1</v>
      </c>
      <c r="F750">
        <v>0</v>
      </c>
      <c r="G750">
        <v>10</v>
      </c>
      <c r="H750" t="s">
        <v>53</v>
      </c>
      <c r="I750" t="s">
        <v>71</v>
      </c>
      <c r="K750">
        <v>7.7</v>
      </c>
      <c r="L750">
        <v>4573.8</v>
      </c>
    </row>
    <row r="751" spans="1:12" x14ac:dyDescent="0.3">
      <c r="A751">
        <v>18</v>
      </c>
      <c r="B751">
        <v>22</v>
      </c>
      <c r="C751">
        <v>0</v>
      </c>
      <c r="D751">
        <v>13</v>
      </c>
      <c r="E751">
        <v>1</v>
      </c>
      <c r="F751">
        <v>0</v>
      </c>
      <c r="G751">
        <v>8</v>
      </c>
      <c r="H751" t="s">
        <v>23</v>
      </c>
      <c r="I751" t="s">
        <v>96</v>
      </c>
      <c r="L751">
        <v>4561.2</v>
      </c>
    </row>
    <row r="752" spans="1:12" x14ac:dyDescent="0.3">
      <c r="A752">
        <v>5</v>
      </c>
      <c r="B752">
        <v>18</v>
      </c>
      <c r="C752">
        <v>0</v>
      </c>
      <c r="D752">
        <v>9</v>
      </c>
      <c r="E752">
        <v>1</v>
      </c>
      <c r="F752">
        <v>0</v>
      </c>
      <c r="G752">
        <v>12</v>
      </c>
      <c r="H752" t="s">
        <v>53</v>
      </c>
      <c r="I752" t="s">
        <v>78</v>
      </c>
      <c r="J752">
        <v>386</v>
      </c>
      <c r="K752">
        <v>7.7</v>
      </c>
      <c r="L752">
        <v>2972.2</v>
      </c>
    </row>
    <row r="753" spans="1:12" x14ac:dyDescent="0.3">
      <c r="A753">
        <v>12</v>
      </c>
      <c r="B753">
        <v>22</v>
      </c>
      <c r="D753">
        <v>6</v>
      </c>
      <c r="E753">
        <v>1</v>
      </c>
      <c r="F753">
        <v>0</v>
      </c>
      <c r="G753">
        <v>2</v>
      </c>
      <c r="H753" t="s">
        <v>21</v>
      </c>
      <c r="I753" t="s">
        <v>95</v>
      </c>
      <c r="K753">
        <v>8.6999999999999993</v>
      </c>
      <c r="L753" t="s">
        <v>298</v>
      </c>
    </row>
    <row r="754" spans="1:12" x14ac:dyDescent="0.3">
      <c r="A754">
        <v>22</v>
      </c>
      <c r="B754">
        <v>22</v>
      </c>
      <c r="D754">
        <v>11</v>
      </c>
      <c r="F754">
        <v>0</v>
      </c>
      <c r="G754">
        <v>11</v>
      </c>
      <c r="H754" t="s">
        <v>21</v>
      </c>
      <c r="I754" t="s">
        <v>72</v>
      </c>
      <c r="J754">
        <v>600</v>
      </c>
      <c r="K754">
        <v>8.6999999999999993</v>
      </c>
      <c r="L754">
        <v>5220</v>
      </c>
    </row>
    <row r="755" spans="1:12" x14ac:dyDescent="0.3">
      <c r="A755">
        <v>9</v>
      </c>
      <c r="B755">
        <v>17</v>
      </c>
      <c r="C755">
        <v>3</v>
      </c>
      <c r="D755">
        <v>5</v>
      </c>
      <c r="E755">
        <v>7</v>
      </c>
      <c r="F755">
        <v>0</v>
      </c>
      <c r="H755" t="s">
        <v>23</v>
      </c>
      <c r="I755" t="s">
        <v>109</v>
      </c>
      <c r="J755">
        <v>502</v>
      </c>
    </row>
    <row r="756" spans="1:12" x14ac:dyDescent="0.3">
      <c r="B756">
        <v>23</v>
      </c>
      <c r="D756">
        <v>3</v>
      </c>
      <c r="E756">
        <v>1</v>
      </c>
      <c r="F756">
        <v>0</v>
      </c>
      <c r="G756">
        <v>9</v>
      </c>
      <c r="H756" t="s">
        <v>53</v>
      </c>
      <c r="I756" t="s">
        <v>105</v>
      </c>
      <c r="J756">
        <v>554</v>
      </c>
      <c r="K756">
        <v>7.7</v>
      </c>
      <c r="L756">
        <v>4265.8</v>
      </c>
    </row>
    <row r="757" spans="1:12" x14ac:dyDescent="0.3">
      <c r="A757">
        <v>15</v>
      </c>
      <c r="B757">
        <v>23</v>
      </c>
      <c r="C757">
        <v>2</v>
      </c>
      <c r="D757">
        <v>19</v>
      </c>
      <c r="E757">
        <v>1</v>
      </c>
      <c r="F757">
        <v>0</v>
      </c>
      <c r="G757">
        <v>7</v>
      </c>
      <c r="H757" t="s">
        <v>60</v>
      </c>
      <c r="I757" t="s">
        <v>90</v>
      </c>
      <c r="J757">
        <v>731</v>
      </c>
      <c r="K757">
        <v>9.1</v>
      </c>
      <c r="L757" t="s">
        <v>299</v>
      </c>
    </row>
    <row r="758" spans="1:12" x14ac:dyDescent="0.3">
      <c r="A758">
        <v>13</v>
      </c>
      <c r="C758">
        <v>0</v>
      </c>
      <c r="D758">
        <v>10</v>
      </c>
      <c r="E758">
        <v>12</v>
      </c>
      <c r="F758">
        <v>0</v>
      </c>
      <c r="G758">
        <v>7</v>
      </c>
      <c r="H758" t="s">
        <v>26</v>
      </c>
      <c r="I758" t="s">
        <v>85</v>
      </c>
      <c r="J758">
        <v>615</v>
      </c>
      <c r="K758">
        <v>8.5</v>
      </c>
      <c r="L758">
        <v>5227.5</v>
      </c>
    </row>
    <row r="759" spans="1:12" x14ac:dyDescent="0.3">
      <c r="A759">
        <v>8</v>
      </c>
      <c r="B759">
        <v>20</v>
      </c>
      <c r="C759">
        <v>1</v>
      </c>
      <c r="D759">
        <v>7</v>
      </c>
      <c r="E759">
        <v>1</v>
      </c>
      <c r="F759">
        <v>0</v>
      </c>
      <c r="G759">
        <v>11</v>
      </c>
      <c r="H759" t="s">
        <v>26</v>
      </c>
      <c r="I759" t="s">
        <v>76</v>
      </c>
      <c r="J759">
        <v>474</v>
      </c>
      <c r="K759" t="s">
        <v>245</v>
      </c>
      <c r="L759" t="s">
        <v>300</v>
      </c>
    </row>
    <row r="760" spans="1:12" x14ac:dyDescent="0.3">
      <c r="A760">
        <v>18</v>
      </c>
      <c r="B760">
        <v>22</v>
      </c>
      <c r="C760">
        <v>0</v>
      </c>
      <c r="D760">
        <v>6</v>
      </c>
      <c r="E760">
        <v>1</v>
      </c>
      <c r="F760">
        <v>0</v>
      </c>
      <c r="G760">
        <v>7</v>
      </c>
      <c r="I760" t="s">
        <v>96</v>
      </c>
      <c r="J760">
        <v>328</v>
      </c>
      <c r="K760">
        <v>7.4</v>
      </c>
      <c r="L760">
        <v>2427.1999999999998</v>
      </c>
    </row>
    <row r="761" spans="1:12" x14ac:dyDescent="0.3">
      <c r="A761">
        <v>5</v>
      </c>
      <c r="B761">
        <v>17</v>
      </c>
      <c r="C761">
        <v>0</v>
      </c>
      <c r="D761">
        <v>7</v>
      </c>
      <c r="E761">
        <v>1</v>
      </c>
      <c r="F761">
        <v>0</v>
      </c>
      <c r="G761">
        <v>8</v>
      </c>
      <c r="I761" t="s">
        <v>88</v>
      </c>
      <c r="J761">
        <v>411</v>
      </c>
      <c r="K761">
        <v>8.9</v>
      </c>
      <c r="L761">
        <v>3657.9</v>
      </c>
    </row>
    <row r="762" spans="1:12" x14ac:dyDescent="0.3">
      <c r="A762">
        <v>19</v>
      </c>
      <c r="B762">
        <v>23</v>
      </c>
      <c r="C762">
        <v>1</v>
      </c>
      <c r="D762">
        <v>4</v>
      </c>
      <c r="E762">
        <v>1</v>
      </c>
      <c r="F762">
        <v>0</v>
      </c>
      <c r="G762">
        <v>3</v>
      </c>
      <c r="H762" t="s">
        <v>21</v>
      </c>
      <c r="I762" t="s">
        <v>75</v>
      </c>
      <c r="J762" t="s">
        <v>175</v>
      </c>
      <c r="K762">
        <v>8.6999999999999993</v>
      </c>
      <c r="L762">
        <v>5185.2</v>
      </c>
    </row>
    <row r="763" spans="1:12" x14ac:dyDescent="0.3">
      <c r="A763">
        <v>18</v>
      </c>
      <c r="B763">
        <v>22</v>
      </c>
      <c r="C763">
        <v>2</v>
      </c>
      <c r="D763">
        <v>6</v>
      </c>
      <c r="E763">
        <v>1</v>
      </c>
      <c r="F763">
        <v>0</v>
      </c>
      <c r="G763">
        <v>12</v>
      </c>
      <c r="H763" t="s">
        <v>24</v>
      </c>
      <c r="I763" t="s">
        <v>91</v>
      </c>
      <c r="J763">
        <v>423</v>
      </c>
      <c r="K763">
        <v>7.9</v>
      </c>
      <c r="L763">
        <v>3341.7</v>
      </c>
    </row>
    <row r="764" spans="1:12" x14ac:dyDescent="0.3">
      <c r="A764">
        <v>15</v>
      </c>
      <c r="B764">
        <v>22</v>
      </c>
      <c r="C764">
        <v>0</v>
      </c>
      <c r="D764">
        <v>21</v>
      </c>
      <c r="E764">
        <v>1</v>
      </c>
      <c r="F764">
        <v>0</v>
      </c>
      <c r="G764">
        <v>5</v>
      </c>
      <c r="H764" t="s">
        <v>57</v>
      </c>
      <c r="I764" t="s">
        <v>76</v>
      </c>
      <c r="J764">
        <v>477</v>
      </c>
      <c r="K764">
        <v>9.1999999999999993</v>
      </c>
      <c r="L764">
        <v>4388.3999999999996</v>
      </c>
    </row>
    <row r="765" spans="1:12" x14ac:dyDescent="0.3">
      <c r="A765">
        <v>7</v>
      </c>
      <c r="B765">
        <v>23</v>
      </c>
      <c r="C765">
        <v>0</v>
      </c>
      <c r="D765">
        <v>7</v>
      </c>
      <c r="E765">
        <v>1</v>
      </c>
      <c r="F765">
        <v>0</v>
      </c>
      <c r="G765">
        <v>7</v>
      </c>
      <c r="H765" t="s">
        <v>30</v>
      </c>
      <c r="I765" t="s">
        <v>70</v>
      </c>
      <c r="J765">
        <v>414</v>
      </c>
      <c r="K765">
        <v>9.1999999999999993</v>
      </c>
      <c r="L765">
        <v>3808.7999999999902</v>
      </c>
    </row>
    <row r="766" spans="1:12" x14ac:dyDescent="0.3">
      <c r="A766">
        <v>12</v>
      </c>
      <c r="B766">
        <v>22</v>
      </c>
      <c r="C766">
        <v>2</v>
      </c>
      <c r="D766">
        <v>11</v>
      </c>
      <c r="E766">
        <v>1</v>
      </c>
      <c r="F766">
        <v>0</v>
      </c>
      <c r="G766">
        <v>3</v>
      </c>
      <c r="H766" t="s">
        <v>49</v>
      </c>
      <c r="I766" t="s">
        <v>77</v>
      </c>
      <c r="J766">
        <v>438</v>
      </c>
      <c r="K766">
        <v>8.5</v>
      </c>
      <c r="L766">
        <v>3723</v>
      </c>
    </row>
    <row r="767" spans="1:12" x14ac:dyDescent="0.3">
      <c r="A767">
        <v>10</v>
      </c>
      <c r="B767">
        <v>17</v>
      </c>
      <c r="C767">
        <v>0</v>
      </c>
      <c r="E767">
        <v>1</v>
      </c>
      <c r="F767">
        <v>0</v>
      </c>
      <c r="G767">
        <v>10</v>
      </c>
      <c r="I767" t="s">
        <v>73</v>
      </c>
      <c r="J767">
        <v>175</v>
      </c>
      <c r="K767">
        <v>7.7</v>
      </c>
      <c r="L767">
        <v>1347.5</v>
      </c>
    </row>
    <row r="768" spans="1:12" x14ac:dyDescent="0.3">
      <c r="A768">
        <v>15</v>
      </c>
      <c r="C768">
        <v>3</v>
      </c>
      <c r="D768">
        <v>10</v>
      </c>
      <c r="E768">
        <v>1</v>
      </c>
      <c r="F768">
        <v>0</v>
      </c>
      <c r="G768">
        <v>12</v>
      </c>
      <c r="H768" t="s">
        <v>37</v>
      </c>
      <c r="I768" t="s">
        <v>78</v>
      </c>
      <c r="J768">
        <v>576</v>
      </c>
      <c r="K768">
        <v>8.3000000000000007</v>
      </c>
      <c r="L768">
        <v>4780.8</v>
      </c>
    </row>
    <row r="769" spans="1:12" x14ac:dyDescent="0.3">
      <c r="A769">
        <v>6</v>
      </c>
      <c r="B769">
        <v>22</v>
      </c>
      <c r="C769">
        <v>3</v>
      </c>
      <c r="D769">
        <v>10</v>
      </c>
      <c r="E769">
        <v>1</v>
      </c>
      <c r="F769">
        <v>0</v>
      </c>
      <c r="G769">
        <v>1</v>
      </c>
      <c r="H769" t="s">
        <v>30</v>
      </c>
      <c r="I769" t="s">
        <v>70</v>
      </c>
      <c r="J769">
        <v>437</v>
      </c>
      <c r="K769">
        <v>9.1999999999999993</v>
      </c>
      <c r="L769">
        <v>4020.3999999999901</v>
      </c>
    </row>
    <row r="770" spans="1:12" x14ac:dyDescent="0.3">
      <c r="A770">
        <v>15</v>
      </c>
      <c r="B770">
        <v>23</v>
      </c>
      <c r="C770">
        <v>1</v>
      </c>
      <c r="D770">
        <v>3</v>
      </c>
      <c r="E770">
        <v>1</v>
      </c>
      <c r="F770">
        <v>0</v>
      </c>
      <c r="G770">
        <v>10</v>
      </c>
      <c r="H770" t="s">
        <v>36</v>
      </c>
      <c r="I770" t="s">
        <v>85</v>
      </c>
      <c r="J770">
        <v>510</v>
      </c>
      <c r="K770">
        <v>8.8000000000000007</v>
      </c>
      <c r="L770">
        <v>4488</v>
      </c>
    </row>
    <row r="771" spans="1:12" x14ac:dyDescent="0.3">
      <c r="A771">
        <v>5</v>
      </c>
      <c r="B771">
        <v>17</v>
      </c>
      <c r="C771">
        <v>2</v>
      </c>
      <c r="D771">
        <v>8</v>
      </c>
      <c r="E771">
        <v>1</v>
      </c>
      <c r="F771">
        <v>0</v>
      </c>
      <c r="G771">
        <v>10</v>
      </c>
      <c r="H771" t="s">
        <v>35</v>
      </c>
      <c r="I771" t="s">
        <v>87</v>
      </c>
      <c r="J771">
        <v>258</v>
      </c>
      <c r="K771">
        <v>8.1999999999999993</v>
      </c>
      <c r="L771">
        <v>2115.6</v>
      </c>
    </row>
    <row r="772" spans="1:12" x14ac:dyDescent="0.3">
      <c r="A772">
        <v>11</v>
      </c>
      <c r="B772">
        <v>23</v>
      </c>
      <c r="C772">
        <v>2</v>
      </c>
      <c r="D772">
        <v>3</v>
      </c>
      <c r="F772">
        <v>0</v>
      </c>
      <c r="G772">
        <v>10</v>
      </c>
      <c r="I772" t="s">
        <v>76</v>
      </c>
      <c r="J772">
        <v>513</v>
      </c>
      <c r="K772">
        <v>7.8</v>
      </c>
      <c r="L772">
        <v>4001.4</v>
      </c>
    </row>
    <row r="773" spans="1:12" x14ac:dyDescent="0.3">
      <c r="A773">
        <v>7</v>
      </c>
      <c r="B773">
        <v>21</v>
      </c>
      <c r="C773">
        <v>0</v>
      </c>
      <c r="D773">
        <v>5</v>
      </c>
      <c r="E773">
        <v>1</v>
      </c>
      <c r="F773">
        <v>0</v>
      </c>
      <c r="G773">
        <v>1</v>
      </c>
      <c r="H773" t="s">
        <v>62</v>
      </c>
      <c r="I773" t="s">
        <v>85</v>
      </c>
      <c r="J773">
        <v>417</v>
      </c>
      <c r="K773">
        <v>8.5</v>
      </c>
      <c r="L773">
        <v>3544.5</v>
      </c>
    </row>
    <row r="774" spans="1:12" x14ac:dyDescent="0.3">
      <c r="A774">
        <v>7</v>
      </c>
      <c r="B774">
        <v>21</v>
      </c>
      <c r="C774">
        <v>0</v>
      </c>
      <c r="D774">
        <v>3</v>
      </c>
      <c r="E774">
        <v>1</v>
      </c>
      <c r="F774">
        <v>0</v>
      </c>
      <c r="G774">
        <v>12</v>
      </c>
      <c r="H774" t="s">
        <v>23</v>
      </c>
      <c r="I774" t="s">
        <v>74</v>
      </c>
      <c r="J774">
        <v>421</v>
      </c>
      <c r="K774">
        <v>8.4</v>
      </c>
      <c r="L774">
        <v>3536.4</v>
      </c>
    </row>
    <row r="775" spans="1:12" x14ac:dyDescent="0.3">
      <c r="A775">
        <v>13</v>
      </c>
      <c r="B775">
        <v>22</v>
      </c>
      <c r="C775">
        <v>2</v>
      </c>
      <c r="D775">
        <v>3</v>
      </c>
      <c r="E775">
        <v>1</v>
      </c>
      <c r="F775">
        <v>0</v>
      </c>
      <c r="G775">
        <v>11</v>
      </c>
      <c r="H775" t="s">
        <v>32</v>
      </c>
      <c r="I775" t="s">
        <v>77</v>
      </c>
      <c r="J775">
        <v>318</v>
      </c>
      <c r="K775">
        <v>7.6</v>
      </c>
      <c r="L775">
        <v>2416.7999999999902</v>
      </c>
    </row>
    <row r="776" spans="1:12" x14ac:dyDescent="0.3">
      <c r="A776">
        <v>16</v>
      </c>
      <c r="B776">
        <v>22</v>
      </c>
      <c r="C776">
        <v>3</v>
      </c>
      <c r="D776">
        <v>12</v>
      </c>
      <c r="E776">
        <v>1</v>
      </c>
      <c r="F776">
        <v>0</v>
      </c>
      <c r="G776">
        <v>4</v>
      </c>
      <c r="H776" t="s">
        <v>35</v>
      </c>
      <c r="I776" t="s">
        <v>95</v>
      </c>
      <c r="J776">
        <v>610</v>
      </c>
      <c r="L776">
        <v>5002</v>
      </c>
    </row>
    <row r="777" spans="1:12" x14ac:dyDescent="0.3">
      <c r="A777">
        <v>8</v>
      </c>
      <c r="B777">
        <v>20</v>
      </c>
      <c r="C777">
        <v>2</v>
      </c>
      <c r="D777">
        <v>13</v>
      </c>
      <c r="E777">
        <v>1</v>
      </c>
      <c r="F777">
        <v>0</v>
      </c>
      <c r="G777">
        <v>11</v>
      </c>
      <c r="H777" t="s">
        <v>24</v>
      </c>
      <c r="I777" t="s">
        <v>92</v>
      </c>
      <c r="J777">
        <v>364</v>
      </c>
      <c r="K777">
        <v>7.9</v>
      </c>
      <c r="L777">
        <v>2875.6</v>
      </c>
    </row>
    <row r="778" spans="1:12" x14ac:dyDescent="0.3">
      <c r="A778">
        <v>8</v>
      </c>
      <c r="B778">
        <v>17</v>
      </c>
      <c r="C778">
        <v>1</v>
      </c>
      <c r="D778">
        <v>4</v>
      </c>
      <c r="E778">
        <v>7</v>
      </c>
      <c r="F778">
        <v>0</v>
      </c>
      <c r="H778" t="s">
        <v>24</v>
      </c>
      <c r="I778" t="s">
        <v>91</v>
      </c>
      <c r="J778">
        <v>460</v>
      </c>
      <c r="K778">
        <v>7.9</v>
      </c>
      <c r="L778">
        <v>3634</v>
      </c>
    </row>
    <row r="779" spans="1:12" x14ac:dyDescent="0.3">
      <c r="A779">
        <v>12</v>
      </c>
      <c r="B779">
        <v>22</v>
      </c>
      <c r="C779">
        <v>3</v>
      </c>
      <c r="D779">
        <v>14</v>
      </c>
      <c r="E779">
        <v>1</v>
      </c>
      <c r="F779">
        <v>0</v>
      </c>
      <c r="H779" t="s">
        <v>33</v>
      </c>
      <c r="I779" t="s">
        <v>79</v>
      </c>
      <c r="J779">
        <v>643</v>
      </c>
      <c r="K779">
        <v>9.3000000000000007</v>
      </c>
      <c r="L779">
        <v>5979.9</v>
      </c>
    </row>
    <row r="780" spans="1:12" x14ac:dyDescent="0.3">
      <c r="A780">
        <v>5</v>
      </c>
      <c r="B780">
        <v>21</v>
      </c>
      <c r="C780">
        <v>3</v>
      </c>
      <c r="D780">
        <v>13</v>
      </c>
      <c r="E780">
        <v>7</v>
      </c>
      <c r="F780">
        <v>0</v>
      </c>
      <c r="G780">
        <v>9</v>
      </c>
      <c r="H780" t="s">
        <v>24</v>
      </c>
      <c r="I780" t="s">
        <v>90</v>
      </c>
      <c r="J780">
        <v>589</v>
      </c>
      <c r="K780">
        <v>7.9</v>
      </c>
      <c r="L780">
        <v>4653.1000000000004</v>
      </c>
    </row>
    <row r="781" spans="1:12" x14ac:dyDescent="0.3">
      <c r="A781">
        <v>16</v>
      </c>
      <c r="B781">
        <v>23</v>
      </c>
      <c r="C781">
        <v>0</v>
      </c>
      <c r="D781">
        <v>6</v>
      </c>
      <c r="E781">
        <v>1</v>
      </c>
      <c r="F781">
        <v>0</v>
      </c>
      <c r="G781">
        <v>12</v>
      </c>
      <c r="I781" t="s">
        <v>93</v>
      </c>
      <c r="J781">
        <v>490</v>
      </c>
      <c r="K781">
        <v>7.7</v>
      </c>
      <c r="L781">
        <v>3773</v>
      </c>
    </row>
    <row r="782" spans="1:12" x14ac:dyDescent="0.3">
      <c r="A782">
        <v>14</v>
      </c>
      <c r="B782">
        <v>22</v>
      </c>
      <c r="C782">
        <v>0</v>
      </c>
      <c r="D782">
        <v>13</v>
      </c>
      <c r="E782">
        <v>1</v>
      </c>
      <c r="F782">
        <v>0</v>
      </c>
      <c r="G782">
        <v>12</v>
      </c>
      <c r="H782" t="s">
        <v>15</v>
      </c>
      <c r="I782" t="s">
        <v>82</v>
      </c>
      <c r="J782">
        <v>485</v>
      </c>
      <c r="K782">
        <v>8.3000000000000007</v>
      </c>
      <c r="L782">
        <v>4025.5</v>
      </c>
    </row>
    <row r="783" spans="1:12" x14ac:dyDescent="0.3">
      <c r="A783">
        <v>9</v>
      </c>
      <c r="B783">
        <v>19</v>
      </c>
      <c r="C783">
        <v>1</v>
      </c>
      <c r="D783">
        <v>12</v>
      </c>
      <c r="E783">
        <v>1</v>
      </c>
      <c r="F783">
        <v>0</v>
      </c>
      <c r="G783">
        <v>1</v>
      </c>
      <c r="H783" t="s">
        <v>38</v>
      </c>
      <c r="I783" t="s">
        <v>94</v>
      </c>
      <c r="J783">
        <v>472</v>
      </c>
      <c r="K783">
        <v>7.4</v>
      </c>
      <c r="L783">
        <v>3492.8</v>
      </c>
    </row>
    <row r="784" spans="1:12" x14ac:dyDescent="0.3">
      <c r="A784">
        <v>22</v>
      </c>
      <c r="C784">
        <v>3</v>
      </c>
      <c r="D784">
        <v>3</v>
      </c>
      <c r="E784">
        <v>1</v>
      </c>
      <c r="F784">
        <v>0</v>
      </c>
      <c r="G784">
        <v>3</v>
      </c>
      <c r="H784" t="s">
        <v>16</v>
      </c>
      <c r="I784" t="s">
        <v>71</v>
      </c>
      <c r="J784">
        <v>392</v>
      </c>
      <c r="K784">
        <v>8.9</v>
      </c>
      <c r="L784">
        <v>3488.8</v>
      </c>
    </row>
    <row r="785" spans="1:12" x14ac:dyDescent="0.3">
      <c r="A785">
        <v>13</v>
      </c>
      <c r="B785">
        <v>22</v>
      </c>
      <c r="C785">
        <v>2</v>
      </c>
      <c r="D785">
        <v>21</v>
      </c>
      <c r="E785">
        <v>1</v>
      </c>
      <c r="G785">
        <v>4</v>
      </c>
      <c r="H785" t="s">
        <v>23</v>
      </c>
      <c r="I785" t="s">
        <v>82</v>
      </c>
      <c r="J785">
        <v>546</v>
      </c>
      <c r="K785">
        <v>8.4</v>
      </c>
      <c r="L785">
        <v>4586.3999999999996</v>
      </c>
    </row>
    <row r="786" spans="1:12" x14ac:dyDescent="0.3">
      <c r="A786">
        <v>23</v>
      </c>
      <c r="B786">
        <v>22</v>
      </c>
      <c r="C786">
        <v>3</v>
      </c>
      <c r="D786">
        <v>20</v>
      </c>
      <c r="E786">
        <v>1</v>
      </c>
      <c r="F786">
        <v>0</v>
      </c>
      <c r="G786">
        <v>7</v>
      </c>
      <c r="H786" t="s">
        <v>19</v>
      </c>
      <c r="I786" t="s">
        <v>92</v>
      </c>
      <c r="J786">
        <v>629</v>
      </c>
      <c r="L786">
        <v>5598.1</v>
      </c>
    </row>
    <row r="787" spans="1:12" x14ac:dyDescent="0.3">
      <c r="A787">
        <v>20</v>
      </c>
      <c r="B787">
        <v>22</v>
      </c>
      <c r="C787">
        <v>3</v>
      </c>
      <c r="D787">
        <v>11</v>
      </c>
      <c r="E787">
        <v>1</v>
      </c>
      <c r="F787">
        <v>0</v>
      </c>
      <c r="G787">
        <v>8</v>
      </c>
      <c r="H787" t="s">
        <v>26</v>
      </c>
      <c r="I787" t="s">
        <v>127</v>
      </c>
      <c r="J787">
        <v>629</v>
      </c>
      <c r="K787">
        <v>8.5</v>
      </c>
      <c r="L787">
        <v>5346.5</v>
      </c>
    </row>
    <row r="788" spans="1:12" x14ac:dyDescent="0.3">
      <c r="A788">
        <v>12</v>
      </c>
      <c r="B788">
        <v>23</v>
      </c>
      <c r="C788">
        <v>0</v>
      </c>
      <c r="D788">
        <v>18</v>
      </c>
      <c r="E788">
        <v>1</v>
      </c>
      <c r="F788">
        <v>0</v>
      </c>
      <c r="G788">
        <v>3</v>
      </c>
      <c r="H788" t="s">
        <v>26</v>
      </c>
      <c r="I788" t="s">
        <v>73</v>
      </c>
      <c r="J788">
        <v>467</v>
      </c>
      <c r="K788">
        <v>8.5</v>
      </c>
      <c r="L788">
        <v>3969.5</v>
      </c>
    </row>
    <row r="789" spans="1:12" x14ac:dyDescent="0.3">
      <c r="A789">
        <v>7</v>
      </c>
      <c r="B789">
        <v>21</v>
      </c>
      <c r="C789">
        <v>3</v>
      </c>
      <c r="D789">
        <v>15</v>
      </c>
      <c r="E789">
        <v>1</v>
      </c>
      <c r="F789">
        <v>0</v>
      </c>
      <c r="G789">
        <v>12</v>
      </c>
      <c r="H789" t="s">
        <v>16</v>
      </c>
      <c r="I789" t="s">
        <v>95</v>
      </c>
      <c r="J789">
        <v>558</v>
      </c>
      <c r="K789">
        <v>8.9</v>
      </c>
      <c r="L789">
        <v>4966.2</v>
      </c>
    </row>
    <row r="790" spans="1:12" x14ac:dyDescent="0.3">
      <c r="A790">
        <v>20</v>
      </c>
      <c r="B790">
        <v>22</v>
      </c>
      <c r="C790">
        <v>0</v>
      </c>
      <c r="D790">
        <v>5</v>
      </c>
      <c r="E790">
        <v>1</v>
      </c>
      <c r="F790">
        <v>0</v>
      </c>
      <c r="G790">
        <v>12</v>
      </c>
      <c r="H790" t="s">
        <v>50</v>
      </c>
      <c r="I790" t="s">
        <v>91</v>
      </c>
      <c r="J790">
        <v>370</v>
      </c>
      <c r="K790">
        <v>9.3000000000000007</v>
      </c>
      <c r="L790">
        <v>3441</v>
      </c>
    </row>
    <row r="791" spans="1:12" x14ac:dyDescent="0.3">
      <c r="A791">
        <v>11</v>
      </c>
      <c r="B791">
        <v>22</v>
      </c>
      <c r="C791">
        <v>3</v>
      </c>
      <c r="D791">
        <v>14</v>
      </c>
      <c r="E791">
        <v>1</v>
      </c>
      <c r="F791">
        <v>0</v>
      </c>
      <c r="G791">
        <v>5</v>
      </c>
      <c r="H791" t="s">
        <v>61</v>
      </c>
      <c r="I791" t="s">
        <v>91</v>
      </c>
      <c r="J791">
        <v>427</v>
      </c>
      <c r="K791">
        <v>7.4</v>
      </c>
      <c r="L791">
        <v>3159.8</v>
      </c>
    </row>
    <row r="792" spans="1:12" x14ac:dyDescent="0.3">
      <c r="A792">
        <v>5</v>
      </c>
      <c r="B792">
        <v>23</v>
      </c>
      <c r="C792">
        <v>1</v>
      </c>
      <c r="D792">
        <v>11</v>
      </c>
      <c r="E792">
        <v>1</v>
      </c>
      <c r="F792">
        <v>0</v>
      </c>
      <c r="G792">
        <v>10</v>
      </c>
      <c r="H792" t="s">
        <v>15</v>
      </c>
      <c r="I792" t="s">
        <v>74</v>
      </c>
      <c r="J792">
        <v>571</v>
      </c>
      <c r="K792">
        <v>8.3000000000000007</v>
      </c>
      <c r="L792">
        <v>4739.3</v>
      </c>
    </row>
    <row r="793" spans="1:12" x14ac:dyDescent="0.3">
      <c r="A793">
        <v>13</v>
      </c>
      <c r="B793">
        <v>22</v>
      </c>
      <c r="C793">
        <v>0</v>
      </c>
      <c r="D793">
        <v>9</v>
      </c>
      <c r="E793">
        <v>1</v>
      </c>
      <c r="F793">
        <v>0</v>
      </c>
      <c r="G793">
        <v>5</v>
      </c>
      <c r="H793" t="s">
        <v>54</v>
      </c>
      <c r="I793" t="s">
        <v>91</v>
      </c>
      <c r="J793">
        <v>469</v>
      </c>
      <c r="K793">
        <v>9.1999999999999993</v>
      </c>
      <c r="L793">
        <v>4314.7999999999902</v>
      </c>
    </row>
    <row r="794" spans="1:12" x14ac:dyDescent="0.3">
      <c r="A794">
        <v>22</v>
      </c>
      <c r="B794">
        <v>22</v>
      </c>
      <c r="C794">
        <v>2</v>
      </c>
      <c r="D794">
        <v>11</v>
      </c>
      <c r="E794">
        <v>1</v>
      </c>
      <c r="F794">
        <v>0</v>
      </c>
      <c r="G794">
        <v>1</v>
      </c>
      <c r="H794" t="s">
        <v>34</v>
      </c>
      <c r="I794" t="s">
        <v>97</v>
      </c>
      <c r="J794">
        <v>473</v>
      </c>
      <c r="K794">
        <v>7.6</v>
      </c>
      <c r="L794">
        <v>3594.7999999999902</v>
      </c>
    </row>
    <row r="795" spans="1:12" x14ac:dyDescent="0.3">
      <c r="A795">
        <v>6</v>
      </c>
      <c r="B795">
        <v>19</v>
      </c>
      <c r="C795">
        <v>2</v>
      </c>
      <c r="D795">
        <v>22</v>
      </c>
      <c r="E795">
        <v>1</v>
      </c>
      <c r="F795">
        <v>0</v>
      </c>
      <c r="G795">
        <v>7</v>
      </c>
      <c r="H795" t="s">
        <v>31</v>
      </c>
      <c r="I795" t="s">
        <v>70</v>
      </c>
      <c r="J795">
        <v>428</v>
      </c>
      <c r="L795" t="s">
        <v>301</v>
      </c>
    </row>
    <row r="796" spans="1:12" x14ac:dyDescent="0.3">
      <c r="A796">
        <v>20</v>
      </c>
      <c r="B796">
        <v>23</v>
      </c>
      <c r="C796">
        <v>2</v>
      </c>
      <c r="D796">
        <v>20</v>
      </c>
      <c r="E796">
        <v>12</v>
      </c>
      <c r="F796">
        <v>0</v>
      </c>
      <c r="G796">
        <v>3</v>
      </c>
      <c r="H796" t="s">
        <v>36</v>
      </c>
      <c r="I796" t="s">
        <v>82</v>
      </c>
      <c r="J796">
        <v>884</v>
      </c>
      <c r="K796">
        <v>8.8000000000000007</v>
      </c>
      <c r="L796" t="s">
        <v>302</v>
      </c>
    </row>
    <row r="797" spans="1:12" x14ac:dyDescent="0.3">
      <c r="A797">
        <v>23</v>
      </c>
      <c r="B797">
        <v>23</v>
      </c>
      <c r="C797">
        <v>0</v>
      </c>
      <c r="D797">
        <v>9</v>
      </c>
      <c r="E797">
        <v>1</v>
      </c>
      <c r="F797">
        <v>0</v>
      </c>
      <c r="G797">
        <v>4</v>
      </c>
      <c r="H797" t="s">
        <v>30</v>
      </c>
      <c r="I797" t="s">
        <v>121</v>
      </c>
      <c r="J797">
        <v>412</v>
      </c>
      <c r="K797">
        <v>9.1999999999999993</v>
      </c>
      <c r="L797">
        <v>3790.3999999999901</v>
      </c>
    </row>
    <row r="798" spans="1:12" x14ac:dyDescent="0.3">
      <c r="A798">
        <v>5</v>
      </c>
      <c r="B798">
        <v>21</v>
      </c>
      <c r="C798">
        <v>1</v>
      </c>
      <c r="D798">
        <v>17</v>
      </c>
      <c r="E798">
        <v>1</v>
      </c>
      <c r="G798">
        <v>8</v>
      </c>
      <c r="H798" t="s">
        <v>40</v>
      </c>
      <c r="I798" t="s">
        <v>83</v>
      </c>
      <c r="J798">
        <v>507</v>
      </c>
      <c r="K798">
        <v>7.4</v>
      </c>
      <c r="L798">
        <v>3751.8</v>
      </c>
    </row>
    <row r="799" spans="1:12" x14ac:dyDescent="0.3">
      <c r="A799">
        <v>9</v>
      </c>
      <c r="B799">
        <v>20</v>
      </c>
      <c r="C799">
        <v>2</v>
      </c>
      <c r="D799">
        <v>9</v>
      </c>
      <c r="E799">
        <v>1</v>
      </c>
      <c r="F799">
        <v>0</v>
      </c>
      <c r="G799">
        <v>4</v>
      </c>
      <c r="H799" t="s">
        <v>36</v>
      </c>
      <c r="I799" t="s">
        <v>88</v>
      </c>
      <c r="J799">
        <v>281</v>
      </c>
      <c r="K799">
        <v>8.8000000000000007</v>
      </c>
      <c r="L799">
        <v>2472.8000000000002</v>
      </c>
    </row>
    <row r="800" spans="1:12" x14ac:dyDescent="0.3">
      <c r="A800">
        <v>14</v>
      </c>
      <c r="B800">
        <v>22</v>
      </c>
      <c r="C800">
        <v>2</v>
      </c>
      <c r="D800">
        <v>7</v>
      </c>
      <c r="E800">
        <v>1</v>
      </c>
      <c r="F800">
        <v>0</v>
      </c>
      <c r="G800">
        <v>2</v>
      </c>
      <c r="H800" t="s">
        <v>21</v>
      </c>
      <c r="I800" t="s">
        <v>104</v>
      </c>
      <c r="J800">
        <v>465</v>
      </c>
      <c r="K800">
        <v>8.6999999999999993</v>
      </c>
      <c r="L800">
        <v>4045.49999999999</v>
      </c>
    </row>
    <row r="801" spans="1:12" x14ac:dyDescent="0.3">
      <c r="A801">
        <v>20</v>
      </c>
      <c r="B801">
        <v>22</v>
      </c>
      <c r="C801">
        <v>2</v>
      </c>
      <c r="D801">
        <v>6</v>
      </c>
      <c r="E801">
        <v>1</v>
      </c>
      <c r="F801">
        <v>0</v>
      </c>
      <c r="G801">
        <v>10</v>
      </c>
      <c r="H801" t="s">
        <v>22</v>
      </c>
      <c r="J801">
        <v>623</v>
      </c>
      <c r="K801">
        <v>7.8</v>
      </c>
      <c r="L801">
        <v>4859.3999999999996</v>
      </c>
    </row>
    <row r="802" spans="1:12" x14ac:dyDescent="0.3">
      <c r="A802">
        <v>10</v>
      </c>
      <c r="B802">
        <v>19</v>
      </c>
      <c r="C802">
        <v>0</v>
      </c>
      <c r="D802">
        <v>22</v>
      </c>
      <c r="E802">
        <v>1</v>
      </c>
      <c r="F802">
        <v>0</v>
      </c>
      <c r="G802">
        <v>1</v>
      </c>
      <c r="H802" t="s">
        <v>35</v>
      </c>
      <c r="I802" t="s">
        <v>79</v>
      </c>
      <c r="J802">
        <v>383</v>
      </c>
      <c r="K802">
        <v>8.1999999999999993</v>
      </c>
      <c r="L802">
        <v>3140.6</v>
      </c>
    </row>
    <row r="803" spans="1:12" x14ac:dyDescent="0.3">
      <c r="B803">
        <v>23</v>
      </c>
      <c r="C803">
        <v>0</v>
      </c>
      <c r="D803">
        <v>7</v>
      </c>
      <c r="E803">
        <v>1</v>
      </c>
      <c r="F803">
        <v>0</v>
      </c>
      <c r="G803">
        <v>4</v>
      </c>
      <c r="H803" t="s">
        <v>30</v>
      </c>
      <c r="I803" t="s">
        <v>93</v>
      </c>
      <c r="J803">
        <v>284</v>
      </c>
      <c r="K803">
        <v>9.1999999999999993</v>
      </c>
      <c r="L803">
        <v>2612.7999999999902</v>
      </c>
    </row>
    <row r="804" spans="1:12" x14ac:dyDescent="0.3">
      <c r="A804">
        <v>22</v>
      </c>
      <c r="C804">
        <v>3</v>
      </c>
      <c r="D804">
        <v>21</v>
      </c>
      <c r="E804">
        <v>1</v>
      </c>
      <c r="G804">
        <v>5</v>
      </c>
      <c r="H804" t="s">
        <v>35</v>
      </c>
      <c r="I804" t="s">
        <v>85</v>
      </c>
      <c r="J804">
        <v>676</v>
      </c>
      <c r="K804">
        <v>8.1999999999999993</v>
      </c>
    </row>
    <row r="805" spans="1:12" x14ac:dyDescent="0.3">
      <c r="A805">
        <v>17</v>
      </c>
      <c r="B805">
        <v>23</v>
      </c>
      <c r="C805">
        <v>0</v>
      </c>
      <c r="D805">
        <v>11</v>
      </c>
      <c r="E805">
        <v>1</v>
      </c>
      <c r="F805">
        <v>0</v>
      </c>
      <c r="G805">
        <v>8</v>
      </c>
      <c r="H805" t="s">
        <v>15</v>
      </c>
      <c r="I805" t="s">
        <v>95</v>
      </c>
      <c r="J805">
        <v>521</v>
      </c>
      <c r="K805">
        <v>8.3000000000000007</v>
      </c>
      <c r="L805">
        <v>4324.3</v>
      </c>
    </row>
    <row r="806" spans="1:12" x14ac:dyDescent="0.3">
      <c r="A806">
        <v>7</v>
      </c>
      <c r="B806">
        <v>23</v>
      </c>
      <c r="C806">
        <v>2</v>
      </c>
      <c r="D806">
        <v>15</v>
      </c>
      <c r="E806">
        <v>1</v>
      </c>
      <c r="F806">
        <v>0</v>
      </c>
      <c r="G806">
        <v>4</v>
      </c>
      <c r="H806" t="s">
        <v>26</v>
      </c>
      <c r="I806" t="s">
        <v>70</v>
      </c>
      <c r="J806">
        <v>593</v>
      </c>
      <c r="K806">
        <v>8.5</v>
      </c>
      <c r="L806">
        <v>5040.5</v>
      </c>
    </row>
    <row r="807" spans="1:12" x14ac:dyDescent="0.3">
      <c r="A807">
        <v>6</v>
      </c>
      <c r="B807">
        <v>20</v>
      </c>
      <c r="C807">
        <v>1</v>
      </c>
      <c r="D807">
        <v>20</v>
      </c>
      <c r="E807">
        <v>7</v>
      </c>
      <c r="G807">
        <v>4</v>
      </c>
      <c r="H807" t="s">
        <v>23</v>
      </c>
      <c r="I807" t="s">
        <v>95</v>
      </c>
      <c r="J807">
        <v>584</v>
      </c>
      <c r="K807">
        <v>8.4</v>
      </c>
      <c r="L807">
        <v>4905.6000000000004</v>
      </c>
    </row>
    <row r="808" spans="1:12" x14ac:dyDescent="0.3">
      <c r="A808">
        <v>18</v>
      </c>
      <c r="B808">
        <v>23</v>
      </c>
      <c r="C808">
        <v>3</v>
      </c>
      <c r="D808">
        <v>16</v>
      </c>
      <c r="E808">
        <v>1</v>
      </c>
      <c r="F808">
        <v>0</v>
      </c>
      <c r="G808">
        <v>7</v>
      </c>
      <c r="H808" t="s">
        <v>26</v>
      </c>
      <c r="I808" t="s">
        <v>107</v>
      </c>
      <c r="J808">
        <v>714</v>
      </c>
      <c r="K808">
        <v>8.5</v>
      </c>
      <c r="L808">
        <v>6069</v>
      </c>
    </row>
    <row r="809" spans="1:12" x14ac:dyDescent="0.3">
      <c r="B809">
        <v>23</v>
      </c>
      <c r="C809">
        <v>1</v>
      </c>
      <c r="D809">
        <v>17</v>
      </c>
      <c r="E809">
        <v>1</v>
      </c>
      <c r="F809">
        <v>0</v>
      </c>
      <c r="G809">
        <v>9</v>
      </c>
      <c r="H809" t="s">
        <v>21</v>
      </c>
      <c r="I809" t="s">
        <v>83</v>
      </c>
      <c r="J809">
        <v>462</v>
      </c>
      <c r="K809">
        <v>8.6999999999999993</v>
      </c>
      <c r="L809">
        <v>4019.3999999999901</v>
      </c>
    </row>
    <row r="810" spans="1:12" x14ac:dyDescent="0.3">
      <c r="A810">
        <v>6</v>
      </c>
      <c r="B810">
        <v>20</v>
      </c>
      <c r="C810">
        <v>1</v>
      </c>
      <c r="D810">
        <v>16</v>
      </c>
      <c r="E810">
        <v>1</v>
      </c>
      <c r="F810">
        <v>0</v>
      </c>
      <c r="G810">
        <v>9</v>
      </c>
      <c r="H810" t="s">
        <v>16</v>
      </c>
      <c r="I810" t="s">
        <v>88</v>
      </c>
      <c r="J810">
        <v>323</v>
      </c>
      <c r="L810">
        <v>2874.7</v>
      </c>
    </row>
    <row r="811" spans="1:12" x14ac:dyDescent="0.3">
      <c r="A811">
        <v>8</v>
      </c>
      <c r="B811">
        <v>17</v>
      </c>
      <c r="C811">
        <v>3</v>
      </c>
      <c r="D811">
        <v>3</v>
      </c>
      <c r="E811">
        <v>1</v>
      </c>
      <c r="G811">
        <v>5</v>
      </c>
      <c r="H811" t="s">
        <v>36</v>
      </c>
      <c r="I811" t="s">
        <v>92</v>
      </c>
      <c r="J811">
        <v>376</v>
      </c>
      <c r="K811">
        <v>8.8000000000000007</v>
      </c>
    </row>
    <row r="812" spans="1:12" x14ac:dyDescent="0.3">
      <c r="A812">
        <v>9</v>
      </c>
      <c r="B812">
        <v>19</v>
      </c>
      <c r="C812">
        <v>1</v>
      </c>
      <c r="D812">
        <v>4</v>
      </c>
      <c r="E812">
        <v>7</v>
      </c>
      <c r="F812">
        <v>0</v>
      </c>
      <c r="G812">
        <v>4</v>
      </c>
      <c r="H812" t="s">
        <v>18</v>
      </c>
      <c r="I812" t="s">
        <v>73</v>
      </c>
      <c r="J812">
        <v>369</v>
      </c>
      <c r="K812">
        <v>7.7</v>
      </c>
      <c r="L812">
        <v>2841.3</v>
      </c>
    </row>
    <row r="813" spans="1:12" x14ac:dyDescent="0.3">
      <c r="A813">
        <v>18</v>
      </c>
      <c r="B813">
        <v>22</v>
      </c>
      <c r="C813">
        <v>0</v>
      </c>
      <c r="D813">
        <v>7</v>
      </c>
      <c r="E813">
        <v>1</v>
      </c>
      <c r="F813">
        <v>0</v>
      </c>
      <c r="G813">
        <v>12</v>
      </c>
      <c r="H813" t="s">
        <v>16</v>
      </c>
      <c r="I813" t="s">
        <v>129</v>
      </c>
      <c r="J813">
        <v>325</v>
      </c>
      <c r="K813">
        <v>8.9</v>
      </c>
      <c r="L813">
        <v>2892.5</v>
      </c>
    </row>
    <row r="814" spans="1:12" x14ac:dyDescent="0.3">
      <c r="A814">
        <v>12</v>
      </c>
      <c r="B814">
        <v>22</v>
      </c>
      <c r="C814">
        <v>1</v>
      </c>
      <c r="D814">
        <v>7</v>
      </c>
      <c r="E814">
        <v>1</v>
      </c>
      <c r="F814">
        <v>0</v>
      </c>
      <c r="G814">
        <v>11</v>
      </c>
      <c r="H814" t="s">
        <v>23</v>
      </c>
      <c r="I814" t="s">
        <v>84</v>
      </c>
      <c r="J814">
        <v>490</v>
      </c>
      <c r="K814">
        <v>8.4</v>
      </c>
      <c r="L814">
        <v>4116</v>
      </c>
    </row>
    <row r="815" spans="1:12" x14ac:dyDescent="0.3">
      <c r="A815">
        <v>23</v>
      </c>
      <c r="B815">
        <v>23</v>
      </c>
      <c r="C815">
        <v>0</v>
      </c>
      <c r="D815">
        <v>10</v>
      </c>
      <c r="E815">
        <v>1</v>
      </c>
      <c r="F815">
        <v>0</v>
      </c>
      <c r="H815" t="s">
        <v>20</v>
      </c>
      <c r="I815" t="s">
        <v>106</v>
      </c>
      <c r="J815">
        <v>395</v>
      </c>
      <c r="K815">
        <v>9.1</v>
      </c>
      <c r="L815">
        <v>3594.5</v>
      </c>
    </row>
    <row r="816" spans="1:12" x14ac:dyDescent="0.3">
      <c r="A816">
        <v>21</v>
      </c>
      <c r="B816">
        <v>22</v>
      </c>
      <c r="C816">
        <v>0</v>
      </c>
      <c r="D816">
        <v>9</v>
      </c>
      <c r="E816">
        <v>1</v>
      </c>
      <c r="F816">
        <v>0</v>
      </c>
      <c r="G816">
        <v>3</v>
      </c>
      <c r="H816" t="s">
        <v>40</v>
      </c>
      <c r="I816" t="s">
        <v>126</v>
      </c>
      <c r="J816">
        <v>512</v>
      </c>
      <c r="K816">
        <v>7.4</v>
      </c>
      <c r="L816">
        <v>3788.8</v>
      </c>
    </row>
    <row r="817" spans="1:12" x14ac:dyDescent="0.3">
      <c r="A817">
        <v>13</v>
      </c>
      <c r="C817">
        <v>2</v>
      </c>
      <c r="D817">
        <v>8</v>
      </c>
      <c r="E817">
        <v>1</v>
      </c>
      <c r="F817">
        <v>0</v>
      </c>
      <c r="G817">
        <v>9</v>
      </c>
      <c r="H817" t="s">
        <v>55</v>
      </c>
      <c r="I817" t="s">
        <v>85</v>
      </c>
      <c r="J817">
        <v>539</v>
      </c>
      <c r="K817">
        <v>7.8</v>
      </c>
      <c r="L817">
        <v>4204.2</v>
      </c>
    </row>
    <row r="818" spans="1:12" x14ac:dyDescent="0.3">
      <c r="A818">
        <v>5</v>
      </c>
      <c r="C818">
        <v>2</v>
      </c>
      <c r="D818">
        <v>12</v>
      </c>
      <c r="E818">
        <v>1</v>
      </c>
      <c r="F818">
        <v>0</v>
      </c>
      <c r="G818">
        <v>4</v>
      </c>
      <c r="H818" t="s">
        <v>34</v>
      </c>
      <c r="I818" t="s">
        <v>95</v>
      </c>
      <c r="J818">
        <v>384</v>
      </c>
    </row>
    <row r="819" spans="1:12" x14ac:dyDescent="0.3">
      <c r="B819">
        <v>22</v>
      </c>
      <c r="C819">
        <v>2</v>
      </c>
      <c r="D819">
        <v>10</v>
      </c>
      <c r="E819">
        <v>1</v>
      </c>
      <c r="F819">
        <v>0</v>
      </c>
      <c r="G819">
        <v>12</v>
      </c>
      <c r="H819" t="s">
        <v>30</v>
      </c>
      <c r="I819" t="s">
        <v>95</v>
      </c>
      <c r="J819">
        <v>473</v>
      </c>
      <c r="K819">
        <v>9.1999999999999993</v>
      </c>
      <c r="L819">
        <v>4351.5999999999904</v>
      </c>
    </row>
    <row r="820" spans="1:12" x14ac:dyDescent="0.3">
      <c r="A820">
        <v>10</v>
      </c>
      <c r="C820">
        <v>3</v>
      </c>
      <c r="D820">
        <v>14</v>
      </c>
      <c r="E820">
        <v>1</v>
      </c>
      <c r="F820">
        <v>0</v>
      </c>
      <c r="H820" t="s">
        <v>30</v>
      </c>
      <c r="I820" t="s">
        <v>80</v>
      </c>
      <c r="J820">
        <v>652</v>
      </c>
      <c r="K820">
        <v>9.1999999999999993</v>
      </c>
      <c r="L820" t="s">
        <v>303</v>
      </c>
    </row>
    <row r="821" spans="1:12" x14ac:dyDescent="0.3">
      <c r="A821">
        <v>10</v>
      </c>
      <c r="B821">
        <v>22</v>
      </c>
      <c r="C821">
        <v>1</v>
      </c>
      <c r="D821">
        <v>12</v>
      </c>
      <c r="E821">
        <v>1</v>
      </c>
      <c r="F821">
        <v>0</v>
      </c>
      <c r="G821">
        <v>10</v>
      </c>
      <c r="H821" t="s">
        <v>25</v>
      </c>
      <c r="I821" t="s">
        <v>97</v>
      </c>
      <c r="J821">
        <v>533</v>
      </c>
      <c r="K821">
        <v>8.1</v>
      </c>
      <c r="L821">
        <v>4317.3</v>
      </c>
    </row>
    <row r="822" spans="1:12" x14ac:dyDescent="0.3">
      <c r="A822">
        <v>16</v>
      </c>
      <c r="B822">
        <v>22</v>
      </c>
      <c r="C822">
        <v>3</v>
      </c>
      <c r="E822">
        <v>1</v>
      </c>
      <c r="F822">
        <v>0</v>
      </c>
      <c r="G822">
        <v>8</v>
      </c>
      <c r="H822" t="s">
        <v>33</v>
      </c>
      <c r="I822" t="s">
        <v>79</v>
      </c>
      <c r="J822">
        <v>542</v>
      </c>
      <c r="K822">
        <v>9.3000000000000007</v>
      </c>
      <c r="L822">
        <v>5040.6000000000004</v>
      </c>
    </row>
    <row r="823" spans="1:12" x14ac:dyDescent="0.3">
      <c r="A823">
        <v>22</v>
      </c>
      <c r="B823">
        <v>22</v>
      </c>
      <c r="C823">
        <v>0</v>
      </c>
      <c r="D823">
        <v>9</v>
      </c>
      <c r="E823">
        <v>1</v>
      </c>
      <c r="F823">
        <v>0</v>
      </c>
      <c r="G823">
        <v>4</v>
      </c>
      <c r="H823" t="s">
        <v>36</v>
      </c>
      <c r="I823" t="s">
        <v>89</v>
      </c>
      <c r="J823">
        <v>500</v>
      </c>
      <c r="K823">
        <v>8.8000000000000007</v>
      </c>
      <c r="L823">
        <v>4400</v>
      </c>
    </row>
    <row r="824" spans="1:12" x14ac:dyDescent="0.3">
      <c r="A824">
        <v>7</v>
      </c>
      <c r="B824">
        <v>19</v>
      </c>
      <c r="C824">
        <v>0</v>
      </c>
      <c r="E824">
        <v>7</v>
      </c>
      <c r="G824">
        <v>9</v>
      </c>
      <c r="H824" t="s">
        <v>23</v>
      </c>
      <c r="I824" t="s">
        <v>104</v>
      </c>
      <c r="J824">
        <v>556</v>
      </c>
      <c r="K824">
        <v>8.4</v>
      </c>
      <c r="L824">
        <v>4670.3999999999996</v>
      </c>
    </row>
    <row r="825" spans="1:12" x14ac:dyDescent="0.3">
      <c r="A825">
        <v>16</v>
      </c>
      <c r="B825">
        <v>22</v>
      </c>
      <c r="C825">
        <v>1</v>
      </c>
      <c r="D825">
        <v>14</v>
      </c>
      <c r="E825">
        <v>1</v>
      </c>
      <c r="F825">
        <v>0</v>
      </c>
      <c r="G825">
        <v>11</v>
      </c>
      <c r="H825" t="s">
        <v>22</v>
      </c>
      <c r="I825" t="s">
        <v>96</v>
      </c>
      <c r="J825">
        <v>413</v>
      </c>
      <c r="L825">
        <v>3221.4</v>
      </c>
    </row>
    <row r="826" spans="1:12" x14ac:dyDescent="0.3">
      <c r="A826">
        <v>17</v>
      </c>
      <c r="B826">
        <v>22</v>
      </c>
      <c r="C826">
        <v>2</v>
      </c>
      <c r="D826">
        <v>7</v>
      </c>
      <c r="E826">
        <v>1</v>
      </c>
      <c r="F826">
        <v>0</v>
      </c>
      <c r="G826">
        <v>2</v>
      </c>
      <c r="H826" t="s">
        <v>25</v>
      </c>
      <c r="I826" t="s">
        <v>92</v>
      </c>
      <c r="J826">
        <v>439</v>
      </c>
      <c r="K826">
        <v>8.1</v>
      </c>
      <c r="L826">
        <v>3555.8999999999901</v>
      </c>
    </row>
    <row r="827" spans="1:12" x14ac:dyDescent="0.3">
      <c r="A827">
        <v>9</v>
      </c>
      <c r="B827">
        <v>18</v>
      </c>
      <c r="C827">
        <v>0</v>
      </c>
      <c r="D827">
        <v>4</v>
      </c>
      <c r="E827">
        <v>7</v>
      </c>
      <c r="F827">
        <v>0</v>
      </c>
      <c r="G827">
        <v>6</v>
      </c>
      <c r="H827" t="s">
        <v>65</v>
      </c>
      <c r="I827" t="s">
        <v>93</v>
      </c>
      <c r="J827">
        <v>268</v>
      </c>
      <c r="K827">
        <v>8.1999999999999993</v>
      </c>
      <c r="L827">
        <v>2197.6</v>
      </c>
    </row>
    <row r="828" spans="1:12" x14ac:dyDescent="0.3">
      <c r="A828">
        <v>15</v>
      </c>
      <c r="B828">
        <v>22</v>
      </c>
      <c r="C828">
        <v>2</v>
      </c>
      <c r="D828">
        <v>16</v>
      </c>
      <c r="F828">
        <v>0</v>
      </c>
      <c r="G828">
        <v>6</v>
      </c>
      <c r="H828" t="s">
        <v>15</v>
      </c>
      <c r="J828">
        <v>462</v>
      </c>
      <c r="K828" t="s">
        <v>248</v>
      </c>
      <c r="L828">
        <v>3834.6</v>
      </c>
    </row>
    <row r="829" spans="1:12" x14ac:dyDescent="0.3">
      <c r="A829">
        <v>15</v>
      </c>
      <c r="B829">
        <v>22</v>
      </c>
      <c r="C829">
        <v>1</v>
      </c>
      <c r="D829">
        <v>8</v>
      </c>
      <c r="E829">
        <v>1</v>
      </c>
      <c r="F829">
        <v>0</v>
      </c>
      <c r="G829">
        <v>1</v>
      </c>
      <c r="H829" t="s">
        <v>38</v>
      </c>
      <c r="I829" t="s">
        <v>104</v>
      </c>
      <c r="J829">
        <v>571</v>
      </c>
      <c r="K829">
        <v>7.4</v>
      </c>
      <c r="L829">
        <v>4225.3999999999996</v>
      </c>
    </row>
    <row r="830" spans="1:12" x14ac:dyDescent="0.3">
      <c r="A830">
        <v>5</v>
      </c>
      <c r="B830">
        <v>19</v>
      </c>
      <c r="C830">
        <v>0</v>
      </c>
      <c r="D830">
        <v>4</v>
      </c>
      <c r="E830">
        <v>1</v>
      </c>
      <c r="F830">
        <v>0</v>
      </c>
      <c r="G830">
        <v>3</v>
      </c>
      <c r="H830" t="s">
        <v>60</v>
      </c>
      <c r="I830" t="s">
        <v>75</v>
      </c>
      <c r="J830">
        <v>414</v>
      </c>
      <c r="K830">
        <v>9.1</v>
      </c>
      <c r="L830">
        <v>3767.3999999999901</v>
      </c>
    </row>
    <row r="831" spans="1:12" x14ac:dyDescent="0.3">
      <c r="A831">
        <v>22</v>
      </c>
      <c r="B831">
        <v>22</v>
      </c>
      <c r="C831">
        <v>1</v>
      </c>
      <c r="D831">
        <v>12</v>
      </c>
      <c r="E831">
        <v>1</v>
      </c>
      <c r="F831">
        <v>0</v>
      </c>
      <c r="G831">
        <v>2</v>
      </c>
      <c r="H831" t="s">
        <v>17</v>
      </c>
      <c r="I831" t="s">
        <v>89</v>
      </c>
      <c r="J831">
        <v>564</v>
      </c>
      <c r="K831">
        <v>8.6999999999999993</v>
      </c>
      <c r="L831">
        <v>4906.7999999999902</v>
      </c>
    </row>
    <row r="832" spans="1:12" x14ac:dyDescent="0.3">
      <c r="B832">
        <v>22</v>
      </c>
      <c r="C832">
        <v>0</v>
      </c>
      <c r="E832">
        <v>1</v>
      </c>
      <c r="F832">
        <v>0</v>
      </c>
      <c r="G832">
        <v>11</v>
      </c>
      <c r="H832" t="s">
        <v>16</v>
      </c>
      <c r="I832" t="s">
        <v>72</v>
      </c>
      <c r="J832">
        <v>495</v>
      </c>
      <c r="K832">
        <v>8.9</v>
      </c>
      <c r="L832">
        <v>4405.5</v>
      </c>
    </row>
    <row r="833" spans="1:12" x14ac:dyDescent="0.3">
      <c r="A833">
        <v>17</v>
      </c>
      <c r="B833">
        <v>23</v>
      </c>
      <c r="C833">
        <v>0</v>
      </c>
      <c r="D833">
        <v>14</v>
      </c>
      <c r="E833">
        <v>1</v>
      </c>
      <c r="F833">
        <v>0</v>
      </c>
      <c r="G833">
        <v>4</v>
      </c>
      <c r="H833" t="s">
        <v>26</v>
      </c>
      <c r="I833" t="s">
        <v>109</v>
      </c>
      <c r="J833">
        <v>458</v>
      </c>
      <c r="K833">
        <v>8.5</v>
      </c>
    </row>
    <row r="834" spans="1:12" x14ac:dyDescent="0.3">
      <c r="A834">
        <v>20</v>
      </c>
      <c r="B834">
        <v>23</v>
      </c>
      <c r="C834">
        <v>1</v>
      </c>
      <c r="D834">
        <v>16</v>
      </c>
      <c r="E834">
        <v>1</v>
      </c>
      <c r="F834">
        <v>0</v>
      </c>
      <c r="G834">
        <v>4</v>
      </c>
      <c r="H834" t="s">
        <v>15</v>
      </c>
      <c r="I834" t="s">
        <v>130</v>
      </c>
      <c r="J834">
        <v>699</v>
      </c>
      <c r="K834">
        <v>8.3000000000000007</v>
      </c>
      <c r="L834">
        <v>5801.7</v>
      </c>
    </row>
    <row r="835" spans="1:12" x14ac:dyDescent="0.3">
      <c r="B835">
        <v>22</v>
      </c>
      <c r="C835">
        <v>2</v>
      </c>
      <c r="D835">
        <v>12</v>
      </c>
      <c r="E835">
        <v>1</v>
      </c>
      <c r="F835">
        <v>0</v>
      </c>
      <c r="G835">
        <v>1</v>
      </c>
      <c r="H835" t="s">
        <v>16</v>
      </c>
      <c r="I835" t="s">
        <v>105</v>
      </c>
      <c r="J835" t="s">
        <v>173</v>
      </c>
      <c r="K835">
        <v>8.9</v>
      </c>
      <c r="L835">
        <v>6230</v>
      </c>
    </row>
    <row r="836" spans="1:12" x14ac:dyDescent="0.3">
      <c r="A836">
        <v>5</v>
      </c>
      <c r="B836">
        <v>21</v>
      </c>
      <c r="C836">
        <v>0</v>
      </c>
      <c r="D836">
        <v>3</v>
      </c>
      <c r="F836">
        <v>0</v>
      </c>
      <c r="G836">
        <v>5</v>
      </c>
      <c r="H836" t="s">
        <v>26</v>
      </c>
      <c r="I836" t="s">
        <v>77</v>
      </c>
      <c r="J836">
        <v>411</v>
      </c>
      <c r="K836">
        <v>8.5</v>
      </c>
      <c r="L836">
        <v>3493.5</v>
      </c>
    </row>
    <row r="837" spans="1:12" x14ac:dyDescent="0.3">
      <c r="A837">
        <v>7</v>
      </c>
      <c r="B837">
        <v>17</v>
      </c>
      <c r="C837">
        <v>0</v>
      </c>
      <c r="D837">
        <v>8</v>
      </c>
      <c r="E837">
        <v>1</v>
      </c>
      <c r="F837">
        <v>0</v>
      </c>
      <c r="G837">
        <v>8</v>
      </c>
      <c r="H837" t="s">
        <v>43</v>
      </c>
      <c r="I837" t="s">
        <v>76</v>
      </c>
      <c r="J837">
        <v>233</v>
      </c>
      <c r="K837">
        <v>7.6</v>
      </c>
      <c r="L837">
        <v>1770.8</v>
      </c>
    </row>
    <row r="838" spans="1:12" x14ac:dyDescent="0.3">
      <c r="A838">
        <v>20</v>
      </c>
      <c r="B838">
        <v>23</v>
      </c>
      <c r="C838">
        <v>3</v>
      </c>
      <c r="D838">
        <v>18</v>
      </c>
      <c r="E838">
        <v>1</v>
      </c>
      <c r="F838">
        <v>0</v>
      </c>
      <c r="G838">
        <v>11</v>
      </c>
      <c r="H838" t="s">
        <v>20</v>
      </c>
      <c r="I838" t="s">
        <v>88</v>
      </c>
      <c r="J838">
        <v>634</v>
      </c>
      <c r="K838">
        <v>9.1</v>
      </c>
      <c r="L838">
        <v>5769.4</v>
      </c>
    </row>
    <row r="839" spans="1:12" x14ac:dyDescent="0.3">
      <c r="A839">
        <v>9</v>
      </c>
      <c r="B839">
        <v>17</v>
      </c>
      <c r="C839">
        <v>3</v>
      </c>
      <c r="D839">
        <v>18</v>
      </c>
      <c r="E839">
        <v>1</v>
      </c>
      <c r="F839">
        <v>0</v>
      </c>
      <c r="G839">
        <v>10</v>
      </c>
      <c r="H839" t="s">
        <v>24</v>
      </c>
      <c r="I839" t="s">
        <v>94</v>
      </c>
      <c r="J839">
        <v>517</v>
      </c>
      <c r="L839">
        <v>4084.3</v>
      </c>
    </row>
    <row r="840" spans="1:12" x14ac:dyDescent="0.3">
      <c r="A840">
        <v>13</v>
      </c>
      <c r="B840">
        <v>22</v>
      </c>
      <c r="C840">
        <v>3</v>
      </c>
      <c r="D840">
        <v>12</v>
      </c>
      <c r="E840">
        <v>1</v>
      </c>
      <c r="F840">
        <v>0</v>
      </c>
      <c r="G840">
        <v>8</v>
      </c>
      <c r="H840" t="s">
        <v>16</v>
      </c>
      <c r="I840" t="s">
        <v>104</v>
      </c>
      <c r="J840">
        <v>607</v>
      </c>
      <c r="K840">
        <v>8.9</v>
      </c>
      <c r="L840">
        <v>5402.3</v>
      </c>
    </row>
    <row r="841" spans="1:12" x14ac:dyDescent="0.3">
      <c r="A841">
        <v>10</v>
      </c>
      <c r="B841">
        <v>18</v>
      </c>
      <c r="C841">
        <v>3</v>
      </c>
      <c r="D841">
        <v>15</v>
      </c>
      <c r="E841">
        <v>1</v>
      </c>
      <c r="F841">
        <v>0</v>
      </c>
      <c r="G841">
        <v>7</v>
      </c>
      <c r="H841" t="s">
        <v>33</v>
      </c>
      <c r="I841" t="s">
        <v>72</v>
      </c>
      <c r="J841">
        <v>513</v>
      </c>
      <c r="K841">
        <v>9.3000000000000007</v>
      </c>
      <c r="L841">
        <v>4770.8999999999996</v>
      </c>
    </row>
    <row r="842" spans="1:12" x14ac:dyDescent="0.3">
      <c r="A842">
        <v>17</v>
      </c>
      <c r="B842">
        <v>22</v>
      </c>
      <c r="C842">
        <v>3</v>
      </c>
      <c r="D842">
        <v>18</v>
      </c>
      <c r="E842">
        <v>1</v>
      </c>
      <c r="F842">
        <v>0</v>
      </c>
      <c r="G842">
        <v>1</v>
      </c>
      <c r="H842" t="s">
        <v>18</v>
      </c>
      <c r="I842" t="s">
        <v>105</v>
      </c>
      <c r="J842">
        <v>715</v>
      </c>
      <c r="K842">
        <v>7.7</v>
      </c>
      <c r="L842">
        <v>5505.5</v>
      </c>
    </row>
    <row r="843" spans="1:12" x14ac:dyDescent="0.3">
      <c r="A843">
        <v>22</v>
      </c>
      <c r="B843">
        <v>23</v>
      </c>
      <c r="C843">
        <v>1</v>
      </c>
      <c r="D843">
        <v>13</v>
      </c>
      <c r="E843">
        <v>1</v>
      </c>
      <c r="G843">
        <v>1</v>
      </c>
      <c r="H843" t="s">
        <v>33</v>
      </c>
      <c r="I843" t="s">
        <v>89</v>
      </c>
      <c r="J843">
        <v>487</v>
      </c>
      <c r="K843">
        <v>9.3000000000000007</v>
      </c>
      <c r="L843">
        <v>4529.1000000000004</v>
      </c>
    </row>
    <row r="844" spans="1:12" x14ac:dyDescent="0.3">
      <c r="A844">
        <v>10</v>
      </c>
      <c r="B844">
        <v>20</v>
      </c>
      <c r="C844">
        <v>3</v>
      </c>
      <c r="D844">
        <v>22</v>
      </c>
      <c r="E844">
        <v>1</v>
      </c>
      <c r="G844">
        <v>9</v>
      </c>
      <c r="H844" t="s">
        <v>15</v>
      </c>
      <c r="I844" t="s">
        <v>109</v>
      </c>
      <c r="J844">
        <v>449</v>
      </c>
      <c r="L844">
        <v>3726.7</v>
      </c>
    </row>
    <row r="845" spans="1:12" x14ac:dyDescent="0.3">
      <c r="A845">
        <v>11</v>
      </c>
      <c r="B845">
        <v>22</v>
      </c>
      <c r="C845">
        <v>3</v>
      </c>
      <c r="D845">
        <v>4</v>
      </c>
      <c r="E845">
        <v>1</v>
      </c>
      <c r="F845">
        <v>0</v>
      </c>
      <c r="G845">
        <v>9</v>
      </c>
      <c r="H845" t="s">
        <v>21</v>
      </c>
      <c r="I845" t="s">
        <v>78</v>
      </c>
      <c r="J845">
        <v>503</v>
      </c>
      <c r="K845">
        <v>8.6999999999999993</v>
      </c>
    </row>
    <row r="846" spans="1:12" x14ac:dyDescent="0.3">
      <c r="A846">
        <v>8</v>
      </c>
      <c r="B846">
        <v>19</v>
      </c>
      <c r="C846">
        <v>2</v>
      </c>
      <c r="D846">
        <v>20</v>
      </c>
      <c r="E846">
        <v>1</v>
      </c>
      <c r="F846">
        <v>0</v>
      </c>
      <c r="G846">
        <v>6</v>
      </c>
      <c r="H846" t="s">
        <v>18</v>
      </c>
      <c r="I846" t="s">
        <v>109</v>
      </c>
      <c r="J846">
        <v>423</v>
      </c>
      <c r="K846">
        <v>7.7</v>
      </c>
      <c r="L846">
        <v>3257.1</v>
      </c>
    </row>
    <row r="847" spans="1:12" x14ac:dyDescent="0.3">
      <c r="A847">
        <v>7</v>
      </c>
      <c r="B847">
        <v>21</v>
      </c>
      <c r="C847">
        <v>2</v>
      </c>
      <c r="D847">
        <v>9</v>
      </c>
      <c r="E847">
        <v>1</v>
      </c>
      <c r="F847">
        <v>0</v>
      </c>
      <c r="G847">
        <v>5</v>
      </c>
      <c r="H847" t="s">
        <v>61</v>
      </c>
      <c r="I847" t="s">
        <v>74</v>
      </c>
      <c r="J847">
        <v>530</v>
      </c>
      <c r="K847">
        <v>7.4</v>
      </c>
      <c r="L847">
        <v>3922</v>
      </c>
    </row>
    <row r="848" spans="1:12" x14ac:dyDescent="0.3">
      <c r="A848">
        <v>8</v>
      </c>
      <c r="C848">
        <v>3</v>
      </c>
      <c r="D848">
        <v>16</v>
      </c>
      <c r="E848">
        <v>7</v>
      </c>
      <c r="F848">
        <v>0</v>
      </c>
      <c r="G848">
        <v>10</v>
      </c>
      <c r="H848" t="s">
        <v>25</v>
      </c>
      <c r="I848" t="s">
        <v>97</v>
      </c>
      <c r="J848">
        <v>444</v>
      </c>
      <c r="K848">
        <v>8.1</v>
      </c>
      <c r="L848">
        <v>3596.3999999999901</v>
      </c>
    </row>
    <row r="849" spans="1:12" x14ac:dyDescent="0.3">
      <c r="A849">
        <v>16</v>
      </c>
      <c r="B849">
        <v>22</v>
      </c>
      <c r="D849">
        <v>20</v>
      </c>
      <c r="E849">
        <v>12</v>
      </c>
      <c r="F849">
        <v>0</v>
      </c>
      <c r="G849">
        <v>4</v>
      </c>
      <c r="H849" t="s">
        <v>16</v>
      </c>
      <c r="I849" t="s">
        <v>95</v>
      </c>
      <c r="J849">
        <v>793</v>
      </c>
      <c r="K849">
        <v>8.9</v>
      </c>
      <c r="L849">
        <v>7057.7</v>
      </c>
    </row>
    <row r="850" spans="1:12" x14ac:dyDescent="0.3">
      <c r="A850">
        <v>11</v>
      </c>
      <c r="B850">
        <v>23</v>
      </c>
      <c r="C850">
        <v>0</v>
      </c>
      <c r="D850">
        <v>20</v>
      </c>
      <c r="E850">
        <v>1</v>
      </c>
      <c r="F850">
        <v>0</v>
      </c>
      <c r="G850">
        <v>1</v>
      </c>
      <c r="H850" t="s">
        <v>15</v>
      </c>
      <c r="I850" t="s">
        <v>115</v>
      </c>
      <c r="K850">
        <v>8.3000000000000007</v>
      </c>
      <c r="L850">
        <v>3735</v>
      </c>
    </row>
    <row r="851" spans="1:12" x14ac:dyDescent="0.3">
      <c r="A851">
        <v>7</v>
      </c>
      <c r="B851">
        <v>20</v>
      </c>
      <c r="C851">
        <v>1</v>
      </c>
      <c r="D851">
        <v>10</v>
      </c>
      <c r="E851">
        <v>1</v>
      </c>
      <c r="G851">
        <v>9</v>
      </c>
      <c r="H851" t="s">
        <v>25</v>
      </c>
      <c r="I851" t="s">
        <v>91</v>
      </c>
      <c r="J851" t="s">
        <v>176</v>
      </c>
      <c r="K851">
        <v>8.1</v>
      </c>
      <c r="L851" t="s">
        <v>304</v>
      </c>
    </row>
    <row r="852" spans="1:12" x14ac:dyDescent="0.3">
      <c r="A852">
        <v>19</v>
      </c>
      <c r="B852">
        <v>22</v>
      </c>
      <c r="C852">
        <v>0</v>
      </c>
      <c r="D852">
        <v>4</v>
      </c>
      <c r="E852">
        <v>1</v>
      </c>
      <c r="F852">
        <v>0</v>
      </c>
      <c r="G852">
        <v>11</v>
      </c>
      <c r="H852" t="s">
        <v>38</v>
      </c>
      <c r="I852" t="s">
        <v>77</v>
      </c>
      <c r="J852">
        <v>521</v>
      </c>
      <c r="K852">
        <v>7.4</v>
      </c>
      <c r="L852">
        <v>3855.4</v>
      </c>
    </row>
    <row r="853" spans="1:12" x14ac:dyDescent="0.3">
      <c r="A853">
        <v>7</v>
      </c>
      <c r="B853">
        <v>18</v>
      </c>
      <c r="C853">
        <v>0</v>
      </c>
      <c r="D853">
        <v>21</v>
      </c>
      <c r="E853">
        <v>7</v>
      </c>
      <c r="F853">
        <v>0</v>
      </c>
      <c r="G853">
        <v>12</v>
      </c>
      <c r="H853" t="s">
        <v>26</v>
      </c>
      <c r="I853" t="s">
        <v>85</v>
      </c>
      <c r="J853">
        <v>476</v>
      </c>
      <c r="K853" t="s">
        <v>245</v>
      </c>
      <c r="L853">
        <v>4046</v>
      </c>
    </row>
    <row r="854" spans="1:12" x14ac:dyDescent="0.3">
      <c r="B854">
        <v>23</v>
      </c>
      <c r="C854">
        <v>1</v>
      </c>
      <c r="D854">
        <v>6</v>
      </c>
      <c r="E854">
        <v>1</v>
      </c>
      <c r="F854">
        <v>0</v>
      </c>
      <c r="G854">
        <v>5</v>
      </c>
      <c r="H854" t="s">
        <v>27</v>
      </c>
      <c r="J854">
        <v>505</v>
      </c>
      <c r="K854">
        <v>8.4</v>
      </c>
      <c r="L854">
        <v>4242</v>
      </c>
    </row>
    <row r="855" spans="1:12" x14ac:dyDescent="0.3">
      <c r="A855">
        <v>21</v>
      </c>
      <c r="B855">
        <v>23</v>
      </c>
      <c r="C855">
        <v>3</v>
      </c>
      <c r="D855">
        <v>22</v>
      </c>
      <c r="E855">
        <v>1</v>
      </c>
      <c r="F855">
        <v>0</v>
      </c>
      <c r="H855" t="s">
        <v>18</v>
      </c>
      <c r="I855" t="s">
        <v>89</v>
      </c>
      <c r="J855">
        <v>590</v>
      </c>
      <c r="K855">
        <v>7.7</v>
      </c>
      <c r="L855">
        <v>4543</v>
      </c>
    </row>
    <row r="856" spans="1:12" x14ac:dyDescent="0.3">
      <c r="A856">
        <v>8</v>
      </c>
      <c r="B856">
        <v>22</v>
      </c>
      <c r="D856">
        <v>8</v>
      </c>
      <c r="E856">
        <v>1</v>
      </c>
      <c r="F856">
        <v>0</v>
      </c>
      <c r="G856">
        <v>12</v>
      </c>
      <c r="H856" t="s">
        <v>34</v>
      </c>
      <c r="I856" t="s">
        <v>123</v>
      </c>
      <c r="K856">
        <v>7.6</v>
      </c>
      <c r="L856">
        <v>2614.4</v>
      </c>
    </row>
    <row r="857" spans="1:12" x14ac:dyDescent="0.3">
      <c r="A857">
        <v>8</v>
      </c>
      <c r="B857">
        <v>20</v>
      </c>
      <c r="C857">
        <v>1</v>
      </c>
      <c r="E857">
        <v>1</v>
      </c>
      <c r="F857">
        <v>0</v>
      </c>
      <c r="G857">
        <v>2</v>
      </c>
      <c r="H857" t="s">
        <v>66</v>
      </c>
      <c r="I857" t="s">
        <v>94</v>
      </c>
      <c r="J857">
        <v>472</v>
      </c>
      <c r="K857">
        <v>9.1</v>
      </c>
      <c r="L857">
        <v>4295.2</v>
      </c>
    </row>
    <row r="858" spans="1:12" x14ac:dyDescent="0.3">
      <c r="A858">
        <v>17</v>
      </c>
      <c r="C858">
        <v>3</v>
      </c>
      <c r="D858">
        <v>8</v>
      </c>
      <c r="F858">
        <v>0</v>
      </c>
      <c r="G858">
        <v>2</v>
      </c>
      <c r="H858" t="s">
        <v>20</v>
      </c>
      <c r="I858" t="s">
        <v>122</v>
      </c>
      <c r="J858">
        <v>641</v>
      </c>
      <c r="K858">
        <v>9.1</v>
      </c>
      <c r="L858">
        <v>5833.0999999999904</v>
      </c>
    </row>
    <row r="859" spans="1:12" x14ac:dyDescent="0.3">
      <c r="A859">
        <v>12</v>
      </c>
      <c r="B859">
        <v>22</v>
      </c>
      <c r="C859">
        <v>2</v>
      </c>
      <c r="D859">
        <v>4</v>
      </c>
      <c r="E859">
        <v>1</v>
      </c>
      <c r="F859">
        <v>0</v>
      </c>
      <c r="G859">
        <v>2</v>
      </c>
      <c r="H859" t="s">
        <v>26</v>
      </c>
      <c r="I859" t="s">
        <v>94</v>
      </c>
      <c r="J859">
        <v>377</v>
      </c>
      <c r="L859">
        <v>3204.5</v>
      </c>
    </row>
    <row r="860" spans="1:12" x14ac:dyDescent="0.3">
      <c r="A860">
        <v>21</v>
      </c>
      <c r="B860">
        <v>22</v>
      </c>
      <c r="C860">
        <v>1</v>
      </c>
      <c r="D860">
        <v>20</v>
      </c>
      <c r="E860">
        <v>1</v>
      </c>
      <c r="F860">
        <v>0</v>
      </c>
      <c r="G860">
        <v>4</v>
      </c>
      <c r="H860" t="s">
        <v>22</v>
      </c>
      <c r="J860">
        <v>642</v>
      </c>
      <c r="K860">
        <v>7.8</v>
      </c>
      <c r="L860">
        <v>5007.5999999999904</v>
      </c>
    </row>
    <row r="861" spans="1:12" x14ac:dyDescent="0.3">
      <c r="A861">
        <v>15</v>
      </c>
      <c r="B861">
        <v>23</v>
      </c>
      <c r="C861">
        <v>1</v>
      </c>
      <c r="D861">
        <v>15</v>
      </c>
      <c r="E861">
        <v>12</v>
      </c>
      <c r="F861">
        <v>0</v>
      </c>
      <c r="G861">
        <v>12</v>
      </c>
      <c r="H861" t="s">
        <v>21</v>
      </c>
      <c r="I861" t="s">
        <v>81</v>
      </c>
      <c r="J861">
        <v>535</v>
      </c>
      <c r="K861">
        <v>8.6999999999999993</v>
      </c>
      <c r="L861">
        <v>4654.5</v>
      </c>
    </row>
    <row r="862" spans="1:12" x14ac:dyDescent="0.3">
      <c r="A862">
        <v>19</v>
      </c>
      <c r="B862">
        <v>22</v>
      </c>
      <c r="D862">
        <v>10</v>
      </c>
      <c r="E862">
        <v>1</v>
      </c>
      <c r="F862">
        <v>0</v>
      </c>
      <c r="G862">
        <v>9</v>
      </c>
      <c r="H862" t="s">
        <v>61</v>
      </c>
      <c r="I862" t="s">
        <v>89</v>
      </c>
      <c r="J862">
        <v>408</v>
      </c>
      <c r="K862">
        <v>7.4</v>
      </c>
      <c r="L862">
        <v>3019.2</v>
      </c>
    </row>
    <row r="863" spans="1:12" x14ac:dyDescent="0.3">
      <c r="A863">
        <v>12</v>
      </c>
      <c r="B863">
        <v>22</v>
      </c>
      <c r="C863">
        <v>2</v>
      </c>
      <c r="D863">
        <v>16</v>
      </c>
      <c r="E863">
        <v>1</v>
      </c>
      <c r="F863">
        <v>0</v>
      </c>
      <c r="G863">
        <v>6</v>
      </c>
      <c r="H863" t="s">
        <v>15</v>
      </c>
      <c r="I863" t="s">
        <v>106</v>
      </c>
      <c r="J863">
        <v>415</v>
      </c>
      <c r="K863">
        <v>8.3000000000000007</v>
      </c>
      <c r="L863">
        <v>3444.5</v>
      </c>
    </row>
    <row r="864" spans="1:12" x14ac:dyDescent="0.3">
      <c r="A864">
        <v>17</v>
      </c>
      <c r="C864">
        <v>3</v>
      </c>
      <c r="D864">
        <v>3</v>
      </c>
      <c r="E864">
        <v>1</v>
      </c>
      <c r="F864">
        <v>0</v>
      </c>
      <c r="G864">
        <v>1</v>
      </c>
      <c r="H864" t="s">
        <v>21</v>
      </c>
      <c r="J864">
        <v>455</v>
      </c>
      <c r="K864" t="s">
        <v>242</v>
      </c>
      <c r="L864">
        <v>3958.49999999999</v>
      </c>
    </row>
    <row r="865" spans="1:12" x14ac:dyDescent="0.3">
      <c r="A865">
        <v>17</v>
      </c>
      <c r="B865">
        <v>22</v>
      </c>
      <c r="C865">
        <v>3</v>
      </c>
      <c r="D865">
        <v>9</v>
      </c>
      <c r="E865">
        <v>1</v>
      </c>
      <c r="F865">
        <v>0</v>
      </c>
      <c r="G865">
        <v>5</v>
      </c>
      <c r="H865" t="s">
        <v>22</v>
      </c>
      <c r="I865" t="s">
        <v>78</v>
      </c>
      <c r="J865">
        <v>660</v>
      </c>
      <c r="K865" t="s">
        <v>240</v>
      </c>
      <c r="L865">
        <v>5148</v>
      </c>
    </row>
    <row r="866" spans="1:12" x14ac:dyDescent="0.3">
      <c r="A866">
        <v>18</v>
      </c>
      <c r="B866">
        <v>22</v>
      </c>
      <c r="C866">
        <v>0</v>
      </c>
      <c r="D866">
        <v>10</v>
      </c>
      <c r="E866">
        <v>1</v>
      </c>
      <c r="F866">
        <v>0</v>
      </c>
      <c r="H866" t="s">
        <v>33</v>
      </c>
      <c r="I866" t="s">
        <v>84</v>
      </c>
      <c r="J866">
        <v>462</v>
      </c>
      <c r="K866">
        <v>9.3000000000000007</v>
      </c>
      <c r="L866">
        <v>4296.6000000000004</v>
      </c>
    </row>
    <row r="867" spans="1:12" x14ac:dyDescent="0.3">
      <c r="A867">
        <v>14</v>
      </c>
      <c r="B867">
        <v>22</v>
      </c>
      <c r="C867">
        <v>3</v>
      </c>
      <c r="D867">
        <v>9</v>
      </c>
      <c r="E867">
        <v>1</v>
      </c>
      <c r="F867">
        <v>0</v>
      </c>
      <c r="G867">
        <v>9</v>
      </c>
      <c r="H867" t="s">
        <v>34</v>
      </c>
      <c r="I867" t="s">
        <v>70</v>
      </c>
      <c r="J867">
        <v>541</v>
      </c>
      <c r="K867">
        <v>7.6</v>
      </c>
      <c r="L867">
        <v>4111.5999999999904</v>
      </c>
    </row>
    <row r="868" spans="1:12" x14ac:dyDescent="0.3">
      <c r="A868">
        <v>9</v>
      </c>
      <c r="B868">
        <v>19</v>
      </c>
      <c r="C868">
        <v>3</v>
      </c>
      <c r="D868">
        <v>15</v>
      </c>
      <c r="E868">
        <v>1</v>
      </c>
      <c r="F868">
        <v>0</v>
      </c>
      <c r="G868">
        <v>2</v>
      </c>
      <c r="H868" t="s">
        <v>21</v>
      </c>
      <c r="I868" t="s">
        <v>83</v>
      </c>
      <c r="J868">
        <v>493</v>
      </c>
      <c r="K868">
        <v>8.6999999999999993</v>
      </c>
      <c r="L868">
        <v>4289.0999999999904</v>
      </c>
    </row>
    <row r="869" spans="1:12" x14ac:dyDescent="0.3">
      <c r="A869">
        <v>10</v>
      </c>
      <c r="B869">
        <v>18</v>
      </c>
      <c r="C869">
        <v>3</v>
      </c>
      <c r="D869">
        <v>22</v>
      </c>
      <c r="E869">
        <v>1</v>
      </c>
      <c r="F869">
        <v>0</v>
      </c>
      <c r="G869">
        <v>2</v>
      </c>
      <c r="H869" t="s">
        <v>55</v>
      </c>
      <c r="I869" t="s">
        <v>75</v>
      </c>
      <c r="J869">
        <v>437</v>
      </c>
      <c r="K869">
        <v>7.8</v>
      </c>
      <c r="L869">
        <v>3408.6</v>
      </c>
    </row>
    <row r="870" spans="1:12" x14ac:dyDescent="0.3">
      <c r="A870">
        <v>13</v>
      </c>
      <c r="B870">
        <v>22</v>
      </c>
      <c r="C870">
        <v>1</v>
      </c>
      <c r="D870">
        <v>10</v>
      </c>
      <c r="E870">
        <v>1</v>
      </c>
      <c r="G870">
        <v>10</v>
      </c>
      <c r="H870" t="s">
        <v>23</v>
      </c>
      <c r="I870" t="s">
        <v>108</v>
      </c>
      <c r="J870">
        <v>527</v>
      </c>
      <c r="K870">
        <v>8.4</v>
      </c>
      <c r="L870">
        <v>4426.8</v>
      </c>
    </row>
    <row r="871" spans="1:12" x14ac:dyDescent="0.3">
      <c r="A871">
        <v>8</v>
      </c>
      <c r="B871">
        <v>23</v>
      </c>
      <c r="C871">
        <v>1</v>
      </c>
      <c r="D871">
        <v>10</v>
      </c>
      <c r="E871">
        <v>1</v>
      </c>
      <c r="F871">
        <v>0</v>
      </c>
      <c r="G871">
        <v>5</v>
      </c>
      <c r="H871" t="s">
        <v>35</v>
      </c>
      <c r="I871" t="s">
        <v>90</v>
      </c>
      <c r="J871">
        <v>379</v>
      </c>
      <c r="K871">
        <v>8.1999999999999993</v>
      </c>
    </row>
    <row r="872" spans="1:12" x14ac:dyDescent="0.3">
      <c r="A872">
        <v>19</v>
      </c>
      <c r="B872">
        <v>23</v>
      </c>
      <c r="C872">
        <v>0</v>
      </c>
      <c r="D872">
        <v>5</v>
      </c>
      <c r="E872">
        <v>1</v>
      </c>
      <c r="F872">
        <v>0</v>
      </c>
      <c r="G872">
        <v>12</v>
      </c>
      <c r="H872" t="s">
        <v>15</v>
      </c>
      <c r="I872" t="s">
        <v>72</v>
      </c>
      <c r="J872">
        <v>427</v>
      </c>
      <c r="K872">
        <v>8.3000000000000007</v>
      </c>
      <c r="L872">
        <v>3544.1</v>
      </c>
    </row>
    <row r="873" spans="1:12" x14ac:dyDescent="0.3">
      <c r="A873">
        <v>15</v>
      </c>
      <c r="B873">
        <v>22</v>
      </c>
      <c r="C873">
        <v>0</v>
      </c>
      <c r="D873">
        <v>8</v>
      </c>
      <c r="E873">
        <v>1</v>
      </c>
      <c r="F873">
        <v>0</v>
      </c>
      <c r="G873">
        <v>4</v>
      </c>
      <c r="H873" t="s">
        <v>22</v>
      </c>
      <c r="I873" t="s">
        <v>92</v>
      </c>
      <c r="J873">
        <v>403</v>
      </c>
      <c r="K873">
        <v>7.8</v>
      </c>
      <c r="L873">
        <v>3143.4</v>
      </c>
    </row>
    <row r="874" spans="1:12" x14ac:dyDescent="0.3">
      <c r="A874">
        <v>11</v>
      </c>
      <c r="B874">
        <v>22</v>
      </c>
      <c r="C874">
        <v>0</v>
      </c>
      <c r="D874">
        <v>5</v>
      </c>
      <c r="E874">
        <v>1</v>
      </c>
      <c r="F874">
        <v>0</v>
      </c>
      <c r="G874">
        <v>7</v>
      </c>
      <c r="H874" t="s">
        <v>23</v>
      </c>
      <c r="I874" t="s">
        <v>96</v>
      </c>
      <c r="J874">
        <v>344</v>
      </c>
      <c r="K874">
        <v>8.4</v>
      </c>
      <c r="L874">
        <v>2889.6</v>
      </c>
    </row>
    <row r="875" spans="1:12" x14ac:dyDescent="0.3">
      <c r="A875">
        <v>22</v>
      </c>
      <c r="B875">
        <v>22</v>
      </c>
      <c r="C875">
        <v>1</v>
      </c>
      <c r="D875">
        <v>16</v>
      </c>
      <c r="E875">
        <v>1</v>
      </c>
      <c r="F875">
        <v>0</v>
      </c>
      <c r="G875">
        <v>6</v>
      </c>
      <c r="H875" t="s">
        <v>36</v>
      </c>
      <c r="I875" t="s">
        <v>77</v>
      </c>
      <c r="J875">
        <v>532</v>
      </c>
      <c r="K875">
        <v>8.8000000000000007</v>
      </c>
      <c r="L875">
        <v>4681.6000000000004</v>
      </c>
    </row>
    <row r="876" spans="1:12" x14ac:dyDescent="0.3">
      <c r="A876">
        <v>23</v>
      </c>
      <c r="B876">
        <v>22</v>
      </c>
      <c r="C876">
        <v>1</v>
      </c>
      <c r="D876">
        <v>15</v>
      </c>
      <c r="E876">
        <v>1</v>
      </c>
      <c r="F876">
        <v>0</v>
      </c>
      <c r="G876">
        <v>2</v>
      </c>
      <c r="H876" t="s">
        <v>30</v>
      </c>
      <c r="I876" t="s">
        <v>108</v>
      </c>
      <c r="J876">
        <v>536</v>
      </c>
      <c r="K876">
        <v>9.1999999999999993</v>
      </c>
      <c r="L876" t="s">
        <v>143</v>
      </c>
    </row>
    <row r="877" spans="1:12" x14ac:dyDescent="0.3">
      <c r="A877">
        <v>22</v>
      </c>
      <c r="B877">
        <v>23</v>
      </c>
      <c r="C877">
        <v>2</v>
      </c>
      <c r="D877">
        <v>3</v>
      </c>
      <c r="E877">
        <v>1</v>
      </c>
      <c r="F877">
        <v>0</v>
      </c>
      <c r="G877">
        <v>1</v>
      </c>
      <c r="H877" t="s">
        <v>28</v>
      </c>
      <c r="I877" t="s">
        <v>106</v>
      </c>
      <c r="J877">
        <v>524</v>
      </c>
      <c r="K877">
        <v>7.7</v>
      </c>
      <c r="L877">
        <v>4034.8</v>
      </c>
    </row>
    <row r="878" spans="1:12" x14ac:dyDescent="0.3">
      <c r="A878">
        <v>10</v>
      </c>
      <c r="B878">
        <v>22</v>
      </c>
      <c r="D878">
        <v>10</v>
      </c>
      <c r="E878">
        <v>1</v>
      </c>
      <c r="F878">
        <v>0</v>
      </c>
      <c r="G878">
        <v>6</v>
      </c>
      <c r="H878" t="s">
        <v>21</v>
      </c>
      <c r="I878" t="s">
        <v>74</v>
      </c>
      <c r="K878" t="s">
        <v>242</v>
      </c>
      <c r="L878">
        <v>5193.8999999999996</v>
      </c>
    </row>
    <row r="879" spans="1:12" x14ac:dyDescent="0.3">
      <c r="A879">
        <v>8</v>
      </c>
      <c r="B879">
        <v>18</v>
      </c>
      <c r="C879">
        <v>1</v>
      </c>
      <c r="D879">
        <v>4</v>
      </c>
      <c r="E879">
        <v>1</v>
      </c>
      <c r="F879">
        <v>0</v>
      </c>
      <c r="G879">
        <v>1</v>
      </c>
      <c r="H879" t="s">
        <v>26</v>
      </c>
      <c r="I879" t="s">
        <v>78</v>
      </c>
      <c r="J879">
        <v>413</v>
      </c>
      <c r="K879">
        <v>8.5</v>
      </c>
      <c r="L879">
        <v>3510.5</v>
      </c>
    </row>
    <row r="880" spans="1:12" x14ac:dyDescent="0.3">
      <c r="A880">
        <v>11</v>
      </c>
      <c r="B880">
        <v>23</v>
      </c>
      <c r="C880">
        <v>0</v>
      </c>
      <c r="D880">
        <v>22</v>
      </c>
      <c r="E880">
        <v>1</v>
      </c>
      <c r="F880">
        <v>0</v>
      </c>
      <c r="G880">
        <v>2</v>
      </c>
      <c r="I880" t="s">
        <v>97</v>
      </c>
      <c r="J880">
        <v>508</v>
      </c>
      <c r="L880">
        <v>4419.5999999999904</v>
      </c>
    </row>
    <row r="881" spans="1:12" x14ac:dyDescent="0.3">
      <c r="A881">
        <v>21</v>
      </c>
      <c r="B881">
        <v>22</v>
      </c>
      <c r="C881">
        <v>2</v>
      </c>
      <c r="D881">
        <v>21</v>
      </c>
      <c r="E881">
        <v>1</v>
      </c>
      <c r="F881">
        <v>0</v>
      </c>
      <c r="G881">
        <v>10</v>
      </c>
      <c r="H881" t="s">
        <v>36</v>
      </c>
      <c r="I881" t="s">
        <v>74</v>
      </c>
      <c r="J881">
        <v>771</v>
      </c>
      <c r="K881">
        <v>8.8000000000000007</v>
      </c>
      <c r="L881">
        <v>6784.8</v>
      </c>
    </row>
    <row r="882" spans="1:12" x14ac:dyDescent="0.3">
      <c r="A882">
        <v>7</v>
      </c>
      <c r="C882">
        <v>3</v>
      </c>
      <c r="D882">
        <v>3</v>
      </c>
      <c r="E882">
        <v>1</v>
      </c>
      <c r="F882">
        <v>0</v>
      </c>
      <c r="G882">
        <v>12</v>
      </c>
      <c r="H882" t="s">
        <v>47</v>
      </c>
      <c r="I882" t="s">
        <v>94</v>
      </c>
      <c r="J882">
        <v>545</v>
      </c>
      <c r="K882">
        <v>9.1</v>
      </c>
      <c r="L882">
        <v>4959.5</v>
      </c>
    </row>
    <row r="883" spans="1:12" x14ac:dyDescent="0.3">
      <c r="A883">
        <v>6</v>
      </c>
      <c r="B883">
        <v>20</v>
      </c>
      <c r="C883">
        <v>0</v>
      </c>
      <c r="D883">
        <v>18</v>
      </c>
      <c r="E883">
        <v>1</v>
      </c>
      <c r="F883">
        <v>0</v>
      </c>
      <c r="G883">
        <v>2</v>
      </c>
      <c r="H883" t="s">
        <v>16</v>
      </c>
      <c r="I883" t="s">
        <v>95</v>
      </c>
      <c r="J883">
        <v>335</v>
      </c>
      <c r="K883">
        <v>8.9</v>
      </c>
      <c r="L883">
        <v>2981.5</v>
      </c>
    </row>
    <row r="884" spans="1:12" x14ac:dyDescent="0.3">
      <c r="A884">
        <v>8</v>
      </c>
      <c r="B884">
        <v>23</v>
      </c>
      <c r="C884">
        <v>0</v>
      </c>
      <c r="D884">
        <v>22</v>
      </c>
      <c r="E884">
        <v>1</v>
      </c>
      <c r="F884">
        <v>0</v>
      </c>
      <c r="G884">
        <v>10</v>
      </c>
      <c r="H884" t="s">
        <v>23</v>
      </c>
      <c r="I884" t="s">
        <v>72</v>
      </c>
      <c r="J884">
        <v>457</v>
      </c>
      <c r="K884">
        <v>8.4</v>
      </c>
      <c r="L884">
        <v>3838.8</v>
      </c>
    </row>
    <row r="885" spans="1:12" x14ac:dyDescent="0.3">
      <c r="A885">
        <v>20</v>
      </c>
      <c r="B885">
        <v>22</v>
      </c>
      <c r="C885">
        <v>3</v>
      </c>
      <c r="D885">
        <v>6</v>
      </c>
      <c r="E885">
        <v>12</v>
      </c>
      <c r="F885">
        <v>0</v>
      </c>
      <c r="G885">
        <v>11</v>
      </c>
      <c r="H885" t="s">
        <v>20</v>
      </c>
      <c r="I885" t="s">
        <v>72</v>
      </c>
      <c r="K885">
        <v>9.1</v>
      </c>
      <c r="L885">
        <v>6470.0999999999904</v>
      </c>
    </row>
    <row r="886" spans="1:12" x14ac:dyDescent="0.3">
      <c r="A886">
        <v>11</v>
      </c>
      <c r="B886">
        <v>22</v>
      </c>
      <c r="C886">
        <v>1</v>
      </c>
      <c r="D886">
        <v>14</v>
      </c>
      <c r="E886">
        <v>12</v>
      </c>
      <c r="F886">
        <v>0</v>
      </c>
      <c r="G886">
        <v>2</v>
      </c>
      <c r="H886" t="s">
        <v>32</v>
      </c>
      <c r="I886" t="s">
        <v>121</v>
      </c>
      <c r="J886">
        <v>450</v>
      </c>
      <c r="K886">
        <v>7.6</v>
      </c>
      <c r="L886">
        <v>3420</v>
      </c>
    </row>
    <row r="887" spans="1:12" x14ac:dyDescent="0.3">
      <c r="A887">
        <v>15</v>
      </c>
      <c r="B887">
        <v>23</v>
      </c>
      <c r="C887">
        <v>2</v>
      </c>
      <c r="D887">
        <v>20</v>
      </c>
      <c r="E887">
        <v>1</v>
      </c>
      <c r="F887">
        <v>0</v>
      </c>
      <c r="G887">
        <v>10</v>
      </c>
      <c r="H887" t="s">
        <v>43</v>
      </c>
      <c r="I887" t="s">
        <v>112</v>
      </c>
      <c r="J887">
        <v>743</v>
      </c>
      <c r="K887">
        <v>7.6</v>
      </c>
      <c r="L887">
        <v>5646.8</v>
      </c>
    </row>
    <row r="888" spans="1:12" x14ac:dyDescent="0.3">
      <c r="A888">
        <v>9</v>
      </c>
      <c r="B888">
        <v>17</v>
      </c>
      <c r="C888">
        <v>0</v>
      </c>
      <c r="D888">
        <v>16</v>
      </c>
      <c r="E888">
        <v>1</v>
      </c>
      <c r="F888">
        <v>0</v>
      </c>
      <c r="G888">
        <v>10</v>
      </c>
      <c r="H888" t="s">
        <v>33</v>
      </c>
      <c r="I888" t="s">
        <v>96</v>
      </c>
      <c r="J888">
        <v>313</v>
      </c>
      <c r="K888">
        <v>9.3000000000000007</v>
      </c>
      <c r="L888">
        <v>2910.9</v>
      </c>
    </row>
    <row r="889" spans="1:12" x14ac:dyDescent="0.3">
      <c r="A889">
        <v>16</v>
      </c>
      <c r="B889">
        <v>23</v>
      </c>
      <c r="C889">
        <v>2</v>
      </c>
      <c r="D889">
        <v>5</v>
      </c>
      <c r="E889">
        <v>1</v>
      </c>
      <c r="F889">
        <v>0</v>
      </c>
      <c r="G889">
        <v>10</v>
      </c>
      <c r="H889" t="s">
        <v>16</v>
      </c>
      <c r="I889" t="s">
        <v>92</v>
      </c>
      <c r="J889">
        <v>386</v>
      </c>
      <c r="K889">
        <v>8.9</v>
      </c>
      <c r="L889">
        <v>3435.4</v>
      </c>
    </row>
    <row r="890" spans="1:12" x14ac:dyDescent="0.3">
      <c r="A890">
        <v>9</v>
      </c>
      <c r="B890">
        <v>17</v>
      </c>
      <c r="C890">
        <v>1</v>
      </c>
      <c r="D890">
        <v>3</v>
      </c>
      <c r="E890">
        <v>1</v>
      </c>
      <c r="F890">
        <v>0</v>
      </c>
      <c r="G890">
        <v>8</v>
      </c>
      <c r="H890" t="s">
        <v>32</v>
      </c>
      <c r="I890" t="s">
        <v>88</v>
      </c>
      <c r="J890">
        <v>263</v>
      </c>
      <c r="K890">
        <v>7.6</v>
      </c>
      <c r="L890">
        <v>1998.8</v>
      </c>
    </row>
    <row r="891" spans="1:12" x14ac:dyDescent="0.3">
      <c r="A891">
        <v>16</v>
      </c>
      <c r="B891">
        <v>23</v>
      </c>
      <c r="C891">
        <v>2</v>
      </c>
      <c r="D891">
        <v>16</v>
      </c>
      <c r="E891">
        <v>12</v>
      </c>
      <c r="F891">
        <v>0</v>
      </c>
      <c r="G891">
        <v>3</v>
      </c>
      <c r="H891" t="s">
        <v>16</v>
      </c>
      <c r="I891" t="s">
        <v>90</v>
      </c>
      <c r="J891">
        <v>597</v>
      </c>
      <c r="K891">
        <v>8.9</v>
      </c>
      <c r="L891">
        <v>5313.3</v>
      </c>
    </row>
    <row r="892" spans="1:12" x14ac:dyDescent="0.3">
      <c r="A892">
        <v>10</v>
      </c>
      <c r="B892">
        <v>18</v>
      </c>
      <c r="C892">
        <v>0</v>
      </c>
      <c r="D892">
        <v>4</v>
      </c>
      <c r="E892">
        <v>1</v>
      </c>
      <c r="G892">
        <v>8</v>
      </c>
      <c r="H892" t="s">
        <v>36</v>
      </c>
      <c r="I892" t="s">
        <v>106</v>
      </c>
      <c r="J892">
        <v>231</v>
      </c>
      <c r="K892">
        <v>8.8000000000000007</v>
      </c>
    </row>
    <row r="893" spans="1:12" x14ac:dyDescent="0.3">
      <c r="A893">
        <v>12</v>
      </c>
      <c r="B893">
        <v>23</v>
      </c>
      <c r="C893">
        <v>1</v>
      </c>
      <c r="D893">
        <v>7</v>
      </c>
      <c r="E893">
        <v>1</v>
      </c>
      <c r="F893">
        <v>0</v>
      </c>
      <c r="G893">
        <v>11</v>
      </c>
      <c r="H893" t="s">
        <v>25</v>
      </c>
      <c r="I893" t="s">
        <v>84</v>
      </c>
      <c r="K893">
        <v>8.1</v>
      </c>
      <c r="L893">
        <v>3734.1</v>
      </c>
    </row>
    <row r="894" spans="1:12" x14ac:dyDescent="0.3">
      <c r="A894">
        <v>17</v>
      </c>
      <c r="B894">
        <v>23</v>
      </c>
      <c r="C894">
        <v>1</v>
      </c>
      <c r="D894">
        <v>12</v>
      </c>
      <c r="E894">
        <v>12</v>
      </c>
      <c r="F894">
        <v>0</v>
      </c>
      <c r="G894">
        <v>9</v>
      </c>
      <c r="H894" t="s">
        <v>33</v>
      </c>
      <c r="I894" t="s">
        <v>89</v>
      </c>
      <c r="J894">
        <v>501</v>
      </c>
      <c r="K894" t="s">
        <v>247</v>
      </c>
      <c r="L894">
        <v>4659.3</v>
      </c>
    </row>
    <row r="895" spans="1:12" x14ac:dyDescent="0.3">
      <c r="A895">
        <v>7</v>
      </c>
      <c r="B895">
        <v>20</v>
      </c>
      <c r="C895">
        <v>2</v>
      </c>
      <c r="D895">
        <v>11</v>
      </c>
      <c r="E895">
        <v>1</v>
      </c>
      <c r="F895">
        <v>0</v>
      </c>
      <c r="G895">
        <v>4</v>
      </c>
      <c r="H895" t="s">
        <v>32</v>
      </c>
      <c r="I895" t="s">
        <v>118</v>
      </c>
      <c r="J895">
        <v>351</v>
      </c>
      <c r="K895">
        <v>7.6</v>
      </c>
      <c r="L895">
        <v>2667.6</v>
      </c>
    </row>
    <row r="896" spans="1:12" x14ac:dyDescent="0.3">
      <c r="A896">
        <v>23</v>
      </c>
      <c r="B896">
        <v>22</v>
      </c>
      <c r="C896">
        <v>1</v>
      </c>
      <c r="D896">
        <v>3</v>
      </c>
      <c r="E896">
        <v>12</v>
      </c>
      <c r="F896">
        <v>0</v>
      </c>
      <c r="G896">
        <v>5</v>
      </c>
      <c r="H896" t="s">
        <v>23</v>
      </c>
      <c r="I896" t="s">
        <v>74</v>
      </c>
      <c r="J896">
        <v>461</v>
      </c>
      <c r="K896">
        <v>8.4</v>
      </c>
      <c r="L896">
        <v>3872.4</v>
      </c>
    </row>
    <row r="897" spans="1:12" x14ac:dyDescent="0.3">
      <c r="A897">
        <v>12</v>
      </c>
      <c r="B897">
        <v>23</v>
      </c>
      <c r="C897">
        <v>2</v>
      </c>
      <c r="D897">
        <v>13</v>
      </c>
      <c r="E897">
        <v>12</v>
      </c>
      <c r="F897">
        <v>0</v>
      </c>
      <c r="H897" t="s">
        <v>36</v>
      </c>
      <c r="I897" t="s">
        <v>118</v>
      </c>
      <c r="J897">
        <v>544</v>
      </c>
      <c r="K897">
        <v>8.8000000000000007</v>
      </c>
      <c r="L897">
        <v>4787.2</v>
      </c>
    </row>
    <row r="898" spans="1:12" x14ac:dyDescent="0.3">
      <c r="A898">
        <v>11</v>
      </c>
      <c r="B898">
        <v>22</v>
      </c>
      <c r="C898">
        <v>2</v>
      </c>
      <c r="D898">
        <v>4</v>
      </c>
      <c r="E898">
        <v>1</v>
      </c>
      <c r="F898">
        <v>0</v>
      </c>
      <c r="G898">
        <v>11</v>
      </c>
      <c r="H898" t="s">
        <v>26</v>
      </c>
      <c r="I898" t="s">
        <v>107</v>
      </c>
      <c r="J898">
        <v>296</v>
      </c>
      <c r="K898">
        <v>8.5</v>
      </c>
      <c r="L898">
        <v>2516</v>
      </c>
    </row>
    <row r="899" spans="1:12" x14ac:dyDescent="0.3">
      <c r="A899">
        <v>22</v>
      </c>
      <c r="B899">
        <v>22</v>
      </c>
      <c r="C899">
        <v>1</v>
      </c>
      <c r="D899">
        <v>4</v>
      </c>
      <c r="E899">
        <v>1</v>
      </c>
      <c r="F899">
        <v>0</v>
      </c>
      <c r="G899">
        <v>3</v>
      </c>
      <c r="H899" t="s">
        <v>25</v>
      </c>
      <c r="I899" t="s">
        <v>72</v>
      </c>
      <c r="J899">
        <v>388</v>
      </c>
      <c r="K899">
        <v>8.1</v>
      </c>
      <c r="L899">
        <v>3142.7999999999902</v>
      </c>
    </row>
    <row r="900" spans="1:12" x14ac:dyDescent="0.3">
      <c r="A900">
        <v>9</v>
      </c>
      <c r="C900">
        <v>2</v>
      </c>
      <c r="E900">
        <v>7</v>
      </c>
      <c r="F900">
        <v>0</v>
      </c>
      <c r="G900">
        <v>8</v>
      </c>
      <c r="H900" t="s">
        <v>20</v>
      </c>
      <c r="I900" t="s">
        <v>85</v>
      </c>
      <c r="J900">
        <v>449</v>
      </c>
      <c r="K900">
        <v>9.1</v>
      </c>
      <c r="L900">
        <v>4085.8999999999901</v>
      </c>
    </row>
    <row r="901" spans="1:12" x14ac:dyDescent="0.3">
      <c r="A901">
        <v>15</v>
      </c>
      <c r="B901">
        <v>23</v>
      </c>
      <c r="C901">
        <v>0</v>
      </c>
      <c r="D901">
        <v>19</v>
      </c>
      <c r="E901">
        <v>1</v>
      </c>
      <c r="F901">
        <v>0</v>
      </c>
      <c r="G901">
        <v>8</v>
      </c>
      <c r="H901" t="s">
        <v>20</v>
      </c>
      <c r="I901" t="s">
        <v>76</v>
      </c>
      <c r="J901">
        <v>551</v>
      </c>
      <c r="K901">
        <v>9.1</v>
      </c>
      <c r="L901" t="s">
        <v>305</v>
      </c>
    </row>
    <row r="902" spans="1:12" x14ac:dyDescent="0.3">
      <c r="A902">
        <v>11</v>
      </c>
      <c r="B902">
        <v>23</v>
      </c>
      <c r="C902">
        <v>2</v>
      </c>
      <c r="D902">
        <v>15</v>
      </c>
      <c r="E902">
        <v>1</v>
      </c>
      <c r="F902">
        <v>0</v>
      </c>
      <c r="G902">
        <v>8</v>
      </c>
      <c r="H902" t="s">
        <v>15</v>
      </c>
      <c r="I902" t="s">
        <v>79</v>
      </c>
      <c r="J902">
        <v>615</v>
      </c>
      <c r="K902">
        <v>8.3000000000000007</v>
      </c>
      <c r="L902">
        <v>99999</v>
      </c>
    </row>
    <row r="903" spans="1:12" x14ac:dyDescent="0.3">
      <c r="A903">
        <v>19</v>
      </c>
      <c r="B903">
        <v>22</v>
      </c>
      <c r="C903">
        <v>2</v>
      </c>
      <c r="E903">
        <v>12</v>
      </c>
      <c r="F903">
        <v>0</v>
      </c>
      <c r="G903">
        <v>12</v>
      </c>
      <c r="H903" t="s">
        <v>18</v>
      </c>
      <c r="I903" t="s">
        <v>94</v>
      </c>
      <c r="J903">
        <v>732</v>
      </c>
      <c r="K903">
        <v>7.7</v>
      </c>
      <c r="L903">
        <v>5636.4</v>
      </c>
    </row>
    <row r="904" spans="1:12" x14ac:dyDescent="0.3">
      <c r="A904">
        <v>6</v>
      </c>
      <c r="B904">
        <v>18</v>
      </c>
      <c r="C904">
        <v>0</v>
      </c>
      <c r="D904">
        <v>18</v>
      </c>
      <c r="E904">
        <v>1</v>
      </c>
      <c r="H904" t="s">
        <v>18</v>
      </c>
      <c r="I904" t="s">
        <v>83</v>
      </c>
      <c r="J904">
        <v>489</v>
      </c>
      <c r="K904">
        <v>7.7</v>
      </c>
      <c r="L904">
        <v>3765.3</v>
      </c>
    </row>
    <row r="905" spans="1:12" x14ac:dyDescent="0.3">
      <c r="A905">
        <v>14</v>
      </c>
      <c r="B905">
        <v>22</v>
      </c>
      <c r="C905">
        <v>3</v>
      </c>
      <c r="D905">
        <v>15</v>
      </c>
      <c r="E905">
        <v>12</v>
      </c>
      <c r="F905">
        <v>0</v>
      </c>
      <c r="G905">
        <v>11</v>
      </c>
      <c r="H905" t="s">
        <v>15</v>
      </c>
      <c r="I905" t="s">
        <v>90</v>
      </c>
      <c r="J905" t="s">
        <v>177</v>
      </c>
      <c r="K905">
        <v>8.3000000000000007</v>
      </c>
      <c r="L905">
        <v>4490.3</v>
      </c>
    </row>
    <row r="906" spans="1:12" x14ac:dyDescent="0.3">
      <c r="A906">
        <v>11</v>
      </c>
      <c r="B906">
        <v>23</v>
      </c>
      <c r="C906">
        <v>3</v>
      </c>
      <c r="D906">
        <v>19</v>
      </c>
      <c r="E906">
        <v>1</v>
      </c>
      <c r="F906">
        <v>0</v>
      </c>
      <c r="G906">
        <v>5</v>
      </c>
      <c r="H906" t="s">
        <v>55</v>
      </c>
      <c r="I906" t="s">
        <v>89</v>
      </c>
      <c r="J906">
        <v>712</v>
      </c>
      <c r="K906">
        <v>7.8</v>
      </c>
      <c r="L906">
        <v>5553.5999999999904</v>
      </c>
    </row>
    <row r="907" spans="1:12" x14ac:dyDescent="0.3">
      <c r="A907">
        <v>21</v>
      </c>
      <c r="B907">
        <v>23</v>
      </c>
      <c r="C907">
        <v>0</v>
      </c>
      <c r="D907">
        <v>13</v>
      </c>
      <c r="E907">
        <v>12</v>
      </c>
      <c r="F907">
        <v>0</v>
      </c>
      <c r="G907">
        <v>1</v>
      </c>
      <c r="H907" t="s">
        <v>15</v>
      </c>
      <c r="I907" t="s">
        <v>115</v>
      </c>
      <c r="J907">
        <v>644</v>
      </c>
      <c r="K907">
        <v>8.3000000000000007</v>
      </c>
      <c r="L907">
        <v>5345.2</v>
      </c>
    </row>
    <row r="908" spans="1:12" x14ac:dyDescent="0.3">
      <c r="A908">
        <v>15</v>
      </c>
      <c r="B908">
        <v>22</v>
      </c>
      <c r="C908">
        <v>3</v>
      </c>
      <c r="D908">
        <v>15</v>
      </c>
      <c r="E908">
        <v>12</v>
      </c>
      <c r="F908">
        <v>0</v>
      </c>
      <c r="G908">
        <v>5</v>
      </c>
      <c r="H908" t="s">
        <v>36</v>
      </c>
      <c r="I908" t="s">
        <v>73</v>
      </c>
      <c r="J908" t="s">
        <v>178</v>
      </c>
      <c r="K908">
        <v>8.8000000000000007</v>
      </c>
      <c r="L908" t="s">
        <v>306</v>
      </c>
    </row>
    <row r="909" spans="1:12" x14ac:dyDescent="0.3">
      <c r="A909">
        <v>16</v>
      </c>
      <c r="B909">
        <v>22</v>
      </c>
      <c r="C909">
        <v>3</v>
      </c>
      <c r="D909">
        <v>14</v>
      </c>
      <c r="E909">
        <v>1</v>
      </c>
      <c r="F909">
        <v>0</v>
      </c>
      <c r="G909">
        <v>6</v>
      </c>
      <c r="H909" t="s">
        <v>24</v>
      </c>
      <c r="I909" t="s">
        <v>73</v>
      </c>
      <c r="J909">
        <v>450</v>
      </c>
      <c r="K909">
        <v>7.9</v>
      </c>
    </row>
    <row r="910" spans="1:12" x14ac:dyDescent="0.3">
      <c r="A910">
        <v>15</v>
      </c>
      <c r="B910">
        <v>22</v>
      </c>
      <c r="C910">
        <v>0</v>
      </c>
      <c r="D910">
        <v>12</v>
      </c>
      <c r="E910">
        <v>1</v>
      </c>
      <c r="F910">
        <v>0</v>
      </c>
      <c r="G910">
        <v>12</v>
      </c>
      <c r="H910" t="s">
        <v>35</v>
      </c>
      <c r="I910" t="s">
        <v>87</v>
      </c>
      <c r="J910">
        <v>463</v>
      </c>
      <c r="K910">
        <v>8.1999999999999993</v>
      </c>
    </row>
    <row r="911" spans="1:12" x14ac:dyDescent="0.3">
      <c r="A911">
        <v>6</v>
      </c>
      <c r="B911">
        <v>20</v>
      </c>
      <c r="C911">
        <v>1</v>
      </c>
      <c r="D911">
        <v>15</v>
      </c>
      <c r="E911">
        <v>7</v>
      </c>
      <c r="G911">
        <v>1</v>
      </c>
      <c r="H911" t="s">
        <v>31</v>
      </c>
      <c r="I911" t="s">
        <v>79</v>
      </c>
      <c r="J911">
        <v>454</v>
      </c>
      <c r="K911">
        <v>7.9</v>
      </c>
      <c r="L911" t="s">
        <v>307</v>
      </c>
    </row>
    <row r="912" spans="1:12" x14ac:dyDescent="0.3">
      <c r="A912">
        <v>19</v>
      </c>
      <c r="B912">
        <v>22</v>
      </c>
      <c r="C912">
        <v>3</v>
      </c>
      <c r="D912">
        <v>14</v>
      </c>
      <c r="E912">
        <v>1</v>
      </c>
      <c r="F912">
        <v>0</v>
      </c>
      <c r="G912">
        <v>1</v>
      </c>
      <c r="H912" t="s">
        <v>35</v>
      </c>
      <c r="I912" t="s">
        <v>91</v>
      </c>
      <c r="J912">
        <v>527</v>
      </c>
      <c r="K912">
        <v>8.1999999999999993</v>
      </c>
      <c r="L912">
        <v>4321.3999999999996</v>
      </c>
    </row>
    <row r="913" spans="1:12" x14ac:dyDescent="0.3">
      <c r="A913">
        <v>6</v>
      </c>
      <c r="B913">
        <v>22</v>
      </c>
      <c r="C913">
        <v>1</v>
      </c>
      <c r="D913">
        <v>16</v>
      </c>
      <c r="E913">
        <v>1</v>
      </c>
      <c r="F913">
        <v>0</v>
      </c>
      <c r="H913" t="s">
        <v>62</v>
      </c>
      <c r="I913" t="s">
        <v>76</v>
      </c>
      <c r="J913">
        <v>456</v>
      </c>
      <c r="K913">
        <v>8.5</v>
      </c>
      <c r="L913">
        <v>3876</v>
      </c>
    </row>
    <row r="914" spans="1:12" x14ac:dyDescent="0.3">
      <c r="A914">
        <v>21</v>
      </c>
      <c r="B914">
        <v>23</v>
      </c>
      <c r="C914">
        <v>3</v>
      </c>
      <c r="D914">
        <v>22</v>
      </c>
      <c r="E914">
        <v>1</v>
      </c>
      <c r="F914">
        <v>0</v>
      </c>
      <c r="G914">
        <v>12</v>
      </c>
      <c r="H914" t="s">
        <v>30</v>
      </c>
      <c r="I914" t="s">
        <v>105</v>
      </c>
      <c r="J914" t="s">
        <v>179</v>
      </c>
      <c r="K914">
        <v>9.1999999999999993</v>
      </c>
      <c r="L914" t="s">
        <v>308</v>
      </c>
    </row>
    <row r="915" spans="1:12" x14ac:dyDescent="0.3">
      <c r="A915">
        <v>7</v>
      </c>
      <c r="B915">
        <v>20</v>
      </c>
      <c r="C915">
        <v>0</v>
      </c>
      <c r="D915">
        <v>5</v>
      </c>
      <c r="E915">
        <v>1</v>
      </c>
      <c r="F915">
        <v>0</v>
      </c>
      <c r="G915">
        <v>5</v>
      </c>
      <c r="H915" t="s">
        <v>35</v>
      </c>
      <c r="I915" t="s">
        <v>80</v>
      </c>
      <c r="J915">
        <v>192</v>
      </c>
      <c r="K915" t="s">
        <v>143</v>
      </c>
      <c r="L915">
        <v>1574.3999999999901</v>
      </c>
    </row>
    <row r="916" spans="1:12" x14ac:dyDescent="0.3">
      <c r="A916">
        <v>11</v>
      </c>
      <c r="B916">
        <v>22</v>
      </c>
      <c r="C916">
        <v>2</v>
      </c>
      <c r="D916">
        <v>7</v>
      </c>
      <c r="E916">
        <v>1</v>
      </c>
      <c r="F916">
        <v>0</v>
      </c>
      <c r="G916">
        <v>5</v>
      </c>
      <c r="H916" t="s">
        <v>25</v>
      </c>
      <c r="I916" t="s">
        <v>96</v>
      </c>
      <c r="J916">
        <v>492</v>
      </c>
      <c r="K916">
        <v>8.1</v>
      </c>
      <c r="L916">
        <v>3985.2</v>
      </c>
    </row>
    <row r="917" spans="1:12" x14ac:dyDescent="0.3">
      <c r="A917">
        <v>19</v>
      </c>
      <c r="B917">
        <v>23</v>
      </c>
      <c r="C917">
        <v>2</v>
      </c>
      <c r="D917">
        <v>7</v>
      </c>
      <c r="E917">
        <v>12</v>
      </c>
      <c r="F917">
        <v>0</v>
      </c>
      <c r="H917" t="s">
        <v>16</v>
      </c>
      <c r="I917" t="s">
        <v>84</v>
      </c>
      <c r="J917">
        <v>674</v>
      </c>
      <c r="K917">
        <v>8.9</v>
      </c>
      <c r="L917">
        <v>5998.6</v>
      </c>
    </row>
    <row r="918" spans="1:12" x14ac:dyDescent="0.3">
      <c r="A918">
        <v>19</v>
      </c>
      <c r="B918">
        <v>22</v>
      </c>
      <c r="C918">
        <v>0</v>
      </c>
      <c r="D918">
        <v>16</v>
      </c>
      <c r="E918">
        <v>12</v>
      </c>
      <c r="F918">
        <v>0</v>
      </c>
      <c r="G918">
        <v>6</v>
      </c>
      <c r="H918" t="s">
        <v>47</v>
      </c>
      <c r="I918" t="s">
        <v>91</v>
      </c>
      <c r="J918">
        <v>687</v>
      </c>
      <c r="K918">
        <v>9.1</v>
      </c>
      <c r="L918">
        <v>6251.7</v>
      </c>
    </row>
    <row r="919" spans="1:12" x14ac:dyDescent="0.3">
      <c r="A919">
        <v>11</v>
      </c>
      <c r="B919">
        <v>22</v>
      </c>
      <c r="C919">
        <v>0</v>
      </c>
      <c r="D919">
        <v>10</v>
      </c>
      <c r="E919">
        <v>1</v>
      </c>
      <c r="F919">
        <v>0</v>
      </c>
      <c r="G919">
        <v>10</v>
      </c>
      <c r="H919" t="s">
        <v>15</v>
      </c>
      <c r="I919" t="s">
        <v>80</v>
      </c>
      <c r="J919">
        <v>533</v>
      </c>
      <c r="K919">
        <v>8.3000000000000007</v>
      </c>
      <c r="L919">
        <v>4423.8999999999996</v>
      </c>
    </row>
    <row r="920" spans="1:12" x14ac:dyDescent="0.3">
      <c r="A920">
        <v>17</v>
      </c>
      <c r="B920">
        <v>22</v>
      </c>
      <c r="C920">
        <v>1</v>
      </c>
      <c r="D920">
        <v>13</v>
      </c>
      <c r="E920">
        <v>1</v>
      </c>
      <c r="F920">
        <v>0</v>
      </c>
      <c r="G920">
        <v>1</v>
      </c>
      <c r="H920" t="s">
        <v>35</v>
      </c>
      <c r="I920" t="s">
        <v>72</v>
      </c>
      <c r="J920">
        <v>519</v>
      </c>
      <c r="K920">
        <v>8.1999999999999993</v>
      </c>
      <c r="L920">
        <v>4255.7999999999902</v>
      </c>
    </row>
    <row r="921" spans="1:12" x14ac:dyDescent="0.3">
      <c r="B921">
        <v>22</v>
      </c>
      <c r="C921">
        <v>1</v>
      </c>
      <c r="D921">
        <v>4</v>
      </c>
      <c r="E921">
        <v>1</v>
      </c>
      <c r="F921">
        <v>0</v>
      </c>
      <c r="G921">
        <v>10</v>
      </c>
      <c r="I921" t="s">
        <v>75</v>
      </c>
      <c r="J921">
        <v>516</v>
      </c>
      <c r="K921">
        <v>7.8</v>
      </c>
      <c r="L921">
        <v>4024.7999999999902</v>
      </c>
    </row>
    <row r="922" spans="1:12" x14ac:dyDescent="0.3">
      <c r="A922">
        <v>23</v>
      </c>
      <c r="B922">
        <v>22</v>
      </c>
      <c r="C922">
        <v>0</v>
      </c>
      <c r="D922">
        <v>14</v>
      </c>
      <c r="E922">
        <v>1</v>
      </c>
      <c r="F922">
        <v>0</v>
      </c>
      <c r="G922">
        <v>12</v>
      </c>
      <c r="H922" t="s">
        <v>20</v>
      </c>
      <c r="I922" t="s">
        <v>100</v>
      </c>
      <c r="J922">
        <v>571</v>
      </c>
      <c r="K922">
        <v>9.1</v>
      </c>
      <c r="L922">
        <v>5196.0999999999904</v>
      </c>
    </row>
    <row r="923" spans="1:12" x14ac:dyDescent="0.3">
      <c r="A923">
        <v>6</v>
      </c>
      <c r="B923">
        <v>23</v>
      </c>
      <c r="C923">
        <v>1</v>
      </c>
      <c r="D923">
        <v>22</v>
      </c>
      <c r="E923">
        <v>1</v>
      </c>
      <c r="F923">
        <v>0</v>
      </c>
      <c r="H923" t="s">
        <v>35</v>
      </c>
      <c r="I923" t="s">
        <v>91</v>
      </c>
      <c r="J923">
        <v>362</v>
      </c>
      <c r="K923">
        <v>8.1999999999999993</v>
      </c>
      <c r="L923">
        <v>2968.3999999999901</v>
      </c>
    </row>
    <row r="924" spans="1:12" x14ac:dyDescent="0.3">
      <c r="B924">
        <v>18</v>
      </c>
      <c r="C924">
        <v>3</v>
      </c>
      <c r="D924">
        <v>14</v>
      </c>
      <c r="E924">
        <v>1</v>
      </c>
      <c r="F924">
        <v>0</v>
      </c>
      <c r="G924">
        <v>5</v>
      </c>
      <c r="H924" t="s">
        <v>23</v>
      </c>
      <c r="I924" t="s">
        <v>83</v>
      </c>
      <c r="J924">
        <v>383</v>
      </c>
      <c r="K924">
        <v>8.4</v>
      </c>
      <c r="L924">
        <v>3217.2</v>
      </c>
    </row>
    <row r="925" spans="1:12" x14ac:dyDescent="0.3">
      <c r="B925">
        <v>22</v>
      </c>
      <c r="C925">
        <v>3</v>
      </c>
      <c r="D925">
        <v>5</v>
      </c>
      <c r="E925">
        <v>1</v>
      </c>
      <c r="F925">
        <v>0</v>
      </c>
      <c r="G925">
        <v>5</v>
      </c>
      <c r="H925" t="s">
        <v>16</v>
      </c>
      <c r="I925" t="s">
        <v>81</v>
      </c>
      <c r="J925">
        <v>574</v>
      </c>
      <c r="K925">
        <v>8.9</v>
      </c>
      <c r="L925">
        <v>5108.6000000000004</v>
      </c>
    </row>
    <row r="926" spans="1:12" x14ac:dyDescent="0.3">
      <c r="A926">
        <v>7</v>
      </c>
      <c r="B926">
        <v>19</v>
      </c>
      <c r="C926">
        <v>2</v>
      </c>
      <c r="D926">
        <v>19</v>
      </c>
      <c r="E926">
        <v>1</v>
      </c>
      <c r="F926">
        <v>0</v>
      </c>
      <c r="G926">
        <v>9</v>
      </c>
      <c r="I926" t="s">
        <v>114</v>
      </c>
      <c r="J926">
        <v>494</v>
      </c>
      <c r="K926">
        <v>7.7</v>
      </c>
      <c r="L926">
        <v>3803.8</v>
      </c>
    </row>
    <row r="927" spans="1:12" x14ac:dyDescent="0.3">
      <c r="A927">
        <v>5</v>
      </c>
      <c r="B927">
        <v>21</v>
      </c>
      <c r="C927">
        <v>0</v>
      </c>
      <c r="D927">
        <v>5</v>
      </c>
      <c r="E927">
        <v>1</v>
      </c>
      <c r="F927">
        <v>0</v>
      </c>
      <c r="G927">
        <v>10</v>
      </c>
      <c r="H927" t="s">
        <v>18</v>
      </c>
      <c r="I927" t="s">
        <v>88</v>
      </c>
      <c r="J927">
        <v>316</v>
      </c>
      <c r="K927">
        <v>7.7</v>
      </c>
      <c r="L927">
        <v>2433.1999999999998</v>
      </c>
    </row>
    <row r="928" spans="1:12" x14ac:dyDescent="0.3">
      <c r="A928">
        <v>11</v>
      </c>
      <c r="B928">
        <v>23</v>
      </c>
      <c r="C928">
        <v>1</v>
      </c>
      <c r="D928">
        <v>8</v>
      </c>
      <c r="E928">
        <v>1</v>
      </c>
      <c r="F928">
        <v>0</v>
      </c>
      <c r="G928">
        <v>11</v>
      </c>
      <c r="H928" t="s">
        <v>35</v>
      </c>
      <c r="I928" t="s">
        <v>84</v>
      </c>
      <c r="J928">
        <v>510</v>
      </c>
      <c r="K928" t="s">
        <v>249</v>
      </c>
      <c r="L928">
        <v>4182</v>
      </c>
    </row>
    <row r="929" spans="1:12" x14ac:dyDescent="0.3">
      <c r="A929">
        <v>5</v>
      </c>
      <c r="C929">
        <v>2</v>
      </c>
      <c r="D929">
        <v>5</v>
      </c>
      <c r="E929">
        <v>7</v>
      </c>
      <c r="F929">
        <v>0</v>
      </c>
      <c r="G929">
        <v>4</v>
      </c>
      <c r="H929" t="s">
        <v>38</v>
      </c>
      <c r="I929" t="s">
        <v>74</v>
      </c>
      <c r="J929">
        <v>280</v>
      </c>
      <c r="K929">
        <v>7.4</v>
      </c>
      <c r="L929">
        <v>2072</v>
      </c>
    </row>
    <row r="930" spans="1:12" x14ac:dyDescent="0.3">
      <c r="A930">
        <v>21</v>
      </c>
      <c r="B930">
        <v>23</v>
      </c>
      <c r="C930">
        <v>0</v>
      </c>
      <c r="D930">
        <v>22</v>
      </c>
      <c r="E930">
        <v>1</v>
      </c>
      <c r="F930">
        <v>0</v>
      </c>
      <c r="G930">
        <v>12</v>
      </c>
      <c r="H930" t="s">
        <v>18</v>
      </c>
      <c r="I930" t="s">
        <v>88</v>
      </c>
      <c r="J930">
        <v>534</v>
      </c>
      <c r="K930">
        <v>7.7</v>
      </c>
      <c r="L930">
        <v>4111.8</v>
      </c>
    </row>
    <row r="931" spans="1:12" x14ac:dyDescent="0.3">
      <c r="A931">
        <v>12</v>
      </c>
      <c r="B931">
        <v>22</v>
      </c>
      <c r="C931">
        <v>3</v>
      </c>
      <c r="E931">
        <v>1</v>
      </c>
      <c r="F931">
        <v>0</v>
      </c>
      <c r="G931">
        <v>3</v>
      </c>
      <c r="H931" t="s">
        <v>15</v>
      </c>
      <c r="I931" t="s">
        <v>82</v>
      </c>
      <c r="J931">
        <v>465</v>
      </c>
      <c r="K931">
        <v>8.3000000000000007</v>
      </c>
      <c r="L931">
        <v>3859.5</v>
      </c>
    </row>
    <row r="932" spans="1:12" x14ac:dyDescent="0.3">
      <c r="B932">
        <v>23</v>
      </c>
      <c r="C932">
        <v>3</v>
      </c>
      <c r="D932">
        <v>11</v>
      </c>
      <c r="E932">
        <v>7</v>
      </c>
      <c r="F932">
        <v>0</v>
      </c>
      <c r="G932">
        <v>5</v>
      </c>
      <c r="H932" t="s">
        <v>30</v>
      </c>
      <c r="I932" t="s">
        <v>89</v>
      </c>
      <c r="J932">
        <v>469</v>
      </c>
      <c r="K932">
        <v>9.1999999999999993</v>
      </c>
      <c r="L932">
        <v>4314.7999999999902</v>
      </c>
    </row>
    <row r="933" spans="1:12" x14ac:dyDescent="0.3">
      <c r="B933">
        <v>18</v>
      </c>
      <c r="C933">
        <v>3</v>
      </c>
      <c r="D933">
        <v>15</v>
      </c>
      <c r="E933">
        <v>1</v>
      </c>
      <c r="F933">
        <v>0</v>
      </c>
      <c r="G933">
        <v>2</v>
      </c>
      <c r="H933" t="s">
        <v>24</v>
      </c>
      <c r="I933" t="s">
        <v>109</v>
      </c>
      <c r="J933">
        <v>520</v>
      </c>
      <c r="K933">
        <v>7.9</v>
      </c>
      <c r="L933">
        <v>4108</v>
      </c>
    </row>
    <row r="934" spans="1:12" x14ac:dyDescent="0.3">
      <c r="A934">
        <v>23</v>
      </c>
      <c r="B934">
        <v>22</v>
      </c>
      <c r="C934">
        <v>2</v>
      </c>
      <c r="D934">
        <v>17</v>
      </c>
      <c r="E934">
        <v>1</v>
      </c>
      <c r="G934">
        <v>11</v>
      </c>
      <c r="H934" t="s">
        <v>23</v>
      </c>
      <c r="I934" t="s">
        <v>106</v>
      </c>
      <c r="J934">
        <v>497</v>
      </c>
      <c r="K934">
        <v>8.4</v>
      </c>
      <c r="L934">
        <v>4174.8</v>
      </c>
    </row>
    <row r="935" spans="1:12" x14ac:dyDescent="0.3">
      <c r="A935">
        <v>22</v>
      </c>
      <c r="B935">
        <v>23</v>
      </c>
      <c r="C935">
        <v>0</v>
      </c>
      <c r="F935">
        <v>0</v>
      </c>
      <c r="G935">
        <v>9</v>
      </c>
      <c r="H935" t="s">
        <v>35</v>
      </c>
      <c r="J935">
        <v>540</v>
      </c>
      <c r="K935" t="s">
        <v>249</v>
      </c>
      <c r="L935">
        <v>4428</v>
      </c>
    </row>
    <row r="936" spans="1:12" x14ac:dyDescent="0.3">
      <c r="A936">
        <v>8</v>
      </c>
      <c r="B936">
        <v>19</v>
      </c>
      <c r="C936">
        <v>3</v>
      </c>
      <c r="D936">
        <v>5</v>
      </c>
      <c r="E936">
        <v>7</v>
      </c>
      <c r="F936">
        <v>0</v>
      </c>
      <c r="G936">
        <v>12</v>
      </c>
      <c r="H936" t="s">
        <v>23</v>
      </c>
      <c r="I936" t="s">
        <v>80</v>
      </c>
      <c r="J936" t="s">
        <v>180</v>
      </c>
      <c r="K936">
        <v>8.4</v>
      </c>
      <c r="L936">
        <v>4947.6000000000004</v>
      </c>
    </row>
    <row r="937" spans="1:12" x14ac:dyDescent="0.3">
      <c r="A937">
        <v>7</v>
      </c>
      <c r="B937">
        <v>18</v>
      </c>
      <c r="C937">
        <v>1</v>
      </c>
      <c r="D937">
        <v>22</v>
      </c>
      <c r="E937">
        <v>1</v>
      </c>
      <c r="F937">
        <v>0</v>
      </c>
      <c r="G937">
        <v>9</v>
      </c>
      <c r="H937" t="s">
        <v>24</v>
      </c>
      <c r="I937" t="s">
        <v>96</v>
      </c>
      <c r="J937">
        <v>489</v>
      </c>
      <c r="K937">
        <v>7.9</v>
      </c>
      <c r="L937">
        <v>3863.1</v>
      </c>
    </row>
    <row r="938" spans="1:12" x14ac:dyDescent="0.3">
      <c r="A938">
        <v>23</v>
      </c>
      <c r="B938">
        <v>22</v>
      </c>
      <c r="C938">
        <v>2</v>
      </c>
      <c r="D938">
        <v>22</v>
      </c>
      <c r="G938">
        <v>5</v>
      </c>
      <c r="H938" t="s">
        <v>15</v>
      </c>
      <c r="I938" t="s">
        <v>83</v>
      </c>
      <c r="J938">
        <v>913</v>
      </c>
      <c r="K938">
        <v>8.3000000000000007</v>
      </c>
      <c r="L938">
        <v>7577.9</v>
      </c>
    </row>
    <row r="939" spans="1:12" x14ac:dyDescent="0.3">
      <c r="A939">
        <v>15</v>
      </c>
      <c r="B939">
        <v>23</v>
      </c>
      <c r="C939">
        <v>2</v>
      </c>
      <c r="D939">
        <v>3</v>
      </c>
      <c r="E939">
        <v>1</v>
      </c>
      <c r="G939">
        <v>8</v>
      </c>
      <c r="H939" t="s">
        <v>35</v>
      </c>
      <c r="I939" t="s">
        <v>109</v>
      </c>
      <c r="J939">
        <v>480</v>
      </c>
      <c r="K939">
        <v>8.1999999999999993</v>
      </c>
      <c r="L939">
        <v>3935.99999999999</v>
      </c>
    </row>
    <row r="940" spans="1:12" x14ac:dyDescent="0.3">
      <c r="A940">
        <v>11</v>
      </c>
      <c r="B940">
        <v>22</v>
      </c>
      <c r="C940">
        <v>1</v>
      </c>
      <c r="D940">
        <v>12</v>
      </c>
      <c r="E940">
        <v>1</v>
      </c>
      <c r="F940">
        <v>0</v>
      </c>
      <c r="G940">
        <v>9</v>
      </c>
      <c r="H940" t="s">
        <v>22</v>
      </c>
      <c r="I940" t="s">
        <v>104</v>
      </c>
      <c r="J940">
        <v>338</v>
      </c>
      <c r="K940">
        <v>7.8</v>
      </c>
      <c r="L940">
        <v>2636.4</v>
      </c>
    </row>
    <row r="941" spans="1:12" x14ac:dyDescent="0.3">
      <c r="A941">
        <v>10</v>
      </c>
      <c r="B941">
        <v>23</v>
      </c>
      <c r="C941">
        <v>0</v>
      </c>
      <c r="D941">
        <v>5</v>
      </c>
      <c r="E941">
        <v>1</v>
      </c>
      <c r="F941">
        <v>0</v>
      </c>
      <c r="G941">
        <v>2</v>
      </c>
      <c r="I941" t="s">
        <v>83</v>
      </c>
      <c r="J941">
        <v>213</v>
      </c>
      <c r="K941" t="s">
        <v>247</v>
      </c>
      <c r="L941">
        <v>1980.9</v>
      </c>
    </row>
    <row r="942" spans="1:12" x14ac:dyDescent="0.3">
      <c r="A942">
        <v>17</v>
      </c>
      <c r="B942">
        <v>23</v>
      </c>
      <c r="C942">
        <v>3</v>
      </c>
      <c r="D942">
        <v>17</v>
      </c>
      <c r="E942">
        <v>1</v>
      </c>
      <c r="F942">
        <v>0</v>
      </c>
      <c r="G942">
        <v>10</v>
      </c>
      <c r="H942" t="s">
        <v>16</v>
      </c>
      <c r="I942" t="s">
        <v>70</v>
      </c>
      <c r="J942">
        <v>648</v>
      </c>
      <c r="K942" t="s">
        <v>236</v>
      </c>
      <c r="L942">
        <v>5767.2</v>
      </c>
    </row>
    <row r="943" spans="1:12" x14ac:dyDescent="0.3">
      <c r="A943">
        <v>18</v>
      </c>
      <c r="B943">
        <v>22</v>
      </c>
      <c r="C943">
        <v>1</v>
      </c>
      <c r="D943">
        <v>12</v>
      </c>
      <c r="E943">
        <v>12</v>
      </c>
      <c r="F943">
        <v>0</v>
      </c>
      <c r="G943">
        <v>12</v>
      </c>
      <c r="H943" t="s">
        <v>16</v>
      </c>
      <c r="I943" t="s">
        <v>108</v>
      </c>
      <c r="J943">
        <v>680</v>
      </c>
      <c r="K943">
        <v>8.9</v>
      </c>
      <c r="L943">
        <v>6052</v>
      </c>
    </row>
    <row r="944" spans="1:12" x14ac:dyDescent="0.3">
      <c r="A944">
        <v>6</v>
      </c>
      <c r="B944">
        <v>18</v>
      </c>
      <c r="C944">
        <v>3</v>
      </c>
      <c r="D944">
        <v>21</v>
      </c>
      <c r="E944">
        <v>1</v>
      </c>
      <c r="F944">
        <v>0</v>
      </c>
      <c r="G944">
        <v>11</v>
      </c>
      <c r="H944" t="s">
        <v>30</v>
      </c>
      <c r="I944" t="s">
        <v>87</v>
      </c>
      <c r="J944">
        <v>406</v>
      </c>
      <c r="K944">
        <v>9.1999999999999993</v>
      </c>
      <c r="L944">
        <v>3735.2</v>
      </c>
    </row>
    <row r="945" spans="1:12" x14ac:dyDescent="0.3">
      <c r="A945">
        <v>7</v>
      </c>
      <c r="B945">
        <v>20</v>
      </c>
      <c r="C945">
        <v>2</v>
      </c>
      <c r="D945">
        <v>20</v>
      </c>
      <c r="E945">
        <v>1</v>
      </c>
      <c r="F945">
        <v>0</v>
      </c>
      <c r="G945">
        <v>5</v>
      </c>
      <c r="H945" t="s">
        <v>22</v>
      </c>
      <c r="I945" t="s">
        <v>106</v>
      </c>
      <c r="J945">
        <v>456</v>
      </c>
      <c r="K945">
        <v>7.8</v>
      </c>
      <c r="L945">
        <v>3556.7999999999902</v>
      </c>
    </row>
    <row r="946" spans="1:12" x14ac:dyDescent="0.3">
      <c r="A946">
        <v>22</v>
      </c>
      <c r="B946">
        <v>23</v>
      </c>
      <c r="C946">
        <v>2</v>
      </c>
      <c r="D946">
        <v>4</v>
      </c>
      <c r="E946">
        <v>1</v>
      </c>
      <c r="F946">
        <v>0</v>
      </c>
      <c r="G946">
        <v>4</v>
      </c>
      <c r="H946" t="s">
        <v>15</v>
      </c>
      <c r="I946" t="s">
        <v>80</v>
      </c>
      <c r="J946">
        <v>415</v>
      </c>
      <c r="K946">
        <v>8.3000000000000007</v>
      </c>
      <c r="L946">
        <v>3444.5</v>
      </c>
    </row>
    <row r="947" spans="1:12" x14ac:dyDescent="0.3">
      <c r="A947">
        <v>13</v>
      </c>
      <c r="B947">
        <v>22</v>
      </c>
      <c r="C947">
        <v>2</v>
      </c>
      <c r="D947">
        <v>10</v>
      </c>
      <c r="E947">
        <v>1</v>
      </c>
      <c r="F947">
        <v>0</v>
      </c>
      <c r="G947">
        <v>12</v>
      </c>
      <c r="H947" t="s">
        <v>25</v>
      </c>
      <c r="I947" t="s">
        <v>94</v>
      </c>
      <c r="J947">
        <v>595</v>
      </c>
      <c r="K947">
        <v>8.1</v>
      </c>
      <c r="L947">
        <v>4819.5</v>
      </c>
    </row>
    <row r="948" spans="1:12" x14ac:dyDescent="0.3">
      <c r="A948">
        <v>19</v>
      </c>
      <c r="B948">
        <v>23</v>
      </c>
      <c r="C948">
        <v>1</v>
      </c>
      <c r="D948">
        <v>10</v>
      </c>
      <c r="E948">
        <v>1</v>
      </c>
      <c r="F948">
        <v>0</v>
      </c>
      <c r="G948">
        <v>5</v>
      </c>
      <c r="H948" t="s">
        <v>15</v>
      </c>
      <c r="I948" t="s">
        <v>77</v>
      </c>
      <c r="J948">
        <v>589</v>
      </c>
      <c r="K948">
        <v>8.3000000000000007</v>
      </c>
      <c r="L948">
        <v>4888.7</v>
      </c>
    </row>
    <row r="949" spans="1:12" x14ac:dyDescent="0.3">
      <c r="A949">
        <v>23</v>
      </c>
      <c r="B949">
        <v>23</v>
      </c>
      <c r="C949">
        <v>3</v>
      </c>
      <c r="D949">
        <v>22</v>
      </c>
      <c r="E949">
        <v>1</v>
      </c>
      <c r="F949">
        <v>0</v>
      </c>
      <c r="G949">
        <v>11</v>
      </c>
      <c r="I949" t="s">
        <v>74</v>
      </c>
      <c r="J949">
        <v>655</v>
      </c>
      <c r="K949">
        <v>7.4</v>
      </c>
      <c r="L949">
        <v>4847</v>
      </c>
    </row>
    <row r="950" spans="1:12" x14ac:dyDescent="0.3">
      <c r="A950">
        <v>22</v>
      </c>
      <c r="B950">
        <v>22</v>
      </c>
      <c r="C950">
        <v>3</v>
      </c>
      <c r="D950">
        <v>5</v>
      </c>
      <c r="E950">
        <v>1</v>
      </c>
      <c r="F950">
        <v>0</v>
      </c>
      <c r="G950">
        <v>9</v>
      </c>
      <c r="H950" t="s">
        <v>20</v>
      </c>
      <c r="I950" t="s">
        <v>71</v>
      </c>
      <c r="J950">
        <v>560</v>
      </c>
      <c r="K950">
        <v>9.1</v>
      </c>
      <c r="L950">
        <v>5096</v>
      </c>
    </row>
    <row r="951" spans="1:12" x14ac:dyDescent="0.3">
      <c r="A951">
        <v>23</v>
      </c>
      <c r="B951">
        <v>22</v>
      </c>
      <c r="C951">
        <v>3</v>
      </c>
      <c r="D951">
        <v>11</v>
      </c>
      <c r="E951">
        <v>1</v>
      </c>
      <c r="F951">
        <v>0</v>
      </c>
      <c r="G951">
        <v>1</v>
      </c>
      <c r="H951" t="s">
        <v>23</v>
      </c>
      <c r="I951" t="s">
        <v>94</v>
      </c>
      <c r="J951">
        <v>503</v>
      </c>
      <c r="K951">
        <v>8.4</v>
      </c>
      <c r="L951">
        <v>4225.2</v>
      </c>
    </row>
    <row r="952" spans="1:12" x14ac:dyDescent="0.3">
      <c r="A952">
        <v>23</v>
      </c>
      <c r="B952">
        <v>23</v>
      </c>
      <c r="C952">
        <v>2</v>
      </c>
      <c r="E952">
        <v>12</v>
      </c>
      <c r="F952">
        <v>0</v>
      </c>
      <c r="G952">
        <v>9</v>
      </c>
      <c r="H952" t="s">
        <v>64</v>
      </c>
      <c r="I952" t="s">
        <v>95</v>
      </c>
      <c r="J952">
        <v>639</v>
      </c>
      <c r="K952">
        <v>8.1999999999999993</v>
      </c>
      <c r="L952">
        <v>5239.7999999999902</v>
      </c>
    </row>
    <row r="953" spans="1:12" x14ac:dyDescent="0.3">
      <c r="A953">
        <v>19</v>
      </c>
      <c r="B953">
        <v>23</v>
      </c>
      <c r="C953">
        <v>2</v>
      </c>
      <c r="D953">
        <v>5</v>
      </c>
      <c r="E953">
        <v>1</v>
      </c>
      <c r="F953">
        <v>0</v>
      </c>
      <c r="G953">
        <v>10</v>
      </c>
      <c r="H953" t="s">
        <v>24</v>
      </c>
      <c r="I953" t="s">
        <v>82</v>
      </c>
      <c r="J953">
        <v>449</v>
      </c>
      <c r="K953">
        <v>7.9</v>
      </c>
      <c r="L953">
        <v>3547.1</v>
      </c>
    </row>
    <row r="954" spans="1:12" x14ac:dyDescent="0.3">
      <c r="A954">
        <v>17</v>
      </c>
      <c r="B954">
        <v>22</v>
      </c>
      <c r="C954">
        <v>3</v>
      </c>
      <c r="D954">
        <v>6</v>
      </c>
      <c r="E954">
        <v>1</v>
      </c>
      <c r="F954">
        <v>0</v>
      </c>
      <c r="G954">
        <v>8</v>
      </c>
      <c r="H954" t="s">
        <v>25</v>
      </c>
      <c r="I954" t="s">
        <v>77</v>
      </c>
      <c r="K954">
        <v>8.1</v>
      </c>
      <c r="L954">
        <v>4479.3</v>
      </c>
    </row>
    <row r="955" spans="1:12" x14ac:dyDescent="0.3">
      <c r="A955">
        <v>16</v>
      </c>
      <c r="B955">
        <v>23</v>
      </c>
      <c r="C955">
        <v>2</v>
      </c>
      <c r="D955">
        <v>20</v>
      </c>
      <c r="E955">
        <v>1</v>
      </c>
      <c r="F955">
        <v>0</v>
      </c>
      <c r="G955">
        <v>5</v>
      </c>
      <c r="H955" t="s">
        <v>25</v>
      </c>
      <c r="I955" t="s">
        <v>96</v>
      </c>
      <c r="J955">
        <v>698</v>
      </c>
      <c r="K955">
        <v>8.1</v>
      </c>
      <c r="L955">
        <v>5653.8</v>
      </c>
    </row>
    <row r="956" spans="1:12" x14ac:dyDescent="0.3">
      <c r="A956">
        <v>14</v>
      </c>
      <c r="B956">
        <v>23</v>
      </c>
      <c r="C956">
        <v>3</v>
      </c>
      <c r="D956">
        <v>17</v>
      </c>
      <c r="E956">
        <v>1</v>
      </c>
      <c r="F956">
        <v>0</v>
      </c>
      <c r="G956">
        <v>8</v>
      </c>
      <c r="H956" t="s">
        <v>15</v>
      </c>
      <c r="I956" t="s">
        <v>74</v>
      </c>
      <c r="J956">
        <v>728</v>
      </c>
      <c r="K956">
        <v>8.3000000000000007</v>
      </c>
      <c r="L956">
        <v>6042.4</v>
      </c>
    </row>
    <row r="957" spans="1:12" x14ac:dyDescent="0.3">
      <c r="A957">
        <v>5</v>
      </c>
      <c r="B957">
        <v>20</v>
      </c>
      <c r="C957">
        <v>3</v>
      </c>
      <c r="D957">
        <v>11</v>
      </c>
      <c r="E957">
        <v>1</v>
      </c>
      <c r="F957">
        <v>0</v>
      </c>
      <c r="G957">
        <v>10</v>
      </c>
      <c r="H957" t="s">
        <v>25</v>
      </c>
      <c r="I957" t="s">
        <v>105</v>
      </c>
      <c r="J957">
        <v>547</v>
      </c>
      <c r="K957">
        <v>8.1</v>
      </c>
      <c r="L957">
        <v>4430.7</v>
      </c>
    </row>
    <row r="958" spans="1:12" x14ac:dyDescent="0.3">
      <c r="A958">
        <v>16</v>
      </c>
      <c r="B958">
        <v>22</v>
      </c>
      <c r="C958">
        <v>3</v>
      </c>
      <c r="D958">
        <v>3</v>
      </c>
      <c r="E958">
        <v>1</v>
      </c>
      <c r="F958">
        <v>0</v>
      </c>
      <c r="G958">
        <v>12</v>
      </c>
      <c r="H958" t="s">
        <v>30</v>
      </c>
      <c r="I958" t="s">
        <v>94</v>
      </c>
      <c r="J958">
        <v>601</v>
      </c>
      <c r="K958">
        <v>9.1999999999999993</v>
      </c>
      <c r="L958">
        <v>5529.2</v>
      </c>
    </row>
    <row r="959" spans="1:12" x14ac:dyDescent="0.3">
      <c r="A959">
        <v>20</v>
      </c>
      <c r="B959">
        <v>22</v>
      </c>
      <c r="C959">
        <v>1</v>
      </c>
      <c r="D959">
        <v>19</v>
      </c>
      <c r="E959">
        <v>1</v>
      </c>
      <c r="F959">
        <v>0</v>
      </c>
      <c r="G959">
        <v>8</v>
      </c>
      <c r="H959" t="s">
        <v>25</v>
      </c>
      <c r="I959" t="s">
        <v>75</v>
      </c>
      <c r="K959">
        <v>8.1</v>
      </c>
      <c r="L959">
        <v>5410.8</v>
      </c>
    </row>
    <row r="960" spans="1:12" x14ac:dyDescent="0.3">
      <c r="A960">
        <v>7</v>
      </c>
      <c r="B960">
        <v>20</v>
      </c>
      <c r="C960">
        <v>1</v>
      </c>
      <c r="D960">
        <v>13</v>
      </c>
      <c r="E960">
        <v>1</v>
      </c>
      <c r="F960">
        <v>0</v>
      </c>
      <c r="G960">
        <v>6</v>
      </c>
      <c r="H960" t="s">
        <v>21</v>
      </c>
      <c r="I960" t="s">
        <v>75</v>
      </c>
      <c r="J960">
        <v>412</v>
      </c>
      <c r="K960">
        <v>8.6999999999999993</v>
      </c>
      <c r="L960">
        <v>3584.3999999999901</v>
      </c>
    </row>
    <row r="961" spans="1:12" x14ac:dyDescent="0.3">
      <c r="A961">
        <v>23</v>
      </c>
      <c r="B961">
        <v>22</v>
      </c>
      <c r="C961">
        <v>3</v>
      </c>
      <c r="D961">
        <v>11</v>
      </c>
      <c r="E961">
        <v>1</v>
      </c>
      <c r="F961">
        <v>0</v>
      </c>
      <c r="G961">
        <v>5</v>
      </c>
      <c r="H961" t="s">
        <v>35</v>
      </c>
      <c r="I961" t="s">
        <v>108</v>
      </c>
      <c r="J961">
        <v>524</v>
      </c>
      <c r="K961">
        <v>8.1999999999999993</v>
      </c>
    </row>
    <row r="962" spans="1:12" x14ac:dyDescent="0.3">
      <c r="B962">
        <v>23</v>
      </c>
      <c r="C962">
        <v>0</v>
      </c>
      <c r="D962">
        <v>14</v>
      </c>
      <c r="E962">
        <v>1</v>
      </c>
      <c r="F962">
        <v>0</v>
      </c>
      <c r="G962">
        <v>1</v>
      </c>
      <c r="H962" t="s">
        <v>32</v>
      </c>
      <c r="I962" t="s">
        <v>73</v>
      </c>
      <c r="K962">
        <v>7.6</v>
      </c>
      <c r="L962">
        <v>3207.2</v>
      </c>
    </row>
    <row r="963" spans="1:12" x14ac:dyDescent="0.3">
      <c r="A963">
        <v>15</v>
      </c>
      <c r="B963">
        <v>22</v>
      </c>
      <c r="C963">
        <v>0</v>
      </c>
      <c r="D963">
        <v>18</v>
      </c>
      <c r="E963">
        <v>1</v>
      </c>
      <c r="F963">
        <v>0</v>
      </c>
      <c r="G963">
        <v>10</v>
      </c>
      <c r="H963" t="s">
        <v>58</v>
      </c>
      <c r="I963" t="s">
        <v>80</v>
      </c>
      <c r="J963">
        <v>400</v>
      </c>
      <c r="K963">
        <v>8.4</v>
      </c>
      <c r="L963">
        <v>3360</v>
      </c>
    </row>
    <row r="964" spans="1:12" x14ac:dyDescent="0.3">
      <c r="A964">
        <v>13</v>
      </c>
      <c r="B964">
        <v>23</v>
      </c>
      <c r="C964">
        <v>2</v>
      </c>
      <c r="D964">
        <v>10</v>
      </c>
      <c r="E964">
        <v>1</v>
      </c>
      <c r="F964">
        <v>0</v>
      </c>
      <c r="G964">
        <v>8</v>
      </c>
      <c r="H964" t="s">
        <v>31</v>
      </c>
      <c r="I964" t="s">
        <v>79</v>
      </c>
      <c r="J964">
        <v>508</v>
      </c>
      <c r="K964">
        <v>7.9</v>
      </c>
      <c r="L964">
        <v>4013.2</v>
      </c>
    </row>
    <row r="965" spans="1:12" x14ac:dyDescent="0.3">
      <c r="A965">
        <v>14</v>
      </c>
      <c r="B965">
        <v>22</v>
      </c>
      <c r="D965">
        <v>10</v>
      </c>
      <c r="E965">
        <v>12</v>
      </c>
      <c r="F965">
        <v>0</v>
      </c>
      <c r="G965">
        <v>7</v>
      </c>
      <c r="H965" t="s">
        <v>25</v>
      </c>
      <c r="I965" t="s">
        <v>92</v>
      </c>
      <c r="J965">
        <v>701</v>
      </c>
      <c r="K965">
        <v>8.1</v>
      </c>
      <c r="L965">
        <v>5678.0999999999904</v>
      </c>
    </row>
    <row r="966" spans="1:12" x14ac:dyDescent="0.3">
      <c r="A966">
        <v>11</v>
      </c>
      <c r="B966">
        <v>22</v>
      </c>
      <c r="C966">
        <v>0</v>
      </c>
      <c r="D966">
        <v>22</v>
      </c>
      <c r="E966">
        <v>1</v>
      </c>
      <c r="F966">
        <v>0</v>
      </c>
      <c r="G966">
        <v>8</v>
      </c>
      <c r="H966" t="s">
        <v>22</v>
      </c>
      <c r="I966" t="s">
        <v>75</v>
      </c>
      <c r="J966">
        <v>641</v>
      </c>
      <c r="K966">
        <v>7.8</v>
      </c>
      <c r="L966" t="s">
        <v>309</v>
      </c>
    </row>
    <row r="967" spans="1:12" x14ac:dyDescent="0.3">
      <c r="A967">
        <v>14</v>
      </c>
      <c r="B967">
        <v>23</v>
      </c>
      <c r="C967">
        <v>2</v>
      </c>
      <c r="D967">
        <v>5</v>
      </c>
      <c r="E967">
        <v>1</v>
      </c>
      <c r="F967">
        <v>0</v>
      </c>
      <c r="G967">
        <v>12</v>
      </c>
      <c r="H967" t="s">
        <v>21</v>
      </c>
      <c r="I967" t="s">
        <v>81</v>
      </c>
      <c r="J967">
        <v>367</v>
      </c>
      <c r="K967">
        <v>8.6999999999999993</v>
      </c>
      <c r="L967">
        <v>3192.8999999999901</v>
      </c>
    </row>
    <row r="968" spans="1:12" x14ac:dyDescent="0.3">
      <c r="A968">
        <v>18</v>
      </c>
      <c r="B968">
        <v>22</v>
      </c>
      <c r="C968">
        <v>0</v>
      </c>
      <c r="D968">
        <v>13</v>
      </c>
      <c r="E968">
        <v>12</v>
      </c>
      <c r="F968">
        <v>0</v>
      </c>
      <c r="G968">
        <v>11</v>
      </c>
      <c r="H968" t="s">
        <v>53</v>
      </c>
      <c r="I968" t="s">
        <v>74</v>
      </c>
      <c r="J968">
        <v>544</v>
      </c>
      <c r="K968">
        <v>7.7</v>
      </c>
      <c r="L968">
        <v>4188.8</v>
      </c>
    </row>
    <row r="969" spans="1:12" x14ac:dyDescent="0.3">
      <c r="A969">
        <v>8</v>
      </c>
      <c r="B969">
        <v>21</v>
      </c>
      <c r="C969">
        <v>0</v>
      </c>
      <c r="D969">
        <v>17</v>
      </c>
      <c r="E969">
        <v>1</v>
      </c>
      <c r="F969">
        <v>0</v>
      </c>
      <c r="G969">
        <v>3</v>
      </c>
      <c r="H969" t="s">
        <v>21</v>
      </c>
      <c r="I969" t="s">
        <v>105</v>
      </c>
      <c r="J969" t="s">
        <v>181</v>
      </c>
      <c r="K969">
        <v>8.6999999999999993</v>
      </c>
      <c r="L969">
        <v>4463.0999999999904</v>
      </c>
    </row>
    <row r="970" spans="1:12" x14ac:dyDescent="0.3">
      <c r="A970">
        <v>20</v>
      </c>
      <c r="B970">
        <v>22</v>
      </c>
      <c r="C970">
        <v>3</v>
      </c>
      <c r="D970">
        <v>20</v>
      </c>
      <c r="E970">
        <v>1</v>
      </c>
      <c r="F970">
        <v>0</v>
      </c>
      <c r="G970">
        <v>3</v>
      </c>
      <c r="H970" t="s">
        <v>62</v>
      </c>
      <c r="I970" t="s">
        <v>107</v>
      </c>
      <c r="J970">
        <v>709</v>
      </c>
      <c r="K970">
        <v>8.5</v>
      </c>
      <c r="L970">
        <v>6026.5</v>
      </c>
    </row>
    <row r="971" spans="1:12" x14ac:dyDescent="0.3">
      <c r="A971">
        <v>10</v>
      </c>
      <c r="B971">
        <v>22</v>
      </c>
      <c r="C971">
        <v>3</v>
      </c>
      <c r="D971">
        <v>21</v>
      </c>
      <c r="E971">
        <v>1</v>
      </c>
      <c r="F971">
        <v>0</v>
      </c>
      <c r="G971">
        <v>10</v>
      </c>
      <c r="H971" t="s">
        <v>22</v>
      </c>
      <c r="I971" t="s">
        <v>83</v>
      </c>
      <c r="J971">
        <v>479</v>
      </c>
      <c r="K971">
        <v>7.8</v>
      </c>
      <c r="L971">
        <v>3736.2</v>
      </c>
    </row>
    <row r="972" spans="1:12" x14ac:dyDescent="0.3">
      <c r="A972">
        <v>14</v>
      </c>
      <c r="B972">
        <v>22</v>
      </c>
      <c r="C972">
        <v>3</v>
      </c>
      <c r="D972">
        <v>16</v>
      </c>
      <c r="E972">
        <v>1</v>
      </c>
      <c r="F972">
        <v>0</v>
      </c>
      <c r="G972">
        <v>7</v>
      </c>
      <c r="H972" t="s">
        <v>23</v>
      </c>
      <c r="I972" t="s">
        <v>76</v>
      </c>
      <c r="J972" t="s">
        <v>182</v>
      </c>
      <c r="K972">
        <v>8.4</v>
      </c>
      <c r="L972">
        <v>4233.6000000000004</v>
      </c>
    </row>
    <row r="973" spans="1:12" x14ac:dyDescent="0.3">
      <c r="A973">
        <v>17</v>
      </c>
      <c r="B973">
        <v>23</v>
      </c>
      <c r="C973">
        <v>1</v>
      </c>
      <c r="E973">
        <v>1</v>
      </c>
      <c r="F973">
        <v>0</v>
      </c>
      <c r="G973">
        <v>2</v>
      </c>
      <c r="H973" t="s">
        <v>51</v>
      </c>
      <c r="I973" t="s">
        <v>131</v>
      </c>
      <c r="J973">
        <v>651</v>
      </c>
      <c r="K973">
        <v>8.8000000000000007</v>
      </c>
      <c r="L973">
        <v>5728.8</v>
      </c>
    </row>
    <row r="974" spans="1:12" x14ac:dyDescent="0.3">
      <c r="A974">
        <v>11</v>
      </c>
      <c r="B974">
        <v>22</v>
      </c>
      <c r="C974">
        <v>1</v>
      </c>
      <c r="E974">
        <v>1</v>
      </c>
      <c r="F974">
        <v>0</v>
      </c>
      <c r="G974">
        <v>1</v>
      </c>
      <c r="H974" t="s">
        <v>22</v>
      </c>
      <c r="I974" t="s">
        <v>81</v>
      </c>
      <c r="J974">
        <v>596</v>
      </c>
      <c r="K974">
        <v>7.8</v>
      </c>
      <c r="L974">
        <v>4648.8</v>
      </c>
    </row>
    <row r="975" spans="1:12" x14ac:dyDescent="0.3">
      <c r="A975">
        <v>5</v>
      </c>
      <c r="B975">
        <v>17</v>
      </c>
      <c r="C975">
        <v>3</v>
      </c>
      <c r="D975">
        <v>22</v>
      </c>
      <c r="E975">
        <v>1</v>
      </c>
      <c r="F975">
        <v>0</v>
      </c>
      <c r="H975" t="s">
        <v>46</v>
      </c>
      <c r="I975" t="s">
        <v>77</v>
      </c>
      <c r="J975">
        <v>364</v>
      </c>
      <c r="K975">
        <v>8.5</v>
      </c>
      <c r="L975">
        <v>3094</v>
      </c>
    </row>
    <row r="976" spans="1:12" x14ac:dyDescent="0.3">
      <c r="A976">
        <v>21</v>
      </c>
      <c r="B976">
        <v>22</v>
      </c>
      <c r="C976">
        <v>0</v>
      </c>
      <c r="D976">
        <v>14</v>
      </c>
      <c r="E976">
        <v>1</v>
      </c>
      <c r="F976">
        <v>0</v>
      </c>
      <c r="G976">
        <v>4</v>
      </c>
      <c r="H976" t="s">
        <v>18</v>
      </c>
      <c r="I976" t="s">
        <v>132</v>
      </c>
      <c r="J976">
        <v>611</v>
      </c>
      <c r="K976">
        <v>7.7</v>
      </c>
      <c r="L976">
        <v>4704.7</v>
      </c>
    </row>
    <row r="977" spans="1:12" x14ac:dyDescent="0.3">
      <c r="A977">
        <v>13</v>
      </c>
      <c r="B977">
        <v>22</v>
      </c>
      <c r="C977">
        <v>3</v>
      </c>
      <c r="D977">
        <v>7</v>
      </c>
      <c r="E977">
        <v>1</v>
      </c>
      <c r="F977">
        <v>0</v>
      </c>
      <c r="G977">
        <v>5</v>
      </c>
      <c r="H977" t="s">
        <v>26</v>
      </c>
      <c r="I977" t="s">
        <v>85</v>
      </c>
      <c r="J977">
        <v>443</v>
      </c>
      <c r="K977">
        <v>8.5</v>
      </c>
      <c r="L977" t="s">
        <v>310</v>
      </c>
    </row>
    <row r="978" spans="1:12" x14ac:dyDescent="0.3">
      <c r="A978">
        <v>7</v>
      </c>
      <c r="B978">
        <v>23</v>
      </c>
      <c r="C978">
        <v>2</v>
      </c>
      <c r="D978">
        <v>18</v>
      </c>
      <c r="E978">
        <v>1</v>
      </c>
      <c r="F978">
        <v>0</v>
      </c>
      <c r="H978" t="s">
        <v>26</v>
      </c>
      <c r="I978" t="s">
        <v>91</v>
      </c>
      <c r="J978">
        <v>662</v>
      </c>
      <c r="L978">
        <v>5627</v>
      </c>
    </row>
    <row r="979" spans="1:12" x14ac:dyDescent="0.3">
      <c r="A979">
        <v>8</v>
      </c>
      <c r="B979">
        <v>21</v>
      </c>
      <c r="C979">
        <v>3</v>
      </c>
      <c r="D979">
        <v>19</v>
      </c>
      <c r="E979">
        <v>1</v>
      </c>
      <c r="F979">
        <v>0</v>
      </c>
      <c r="G979">
        <v>1</v>
      </c>
      <c r="I979" t="s">
        <v>91</v>
      </c>
      <c r="J979">
        <v>611</v>
      </c>
      <c r="K979">
        <v>8.6999999999999993</v>
      </c>
    </row>
    <row r="980" spans="1:12" x14ac:dyDescent="0.3">
      <c r="A980">
        <v>16</v>
      </c>
      <c r="B980">
        <v>23</v>
      </c>
      <c r="C980">
        <v>0</v>
      </c>
      <c r="D980">
        <v>14</v>
      </c>
      <c r="E980">
        <v>1</v>
      </c>
      <c r="F980">
        <v>0</v>
      </c>
      <c r="G980">
        <v>7</v>
      </c>
      <c r="H980" t="s">
        <v>17</v>
      </c>
      <c r="I980" t="s">
        <v>124</v>
      </c>
      <c r="J980">
        <v>535</v>
      </c>
      <c r="K980">
        <v>8.6999999999999993</v>
      </c>
      <c r="L980">
        <v>4654.5</v>
      </c>
    </row>
    <row r="981" spans="1:12" x14ac:dyDescent="0.3">
      <c r="A981">
        <v>19</v>
      </c>
      <c r="B981">
        <v>23</v>
      </c>
      <c r="C981">
        <v>0</v>
      </c>
      <c r="D981">
        <v>20</v>
      </c>
      <c r="E981">
        <v>12</v>
      </c>
      <c r="F981">
        <v>0</v>
      </c>
      <c r="G981">
        <v>9</v>
      </c>
      <c r="H981" t="s">
        <v>32</v>
      </c>
      <c r="I981" t="s">
        <v>73</v>
      </c>
      <c r="J981" t="s">
        <v>143</v>
      </c>
      <c r="K981">
        <v>7.6</v>
      </c>
      <c r="L981">
        <v>4605.5999999999904</v>
      </c>
    </row>
    <row r="982" spans="1:12" x14ac:dyDescent="0.3">
      <c r="A982">
        <v>15</v>
      </c>
      <c r="B982">
        <v>23</v>
      </c>
      <c r="C982">
        <v>3</v>
      </c>
      <c r="D982">
        <v>4</v>
      </c>
      <c r="E982">
        <v>1</v>
      </c>
      <c r="F982">
        <v>0</v>
      </c>
      <c r="G982">
        <v>4</v>
      </c>
      <c r="H982" t="s">
        <v>43</v>
      </c>
      <c r="I982" t="s">
        <v>96</v>
      </c>
      <c r="J982">
        <v>569</v>
      </c>
      <c r="K982">
        <v>7.6</v>
      </c>
      <c r="L982">
        <v>4324.3999999999996</v>
      </c>
    </row>
    <row r="983" spans="1:12" x14ac:dyDescent="0.3">
      <c r="A983">
        <v>14</v>
      </c>
      <c r="B983">
        <v>23</v>
      </c>
      <c r="C983">
        <v>1</v>
      </c>
      <c r="D983">
        <v>13</v>
      </c>
      <c r="F983">
        <v>0</v>
      </c>
      <c r="G983">
        <v>5</v>
      </c>
      <c r="H983" t="s">
        <v>33</v>
      </c>
      <c r="I983" t="s">
        <v>93</v>
      </c>
      <c r="J983">
        <v>529</v>
      </c>
      <c r="K983">
        <v>9.3000000000000007</v>
      </c>
      <c r="L983">
        <v>4919.7</v>
      </c>
    </row>
    <row r="984" spans="1:12" x14ac:dyDescent="0.3">
      <c r="A984">
        <v>9</v>
      </c>
      <c r="B984">
        <v>18</v>
      </c>
      <c r="C984">
        <v>2</v>
      </c>
      <c r="D984">
        <v>17</v>
      </c>
      <c r="E984">
        <v>7</v>
      </c>
      <c r="F984">
        <v>0</v>
      </c>
      <c r="G984">
        <v>1</v>
      </c>
      <c r="H984" t="s">
        <v>35</v>
      </c>
      <c r="I984" t="s">
        <v>88</v>
      </c>
      <c r="J984">
        <v>438</v>
      </c>
      <c r="K984">
        <v>8.1999999999999993</v>
      </c>
      <c r="L984" t="s">
        <v>311</v>
      </c>
    </row>
    <row r="985" spans="1:12" x14ac:dyDescent="0.3">
      <c r="A985">
        <v>20</v>
      </c>
      <c r="B985">
        <v>22</v>
      </c>
      <c r="C985">
        <v>2</v>
      </c>
      <c r="D985">
        <v>3</v>
      </c>
      <c r="E985">
        <v>12</v>
      </c>
      <c r="F985">
        <v>0</v>
      </c>
      <c r="G985">
        <v>7</v>
      </c>
      <c r="H985" t="s">
        <v>18</v>
      </c>
      <c r="I985" t="s">
        <v>94</v>
      </c>
      <c r="J985" t="s">
        <v>183</v>
      </c>
      <c r="K985">
        <v>7.7</v>
      </c>
      <c r="L985">
        <v>3696</v>
      </c>
    </row>
    <row r="986" spans="1:12" x14ac:dyDescent="0.3">
      <c r="A986">
        <v>8</v>
      </c>
      <c r="B986">
        <v>17</v>
      </c>
      <c r="C986">
        <v>2</v>
      </c>
      <c r="D986">
        <v>16</v>
      </c>
      <c r="E986">
        <v>1</v>
      </c>
      <c r="G986">
        <v>1</v>
      </c>
      <c r="H986" t="s">
        <v>55</v>
      </c>
      <c r="I986" t="s">
        <v>80</v>
      </c>
      <c r="J986">
        <v>520</v>
      </c>
      <c r="K986">
        <v>7.8</v>
      </c>
      <c r="L986">
        <v>4056</v>
      </c>
    </row>
    <row r="987" spans="1:12" x14ac:dyDescent="0.3">
      <c r="B987">
        <v>23</v>
      </c>
      <c r="C987">
        <v>1</v>
      </c>
      <c r="D987">
        <v>11</v>
      </c>
      <c r="E987">
        <v>1</v>
      </c>
      <c r="F987">
        <v>0</v>
      </c>
      <c r="G987">
        <v>3</v>
      </c>
      <c r="H987" t="s">
        <v>64</v>
      </c>
      <c r="I987" t="s">
        <v>75</v>
      </c>
      <c r="K987">
        <v>8.1999999999999993</v>
      </c>
      <c r="L987">
        <v>4362.3999999999996</v>
      </c>
    </row>
    <row r="988" spans="1:12" x14ac:dyDescent="0.3">
      <c r="A988">
        <v>15</v>
      </c>
      <c r="B988">
        <v>22</v>
      </c>
      <c r="C988">
        <v>1</v>
      </c>
      <c r="D988">
        <v>22</v>
      </c>
      <c r="E988">
        <v>1</v>
      </c>
      <c r="F988">
        <v>0</v>
      </c>
      <c r="G988">
        <v>2</v>
      </c>
      <c r="H988" t="s">
        <v>40</v>
      </c>
      <c r="I988" t="s">
        <v>79</v>
      </c>
      <c r="J988">
        <v>584</v>
      </c>
      <c r="L988">
        <v>4321.6000000000004</v>
      </c>
    </row>
    <row r="989" spans="1:12" x14ac:dyDescent="0.3">
      <c r="A989">
        <v>21</v>
      </c>
      <c r="B989">
        <v>23</v>
      </c>
      <c r="C989">
        <v>3</v>
      </c>
      <c r="D989">
        <v>4</v>
      </c>
      <c r="E989">
        <v>1</v>
      </c>
      <c r="F989">
        <v>0</v>
      </c>
      <c r="G989">
        <v>8</v>
      </c>
      <c r="H989" t="s">
        <v>18</v>
      </c>
      <c r="I989" t="s">
        <v>91</v>
      </c>
      <c r="J989">
        <v>436</v>
      </c>
      <c r="K989" t="s">
        <v>246</v>
      </c>
      <c r="L989">
        <v>3357.2</v>
      </c>
    </row>
    <row r="990" spans="1:12" x14ac:dyDescent="0.3">
      <c r="A990">
        <v>9</v>
      </c>
      <c r="B990">
        <v>22</v>
      </c>
      <c r="C990">
        <v>2</v>
      </c>
      <c r="D990">
        <v>19</v>
      </c>
      <c r="E990">
        <v>1</v>
      </c>
      <c r="F990">
        <v>0</v>
      </c>
      <c r="G990">
        <v>7</v>
      </c>
      <c r="H990" t="s">
        <v>26</v>
      </c>
      <c r="I990" t="s">
        <v>105</v>
      </c>
      <c r="J990">
        <v>498</v>
      </c>
      <c r="K990">
        <v>8.5</v>
      </c>
      <c r="L990">
        <v>4233</v>
      </c>
    </row>
    <row r="991" spans="1:12" x14ac:dyDescent="0.3">
      <c r="A991">
        <v>6</v>
      </c>
      <c r="B991">
        <v>20</v>
      </c>
      <c r="D991">
        <v>15</v>
      </c>
      <c r="E991">
        <v>1</v>
      </c>
      <c r="G991">
        <v>12</v>
      </c>
      <c r="H991" t="s">
        <v>23</v>
      </c>
      <c r="I991" t="s">
        <v>75</v>
      </c>
      <c r="J991">
        <v>306</v>
      </c>
      <c r="K991">
        <v>8.4</v>
      </c>
      <c r="L991">
        <v>2570.4</v>
      </c>
    </row>
    <row r="992" spans="1:12" x14ac:dyDescent="0.3">
      <c r="A992">
        <v>6</v>
      </c>
      <c r="B992">
        <v>23</v>
      </c>
      <c r="C992">
        <v>0</v>
      </c>
      <c r="D992">
        <v>10</v>
      </c>
      <c r="E992">
        <v>7</v>
      </c>
      <c r="F992">
        <v>0</v>
      </c>
      <c r="G992">
        <v>12</v>
      </c>
      <c r="H992" t="s">
        <v>16</v>
      </c>
      <c r="I992" t="s">
        <v>75</v>
      </c>
      <c r="J992">
        <v>576</v>
      </c>
      <c r="K992">
        <v>8.9</v>
      </c>
      <c r="L992">
        <v>5126.3999999999996</v>
      </c>
    </row>
    <row r="993" spans="1:12" x14ac:dyDescent="0.3">
      <c r="A993">
        <v>12</v>
      </c>
      <c r="C993">
        <v>1</v>
      </c>
      <c r="D993">
        <v>8</v>
      </c>
      <c r="E993">
        <v>1</v>
      </c>
      <c r="F993">
        <v>0</v>
      </c>
      <c r="G993">
        <v>1</v>
      </c>
      <c r="H993" t="s">
        <v>46</v>
      </c>
      <c r="I993" t="s">
        <v>72</v>
      </c>
      <c r="J993">
        <v>572</v>
      </c>
      <c r="K993">
        <v>8.1</v>
      </c>
      <c r="L993">
        <v>4633.2</v>
      </c>
    </row>
    <row r="994" spans="1:12" x14ac:dyDescent="0.3">
      <c r="A994">
        <v>16</v>
      </c>
      <c r="B994">
        <v>23</v>
      </c>
      <c r="C994">
        <v>2</v>
      </c>
      <c r="D994">
        <v>21</v>
      </c>
      <c r="E994">
        <v>1</v>
      </c>
      <c r="F994">
        <v>0</v>
      </c>
      <c r="G994">
        <v>6</v>
      </c>
      <c r="H994" t="s">
        <v>38</v>
      </c>
      <c r="I994" t="s">
        <v>70</v>
      </c>
      <c r="J994">
        <v>528</v>
      </c>
      <c r="K994">
        <v>7.4</v>
      </c>
      <c r="L994">
        <v>3907.2</v>
      </c>
    </row>
    <row r="995" spans="1:12" x14ac:dyDescent="0.3">
      <c r="A995">
        <v>23</v>
      </c>
      <c r="B995">
        <v>22</v>
      </c>
      <c r="C995">
        <v>3</v>
      </c>
      <c r="D995">
        <v>21</v>
      </c>
      <c r="F995">
        <v>0</v>
      </c>
      <c r="G995">
        <v>10</v>
      </c>
      <c r="H995" t="s">
        <v>21</v>
      </c>
      <c r="I995" t="s">
        <v>82</v>
      </c>
      <c r="J995">
        <v>672</v>
      </c>
      <c r="L995">
        <v>5846.4</v>
      </c>
    </row>
    <row r="996" spans="1:12" x14ac:dyDescent="0.3">
      <c r="A996">
        <v>7</v>
      </c>
      <c r="B996">
        <v>21</v>
      </c>
      <c r="C996">
        <v>0</v>
      </c>
      <c r="D996">
        <v>4</v>
      </c>
      <c r="E996">
        <v>1</v>
      </c>
      <c r="F996">
        <v>0</v>
      </c>
      <c r="G996">
        <v>12</v>
      </c>
      <c r="H996" t="s">
        <v>23</v>
      </c>
      <c r="I996" t="s">
        <v>74</v>
      </c>
      <c r="J996">
        <v>300</v>
      </c>
      <c r="K996">
        <v>8.4</v>
      </c>
      <c r="L996">
        <v>2520</v>
      </c>
    </row>
    <row r="997" spans="1:12" x14ac:dyDescent="0.3">
      <c r="A997">
        <v>8</v>
      </c>
      <c r="B997">
        <v>17</v>
      </c>
      <c r="C997">
        <v>3</v>
      </c>
      <c r="D997">
        <v>5</v>
      </c>
      <c r="E997">
        <v>1</v>
      </c>
      <c r="F997">
        <v>0</v>
      </c>
      <c r="G997">
        <v>7</v>
      </c>
      <c r="H997" t="s">
        <v>15</v>
      </c>
      <c r="I997" t="s">
        <v>72</v>
      </c>
      <c r="J997">
        <v>385</v>
      </c>
      <c r="K997">
        <v>8.3000000000000007</v>
      </c>
      <c r="L997">
        <v>3195.5</v>
      </c>
    </row>
    <row r="998" spans="1:12" x14ac:dyDescent="0.3">
      <c r="A998">
        <v>17</v>
      </c>
      <c r="B998">
        <v>23</v>
      </c>
      <c r="C998">
        <v>3</v>
      </c>
      <c r="D998">
        <v>16</v>
      </c>
      <c r="E998">
        <v>1</v>
      </c>
      <c r="F998">
        <v>0</v>
      </c>
      <c r="G998">
        <v>4</v>
      </c>
      <c r="H998" t="s">
        <v>26</v>
      </c>
      <c r="I998" t="s">
        <v>71</v>
      </c>
      <c r="J998">
        <v>469</v>
      </c>
      <c r="K998">
        <v>8.5</v>
      </c>
      <c r="L998">
        <v>3986.5</v>
      </c>
    </row>
    <row r="999" spans="1:12" x14ac:dyDescent="0.3">
      <c r="A999">
        <v>9</v>
      </c>
      <c r="B999">
        <v>21</v>
      </c>
      <c r="C999">
        <v>3</v>
      </c>
      <c r="D999">
        <v>22</v>
      </c>
      <c r="E999">
        <v>1</v>
      </c>
      <c r="F999">
        <v>0</v>
      </c>
      <c r="H999" t="s">
        <v>36</v>
      </c>
      <c r="I999" t="s">
        <v>85</v>
      </c>
      <c r="J999">
        <v>527</v>
      </c>
      <c r="L999">
        <v>4637.6000000000004</v>
      </c>
    </row>
    <row r="1000" spans="1:12" x14ac:dyDescent="0.3">
      <c r="A1000">
        <v>12</v>
      </c>
      <c r="B1000">
        <v>23</v>
      </c>
      <c r="C1000">
        <v>0</v>
      </c>
      <c r="D1000">
        <v>4</v>
      </c>
      <c r="E1000">
        <v>1</v>
      </c>
      <c r="F1000">
        <v>0</v>
      </c>
      <c r="H1000" t="s">
        <v>15</v>
      </c>
      <c r="I1000" t="s">
        <v>93</v>
      </c>
      <c r="J1000">
        <v>302</v>
      </c>
      <c r="K1000">
        <v>8.3000000000000007</v>
      </c>
      <c r="L1000">
        <v>2506.6</v>
      </c>
    </row>
    <row r="1001" spans="1:12" x14ac:dyDescent="0.3">
      <c r="A1001">
        <v>17</v>
      </c>
      <c r="B1001">
        <v>22</v>
      </c>
      <c r="C1001">
        <v>0</v>
      </c>
      <c r="D1001">
        <v>21</v>
      </c>
      <c r="E1001">
        <v>1</v>
      </c>
      <c r="F1001">
        <v>0</v>
      </c>
      <c r="G1001">
        <v>1</v>
      </c>
      <c r="H1001" t="s">
        <v>52</v>
      </c>
      <c r="I1001" t="s">
        <v>105</v>
      </c>
      <c r="J1001" t="s">
        <v>184</v>
      </c>
      <c r="K1001">
        <v>9.3000000000000007</v>
      </c>
      <c r="L1001">
        <v>5896.2</v>
      </c>
    </row>
    <row r="1002" spans="1:12" x14ac:dyDescent="0.3">
      <c r="A1002">
        <v>14</v>
      </c>
      <c r="B1002">
        <v>22</v>
      </c>
      <c r="C1002">
        <v>3</v>
      </c>
      <c r="D1002">
        <v>6</v>
      </c>
      <c r="E1002">
        <v>1</v>
      </c>
      <c r="F1002">
        <v>0</v>
      </c>
      <c r="G1002">
        <v>8</v>
      </c>
      <c r="H1002" t="s">
        <v>16</v>
      </c>
      <c r="I1002" t="s">
        <v>79</v>
      </c>
      <c r="K1002" t="s">
        <v>236</v>
      </c>
      <c r="L1002">
        <v>4058.4</v>
      </c>
    </row>
    <row r="1003" spans="1:12" x14ac:dyDescent="0.3">
      <c r="A1003">
        <v>11</v>
      </c>
      <c r="B1003">
        <v>23</v>
      </c>
      <c r="C1003">
        <v>0</v>
      </c>
      <c r="D1003">
        <v>17</v>
      </c>
      <c r="E1003">
        <v>1</v>
      </c>
      <c r="F1003">
        <v>0</v>
      </c>
      <c r="G1003">
        <v>4</v>
      </c>
      <c r="I1003" t="s">
        <v>83</v>
      </c>
      <c r="J1003" t="s">
        <v>185</v>
      </c>
      <c r="K1003">
        <v>7.9</v>
      </c>
      <c r="L1003">
        <v>4115.8999999999996</v>
      </c>
    </row>
    <row r="1004" spans="1:12" x14ac:dyDescent="0.3">
      <c r="A1004">
        <v>10</v>
      </c>
      <c r="B1004">
        <v>17</v>
      </c>
      <c r="C1004">
        <v>2</v>
      </c>
      <c r="D1004">
        <v>20</v>
      </c>
      <c r="E1004">
        <v>7</v>
      </c>
      <c r="F1004">
        <v>0</v>
      </c>
      <c r="G1004">
        <v>9</v>
      </c>
      <c r="H1004" t="s">
        <v>38</v>
      </c>
      <c r="I1004" t="s">
        <v>87</v>
      </c>
      <c r="J1004">
        <v>552</v>
      </c>
      <c r="K1004">
        <v>7.4</v>
      </c>
      <c r="L1004">
        <v>4084.8</v>
      </c>
    </row>
    <row r="1005" spans="1:12" x14ac:dyDescent="0.3">
      <c r="A1005">
        <v>11</v>
      </c>
      <c r="B1005">
        <v>23</v>
      </c>
      <c r="C1005">
        <v>1</v>
      </c>
      <c r="D1005">
        <v>18</v>
      </c>
      <c r="E1005">
        <v>12</v>
      </c>
      <c r="F1005">
        <v>0</v>
      </c>
      <c r="G1005">
        <v>2</v>
      </c>
      <c r="H1005" t="s">
        <v>35</v>
      </c>
      <c r="I1005" t="s">
        <v>104</v>
      </c>
      <c r="J1005">
        <v>597</v>
      </c>
      <c r="K1005">
        <v>8.1999999999999993</v>
      </c>
      <c r="L1005">
        <v>4895.3999999999996</v>
      </c>
    </row>
    <row r="1006" spans="1:12" x14ac:dyDescent="0.3">
      <c r="A1006">
        <v>17</v>
      </c>
      <c r="B1006">
        <v>23</v>
      </c>
      <c r="C1006">
        <v>2</v>
      </c>
      <c r="D1006">
        <v>20</v>
      </c>
      <c r="E1006">
        <v>1</v>
      </c>
      <c r="F1006">
        <v>0</v>
      </c>
      <c r="G1006">
        <v>8</v>
      </c>
      <c r="H1006" t="s">
        <v>67</v>
      </c>
      <c r="J1006">
        <v>689</v>
      </c>
      <c r="K1006">
        <v>8.3000000000000007</v>
      </c>
      <c r="L1006">
        <v>5718.7</v>
      </c>
    </row>
    <row r="1007" spans="1:12" x14ac:dyDescent="0.3">
      <c r="A1007">
        <v>5</v>
      </c>
      <c r="B1007">
        <v>18</v>
      </c>
      <c r="C1007">
        <v>3</v>
      </c>
      <c r="D1007">
        <v>9</v>
      </c>
      <c r="E1007">
        <v>1</v>
      </c>
      <c r="F1007">
        <v>0</v>
      </c>
      <c r="G1007">
        <v>2</v>
      </c>
      <c r="H1007" t="s">
        <v>24</v>
      </c>
      <c r="I1007" t="s">
        <v>76</v>
      </c>
      <c r="J1007">
        <v>458</v>
      </c>
      <c r="K1007" t="s">
        <v>241</v>
      </c>
      <c r="L1007">
        <v>3618.2</v>
      </c>
    </row>
    <row r="1008" spans="1:12" x14ac:dyDescent="0.3">
      <c r="A1008">
        <v>17</v>
      </c>
      <c r="B1008">
        <v>23</v>
      </c>
      <c r="C1008">
        <v>0</v>
      </c>
      <c r="D1008">
        <v>22</v>
      </c>
      <c r="E1008">
        <v>1</v>
      </c>
      <c r="F1008">
        <v>0</v>
      </c>
      <c r="G1008">
        <v>10</v>
      </c>
      <c r="H1008" t="s">
        <v>54</v>
      </c>
      <c r="I1008" t="s">
        <v>93</v>
      </c>
      <c r="J1008">
        <v>472</v>
      </c>
      <c r="L1008">
        <v>4342.3999999999996</v>
      </c>
    </row>
    <row r="1009" spans="1:12" x14ac:dyDescent="0.3">
      <c r="A1009">
        <v>23</v>
      </c>
      <c r="B1009">
        <v>22</v>
      </c>
      <c r="C1009">
        <v>2</v>
      </c>
      <c r="D1009">
        <v>4</v>
      </c>
      <c r="E1009">
        <v>1</v>
      </c>
      <c r="F1009">
        <v>0</v>
      </c>
      <c r="G1009">
        <v>6</v>
      </c>
      <c r="H1009" t="s">
        <v>33</v>
      </c>
      <c r="I1009" t="s">
        <v>115</v>
      </c>
      <c r="J1009">
        <v>426</v>
      </c>
      <c r="L1009">
        <v>3961.8</v>
      </c>
    </row>
    <row r="1010" spans="1:12" x14ac:dyDescent="0.3">
      <c r="A1010">
        <v>12</v>
      </c>
      <c r="B1010">
        <v>23</v>
      </c>
      <c r="C1010">
        <v>0</v>
      </c>
      <c r="D1010">
        <v>12</v>
      </c>
      <c r="E1010">
        <v>1</v>
      </c>
      <c r="F1010">
        <v>0</v>
      </c>
      <c r="G1010">
        <v>2</v>
      </c>
      <c r="H1010" t="s">
        <v>38</v>
      </c>
      <c r="I1010" t="s">
        <v>109</v>
      </c>
      <c r="J1010">
        <v>396</v>
      </c>
      <c r="L1010">
        <v>2930.4</v>
      </c>
    </row>
    <row r="1011" spans="1:12" x14ac:dyDescent="0.3">
      <c r="A1011">
        <v>12</v>
      </c>
      <c r="B1011">
        <v>22</v>
      </c>
      <c r="C1011">
        <v>1</v>
      </c>
      <c r="D1011">
        <v>11</v>
      </c>
      <c r="E1011">
        <v>1</v>
      </c>
      <c r="F1011">
        <v>0</v>
      </c>
      <c r="G1011">
        <v>10</v>
      </c>
      <c r="H1011" t="s">
        <v>36</v>
      </c>
      <c r="I1011" t="s">
        <v>84</v>
      </c>
      <c r="J1011">
        <v>349</v>
      </c>
      <c r="K1011">
        <v>8.8000000000000007</v>
      </c>
      <c r="L1011">
        <v>3071.2</v>
      </c>
    </row>
    <row r="1012" spans="1:12" x14ac:dyDescent="0.3">
      <c r="A1012">
        <v>22</v>
      </c>
      <c r="C1012">
        <v>3</v>
      </c>
      <c r="F1012">
        <v>0</v>
      </c>
      <c r="G1012">
        <v>6</v>
      </c>
      <c r="H1012" t="s">
        <v>25</v>
      </c>
      <c r="I1012" t="s">
        <v>106</v>
      </c>
      <c r="J1012">
        <v>674</v>
      </c>
      <c r="K1012">
        <v>8.1</v>
      </c>
      <c r="L1012">
        <v>5459.4</v>
      </c>
    </row>
    <row r="1013" spans="1:12" x14ac:dyDescent="0.3">
      <c r="A1013">
        <v>5</v>
      </c>
      <c r="B1013">
        <v>20</v>
      </c>
      <c r="C1013">
        <v>2</v>
      </c>
      <c r="D1013">
        <v>13</v>
      </c>
      <c r="E1013">
        <v>7</v>
      </c>
      <c r="F1013">
        <v>0</v>
      </c>
      <c r="G1013">
        <v>7</v>
      </c>
      <c r="H1013" t="s">
        <v>25</v>
      </c>
      <c r="I1013" t="s">
        <v>89</v>
      </c>
      <c r="J1013">
        <v>515</v>
      </c>
      <c r="K1013">
        <v>8.1</v>
      </c>
      <c r="L1013">
        <v>4171.5</v>
      </c>
    </row>
    <row r="1014" spans="1:12" x14ac:dyDescent="0.3">
      <c r="B1014">
        <v>18</v>
      </c>
      <c r="C1014">
        <v>1</v>
      </c>
      <c r="D1014">
        <v>11</v>
      </c>
      <c r="E1014">
        <v>1</v>
      </c>
      <c r="F1014">
        <v>0</v>
      </c>
      <c r="G1014">
        <v>9</v>
      </c>
      <c r="H1014" t="s">
        <v>23</v>
      </c>
      <c r="I1014" t="s">
        <v>79</v>
      </c>
      <c r="J1014">
        <v>399</v>
      </c>
      <c r="K1014">
        <v>8.4</v>
      </c>
      <c r="L1014">
        <v>3351.6</v>
      </c>
    </row>
    <row r="1015" spans="1:12" x14ac:dyDescent="0.3">
      <c r="B1015">
        <v>22</v>
      </c>
      <c r="C1015">
        <v>3</v>
      </c>
      <c r="D1015">
        <v>8</v>
      </c>
      <c r="E1015">
        <v>1</v>
      </c>
      <c r="F1015">
        <v>0</v>
      </c>
      <c r="G1015">
        <v>6</v>
      </c>
      <c r="H1015" t="s">
        <v>20</v>
      </c>
      <c r="I1015" t="s">
        <v>91</v>
      </c>
      <c r="J1015">
        <v>428</v>
      </c>
      <c r="K1015">
        <v>9.1</v>
      </c>
      <c r="L1015" t="s">
        <v>312</v>
      </c>
    </row>
    <row r="1016" spans="1:12" x14ac:dyDescent="0.3">
      <c r="A1016">
        <v>18</v>
      </c>
      <c r="B1016">
        <v>22</v>
      </c>
      <c r="C1016">
        <v>2</v>
      </c>
      <c r="D1016">
        <v>18</v>
      </c>
      <c r="E1016">
        <v>1</v>
      </c>
      <c r="F1016">
        <v>0</v>
      </c>
      <c r="G1016">
        <v>3</v>
      </c>
      <c r="H1016" t="s">
        <v>20</v>
      </c>
      <c r="J1016">
        <v>543</v>
      </c>
      <c r="K1016">
        <v>9.1</v>
      </c>
      <c r="L1016">
        <v>4941.3</v>
      </c>
    </row>
    <row r="1017" spans="1:12" x14ac:dyDescent="0.3">
      <c r="A1017">
        <v>8</v>
      </c>
      <c r="B1017">
        <v>21</v>
      </c>
      <c r="C1017">
        <v>1</v>
      </c>
      <c r="D1017">
        <v>9</v>
      </c>
      <c r="E1017">
        <v>1</v>
      </c>
      <c r="F1017">
        <v>0</v>
      </c>
      <c r="G1017">
        <v>12</v>
      </c>
      <c r="H1017" t="s">
        <v>55</v>
      </c>
      <c r="J1017">
        <v>446</v>
      </c>
      <c r="K1017">
        <v>7.8</v>
      </c>
      <c r="L1017">
        <v>3478.7999999999902</v>
      </c>
    </row>
    <row r="1018" spans="1:12" x14ac:dyDescent="0.3">
      <c r="A1018">
        <v>20</v>
      </c>
      <c r="B1018">
        <v>22</v>
      </c>
      <c r="C1018">
        <v>1</v>
      </c>
      <c r="D1018">
        <v>17</v>
      </c>
      <c r="E1018">
        <v>1</v>
      </c>
      <c r="F1018">
        <v>0</v>
      </c>
      <c r="G1018">
        <v>7</v>
      </c>
      <c r="H1018" t="s">
        <v>18</v>
      </c>
      <c r="I1018" t="s">
        <v>72</v>
      </c>
      <c r="J1018">
        <v>575</v>
      </c>
      <c r="K1018">
        <v>7.7</v>
      </c>
      <c r="L1018">
        <v>4427.5</v>
      </c>
    </row>
    <row r="1019" spans="1:12" x14ac:dyDescent="0.3">
      <c r="A1019">
        <v>21</v>
      </c>
      <c r="B1019">
        <v>22</v>
      </c>
      <c r="C1019">
        <v>3</v>
      </c>
      <c r="D1019">
        <v>18</v>
      </c>
      <c r="E1019">
        <v>1</v>
      </c>
      <c r="F1019">
        <v>0</v>
      </c>
      <c r="H1019" t="s">
        <v>52</v>
      </c>
      <c r="I1019" t="s">
        <v>79</v>
      </c>
      <c r="J1019">
        <v>512</v>
      </c>
      <c r="K1019">
        <v>9.3000000000000007</v>
      </c>
      <c r="L1019">
        <v>4761.6000000000004</v>
      </c>
    </row>
    <row r="1020" spans="1:12" x14ac:dyDescent="0.3">
      <c r="A1020">
        <v>22</v>
      </c>
      <c r="B1020">
        <v>22</v>
      </c>
      <c r="C1020">
        <v>0</v>
      </c>
      <c r="D1020">
        <v>13</v>
      </c>
      <c r="E1020">
        <v>1</v>
      </c>
      <c r="F1020">
        <v>0</v>
      </c>
      <c r="G1020">
        <v>8</v>
      </c>
      <c r="J1020">
        <v>571</v>
      </c>
      <c r="K1020">
        <v>8.3000000000000007</v>
      </c>
      <c r="L1020">
        <v>4739.3</v>
      </c>
    </row>
    <row r="1021" spans="1:12" x14ac:dyDescent="0.3">
      <c r="A1021">
        <v>7</v>
      </c>
      <c r="B1021">
        <v>19</v>
      </c>
      <c r="C1021">
        <v>0</v>
      </c>
      <c r="D1021">
        <v>10</v>
      </c>
      <c r="E1021">
        <v>1</v>
      </c>
      <c r="F1021">
        <v>0</v>
      </c>
      <c r="G1021">
        <v>6</v>
      </c>
      <c r="H1021" t="s">
        <v>52</v>
      </c>
      <c r="I1021" t="s">
        <v>87</v>
      </c>
      <c r="J1021">
        <v>258</v>
      </c>
      <c r="K1021">
        <v>9.3000000000000007</v>
      </c>
      <c r="L1021">
        <v>2399.4</v>
      </c>
    </row>
    <row r="1022" spans="1:12" x14ac:dyDescent="0.3">
      <c r="A1022">
        <v>12</v>
      </c>
      <c r="B1022">
        <v>22</v>
      </c>
      <c r="C1022">
        <v>2</v>
      </c>
      <c r="D1022">
        <v>21</v>
      </c>
      <c r="E1022">
        <v>1</v>
      </c>
      <c r="F1022">
        <v>0</v>
      </c>
      <c r="G1022">
        <v>7</v>
      </c>
      <c r="H1022" t="s">
        <v>36</v>
      </c>
      <c r="I1022" t="s">
        <v>122</v>
      </c>
      <c r="J1022" t="s">
        <v>143</v>
      </c>
      <c r="K1022">
        <v>8.8000000000000007</v>
      </c>
      <c r="L1022">
        <v>4919.2</v>
      </c>
    </row>
    <row r="1023" spans="1:12" x14ac:dyDescent="0.3">
      <c r="A1023">
        <v>19</v>
      </c>
      <c r="B1023">
        <v>22</v>
      </c>
      <c r="C1023">
        <v>3</v>
      </c>
      <c r="D1023">
        <v>3</v>
      </c>
      <c r="E1023">
        <v>12</v>
      </c>
      <c r="F1023">
        <v>0</v>
      </c>
      <c r="G1023">
        <v>9</v>
      </c>
      <c r="H1023" t="s">
        <v>33</v>
      </c>
      <c r="I1023" t="s">
        <v>91</v>
      </c>
      <c r="J1023" t="s">
        <v>140</v>
      </c>
      <c r="K1023">
        <v>9.3000000000000007</v>
      </c>
    </row>
    <row r="1024" spans="1:12" x14ac:dyDescent="0.3">
      <c r="A1024">
        <v>9</v>
      </c>
      <c r="B1024">
        <v>19</v>
      </c>
      <c r="C1024">
        <v>0</v>
      </c>
      <c r="D1024">
        <v>12</v>
      </c>
      <c r="E1024">
        <v>1</v>
      </c>
      <c r="F1024">
        <v>0</v>
      </c>
      <c r="G1024">
        <v>7</v>
      </c>
      <c r="H1024" t="s">
        <v>64</v>
      </c>
      <c r="I1024" t="s">
        <v>133</v>
      </c>
      <c r="J1024" t="s">
        <v>186</v>
      </c>
      <c r="K1024">
        <v>8.1999999999999993</v>
      </c>
      <c r="L1024" t="s">
        <v>313</v>
      </c>
    </row>
    <row r="1025" spans="1:12" x14ac:dyDescent="0.3">
      <c r="B1025">
        <v>22</v>
      </c>
      <c r="C1025">
        <v>2</v>
      </c>
      <c r="D1025">
        <v>11</v>
      </c>
      <c r="E1025">
        <v>1</v>
      </c>
      <c r="F1025">
        <v>0</v>
      </c>
      <c r="G1025">
        <v>2</v>
      </c>
      <c r="H1025" t="s">
        <v>34</v>
      </c>
      <c r="I1025" t="s">
        <v>81</v>
      </c>
      <c r="J1025">
        <v>538</v>
      </c>
      <c r="K1025">
        <v>7.6</v>
      </c>
      <c r="L1025">
        <v>4088.7999999999902</v>
      </c>
    </row>
    <row r="1026" spans="1:12" x14ac:dyDescent="0.3">
      <c r="A1026">
        <v>13</v>
      </c>
      <c r="B1026">
        <v>22</v>
      </c>
      <c r="C1026">
        <v>3</v>
      </c>
      <c r="D1026">
        <v>4</v>
      </c>
      <c r="E1026">
        <v>1</v>
      </c>
      <c r="F1026">
        <v>0</v>
      </c>
      <c r="G1026">
        <v>2</v>
      </c>
      <c r="H1026" t="s">
        <v>53</v>
      </c>
      <c r="I1026" t="s">
        <v>72</v>
      </c>
      <c r="J1026">
        <v>507</v>
      </c>
      <c r="K1026">
        <v>7.7</v>
      </c>
      <c r="L1026">
        <v>3903.9</v>
      </c>
    </row>
    <row r="1027" spans="1:12" x14ac:dyDescent="0.3">
      <c r="A1027">
        <v>7</v>
      </c>
      <c r="B1027">
        <v>17</v>
      </c>
      <c r="C1027">
        <v>3</v>
      </c>
      <c r="E1027">
        <v>1</v>
      </c>
      <c r="F1027">
        <v>0</v>
      </c>
      <c r="G1027">
        <v>6</v>
      </c>
      <c r="H1027" t="s">
        <v>32</v>
      </c>
      <c r="I1027" t="s">
        <v>79</v>
      </c>
      <c r="J1027">
        <v>254</v>
      </c>
      <c r="K1027">
        <v>7.6</v>
      </c>
      <c r="L1027" t="s">
        <v>314</v>
      </c>
    </row>
    <row r="1028" spans="1:12" x14ac:dyDescent="0.3">
      <c r="A1028">
        <v>5</v>
      </c>
      <c r="B1028">
        <v>18</v>
      </c>
      <c r="C1028">
        <v>0</v>
      </c>
      <c r="D1028">
        <v>5</v>
      </c>
      <c r="E1028">
        <v>1</v>
      </c>
      <c r="F1028">
        <v>0</v>
      </c>
      <c r="G1028">
        <v>4</v>
      </c>
      <c r="I1028" t="s">
        <v>104</v>
      </c>
      <c r="J1028">
        <v>375</v>
      </c>
      <c r="K1028">
        <v>7.8</v>
      </c>
      <c r="L1028">
        <v>2925</v>
      </c>
    </row>
    <row r="1029" spans="1:12" x14ac:dyDescent="0.3">
      <c r="A1029">
        <v>6</v>
      </c>
      <c r="B1029">
        <v>23</v>
      </c>
      <c r="C1029">
        <v>2</v>
      </c>
      <c r="D1029">
        <v>11</v>
      </c>
      <c r="E1029">
        <v>1</v>
      </c>
      <c r="F1029">
        <v>0</v>
      </c>
      <c r="G1029">
        <v>8</v>
      </c>
      <c r="H1029" t="s">
        <v>61</v>
      </c>
      <c r="I1029" t="s">
        <v>76</v>
      </c>
      <c r="K1029">
        <v>7.4</v>
      </c>
      <c r="L1029">
        <v>2952.6</v>
      </c>
    </row>
    <row r="1030" spans="1:12" x14ac:dyDescent="0.3">
      <c r="A1030">
        <v>12</v>
      </c>
      <c r="B1030">
        <v>23</v>
      </c>
      <c r="C1030">
        <v>2</v>
      </c>
      <c r="D1030">
        <v>7</v>
      </c>
      <c r="E1030">
        <v>12</v>
      </c>
      <c r="F1030">
        <v>0</v>
      </c>
      <c r="G1030">
        <v>8</v>
      </c>
      <c r="H1030" t="s">
        <v>23</v>
      </c>
      <c r="I1030" t="s">
        <v>92</v>
      </c>
      <c r="J1030">
        <v>564</v>
      </c>
      <c r="K1030" t="s">
        <v>238</v>
      </c>
      <c r="L1030">
        <v>4737.6000000000004</v>
      </c>
    </row>
    <row r="1031" spans="1:12" x14ac:dyDescent="0.3">
      <c r="A1031">
        <v>20</v>
      </c>
      <c r="B1031">
        <v>23</v>
      </c>
      <c r="C1031">
        <v>3</v>
      </c>
      <c r="D1031">
        <v>17</v>
      </c>
      <c r="E1031">
        <v>1</v>
      </c>
      <c r="F1031">
        <v>0</v>
      </c>
      <c r="G1031">
        <v>7</v>
      </c>
      <c r="H1031" t="s">
        <v>20</v>
      </c>
      <c r="I1031" t="s">
        <v>78</v>
      </c>
      <c r="J1031">
        <v>568</v>
      </c>
      <c r="K1031">
        <v>9.1</v>
      </c>
      <c r="L1031">
        <v>5168.8</v>
      </c>
    </row>
    <row r="1032" spans="1:12" x14ac:dyDescent="0.3">
      <c r="A1032">
        <v>23</v>
      </c>
      <c r="B1032">
        <v>22</v>
      </c>
      <c r="C1032">
        <v>2</v>
      </c>
      <c r="D1032">
        <v>22</v>
      </c>
      <c r="G1032">
        <v>5</v>
      </c>
      <c r="H1032" t="s">
        <v>15</v>
      </c>
      <c r="I1032" t="s">
        <v>83</v>
      </c>
      <c r="J1032">
        <v>913</v>
      </c>
      <c r="K1032">
        <v>8.3000000000000007</v>
      </c>
      <c r="L1032">
        <v>7577.9</v>
      </c>
    </row>
    <row r="1033" spans="1:12" x14ac:dyDescent="0.3">
      <c r="A1033">
        <v>12</v>
      </c>
      <c r="B1033">
        <v>23</v>
      </c>
      <c r="C1033">
        <v>0</v>
      </c>
      <c r="D1033">
        <v>10</v>
      </c>
      <c r="E1033">
        <v>1</v>
      </c>
      <c r="G1033">
        <v>7</v>
      </c>
      <c r="I1033" t="s">
        <v>74</v>
      </c>
      <c r="J1033">
        <v>543</v>
      </c>
      <c r="K1033">
        <v>8.8000000000000007</v>
      </c>
      <c r="L1033">
        <v>4778.3999999999996</v>
      </c>
    </row>
    <row r="1034" spans="1:12" x14ac:dyDescent="0.3">
      <c r="A1034">
        <v>8</v>
      </c>
      <c r="B1034">
        <v>18</v>
      </c>
      <c r="D1034">
        <v>21</v>
      </c>
      <c r="E1034">
        <v>1</v>
      </c>
      <c r="F1034">
        <v>0</v>
      </c>
      <c r="G1034">
        <v>12</v>
      </c>
      <c r="H1034" t="s">
        <v>24</v>
      </c>
      <c r="I1034" t="s">
        <v>70</v>
      </c>
      <c r="J1034">
        <v>553</v>
      </c>
      <c r="L1034">
        <v>4368.7</v>
      </c>
    </row>
    <row r="1035" spans="1:12" x14ac:dyDescent="0.3">
      <c r="A1035">
        <v>16</v>
      </c>
      <c r="B1035">
        <v>23</v>
      </c>
      <c r="C1035">
        <v>1</v>
      </c>
      <c r="D1035">
        <v>20</v>
      </c>
      <c r="F1035">
        <v>0</v>
      </c>
      <c r="G1035">
        <v>1</v>
      </c>
      <c r="H1035" t="s">
        <v>36</v>
      </c>
      <c r="I1035" t="s">
        <v>89</v>
      </c>
      <c r="J1035">
        <v>766</v>
      </c>
      <c r="K1035">
        <v>8.8000000000000007</v>
      </c>
      <c r="L1035" t="s">
        <v>315</v>
      </c>
    </row>
    <row r="1036" spans="1:12" x14ac:dyDescent="0.3">
      <c r="B1036">
        <v>23</v>
      </c>
      <c r="C1036">
        <v>1</v>
      </c>
      <c r="D1036">
        <v>22</v>
      </c>
      <c r="E1036">
        <v>1</v>
      </c>
      <c r="F1036">
        <v>0</v>
      </c>
      <c r="G1036">
        <v>9</v>
      </c>
      <c r="H1036" t="s">
        <v>23</v>
      </c>
      <c r="I1036" t="s">
        <v>71</v>
      </c>
      <c r="J1036">
        <v>492</v>
      </c>
      <c r="K1036">
        <v>8.4</v>
      </c>
      <c r="L1036">
        <v>4132.8</v>
      </c>
    </row>
    <row r="1037" spans="1:12" x14ac:dyDescent="0.3">
      <c r="A1037">
        <v>8</v>
      </c>
      <c r="B1037">
        <v>19</v>
      </c>
      <c r="C1037">
        <v>3</v>
      </c>
      <c r="D1037">
        <v>22</v>
      </c>
      <c r="E1037">
        <v>1</v>
      </c>
      <c r="F1037">
        <v>0</v>
      </c>
      <c r="G1037">
        <v>11</v>
      </c>
      <c r="H1037" t="s">
        <v>41</v>
      </c>
      <c r="I1037" t="s">
        <v>88</v>
      </c>
      <c r="J1037">
        <v>607</v>
      </c>
      <c r="K1037">
        <v>8.6999999999999993</v>
      </c>
      <c r="L1037">
        <v>5280.9</v>
      </c>
    </row>
    <row r="1038" spans="1:12" x14ac:dyDescent="0.3">
      <c r="A1038">
        <v>16</v>
      </c>
      <c r="B1038">
        <v>23</v>
      </c>
      <c r="C1038">
        <v>1</v>
      </c>
      <c r="D1038">
        <v>22</v>
      </c>
      <c r="E1038">
        <v>12</v>
      </c>
      <c r="F1038">
        <v>0</v>
      </c>
      <c r="G1038">
        <v>3</v>
      </c>
      <c r="H1038" t="s">
        <v>33</v>
      </c>
      <c r="I1038" t="s">
        <v>81</v>
      </c>
      <c r="J1038">
        <v>768</v>
      </c>
      <c r="K1038">
        <v>9.3000000000000007</v>
      </c>
      <c r="L1038">
        <v>7142.4</v>
      </c>
    </row>
    <row r="1039" spans="1:12" x14ac:dyDescent="0.3">
      <c r="A1039">
        <v>23</v>
      </c>
      <c r="B1039">
        <v>22</v>
      </c>
      <c r="C1039">
        <v>1</v>
      </c>
      <c r="D1039">
        <v>16</v>
      </c>
      <c r="F1039">
        <v>0</v>
      </c>
      <c r="H1039" t="s">
        <v>30</v>
      </c>
      <c r="I1039" t="s">
        <v>87</v>
      </c>
      <c r="J1039">
        <v>719</v>
      </c>
      <c r="K1039" t="s">
        <v>239</v>
      </c>
      <c r="L1039">
        <v>6614.7999999999902</v>
      </c>
    </row>
    <row r="1040" spans="1:12" x14ac:dyDescent="0.3">
      <c r="A1040">
        <v>7</v>
      </c>
      <c r="B1040">
        <v>19</v>
      </c>
      <c r="C1040">
        <v>3</v>
      </c>
      <c r="D1040">
        <v>13</v>
      </c>
      <c r="E1040">
        <v>1</v>
      </c>
      <c r="F1040">
        <v>0</v>
      </c>
      <c r="G1040">
        <v>6</v>
      </c>
      <c r="H1040" t="s">
        <v>38</v>
      </c>
      <c r="I1040" t="s">
        <v>105</v>
      </c>
      <c r="J1040">
        <v>482</v>
      </c>
      <c r="K1040">
        <v>7.4</v>
      </c>
      <c r="L1040">
        <v>3566.8</v>
      </c>
    </row>
    <row r="1041" spans="1:12" x14ac:dyDescent="0.3">
      <c r="A1041">
        <v>13</v>
      </c>
      <c r="B1041">
        <v>22</v>
      </c>
      <c r="C1041">
        <v>3</v>
      </c>
      <c r="D1041">
        <v>19</v>
      </c>
      <c r="E1041">
        <v>12</v>
      </c>
      <c r="F1041">
        <v>0</v>
      </c>
      <c r="G1041">
        <v>6</v>
      </c>
      <c r="H1041" t="s">
        <v>18</v>
      </c>
      <c r="I1041" t="s">
        <v>91</v>
      </c>
      <c r="J1041">
        <v>750</v>
      </c>
      <c r="K1041">
        <v>7.7</v>
      </c>
      <c r="L1041">
        <v>5775</v>
      </c>
    </row>
    <row r="1042" spans="1:12" x14ac:dyDescent="0.3">
      <c r="A1042">
        <v>9</v>
      </c>
      <c r="B1042">
        <v>23</v>
      </c>
      <c r="C1042">
        <v>3</v>
      </c>
      <c r="D1042">
        <v>15</v>
      </c>
      <c r="E1042">
        <v>7</v>
      </c>
      <c r="F1042">
        <v>0</v>
      </c>
      <c r="G1042">
        <v>7</v>
      </c>
      <c r="H1042" t="s">
        <v>15</v>
      </c>
      <c r="I1042" t="s">
        <v>90</v>
      </c>
      <c r="J1042">
        <v>529</v>
      </c>
      <c r="K1042">
        <v>8.3000000000000007</v>
      </c>
      <c r="L1042">
        <v>4390.7</v>
      </c>
    </row>
    <row r="1043" spans="1:12" x14ac:dyDescent="0.3">
      <c r="A1043">
        <v>8</v>
      </c>
      <c r="B1043">
        <v>20</v>
      </c>
      <c r="C1043">
        <v>3</v>
      </c>
      <c r="D1043">
        <v>13</v>
      </c>
      <c r="E1043">
        <v>7</v>
      </c>
      <c r="F1043">
        <v>0</v>
      </c>
      <c r="G1043">
        <v>8</v>
      </c>
      <c r="H1043" t="s">
        <v>58</v>
      </c>
      <c r="J1043">
        <v>594</v>
      </c>
      <c r="K1043">
        <v>8.4</v>
      </c>
      <c r="L1043">
        <v>4989.6000000000004</v>
      </c>
    </row>
    <row r="1044" spans="1:12" x14ac:dyDescent="0.3">
      <c r="A1044">
        <v>10</v>
      </c>
      <c r="C1044">
        <v>2</v>
      </c>
      <c r="D1044">
        <v>9</v>
      </c>
      <c r="E1044">
        <v>1</v>
      </c>
      <c r="F1044">
        <v>0</v>
      </c>
      <c r="G1044">
        <v>6</v>
      </c>
      <c r="H1044" t="s">
        <v>16</v>
      </c>
      <c r="I1044" t="s">
        <v>89</v>
      </c>
      <c r="K1044">
        <v>8.9</v>
      </c>
      <c r="L1044">
        <v>4049.5</v>
      </c>
    </row>
    <row r="1045" spans="1:12" x14ac:dyDescent="0.3">
      <c r="A1045">
        <v>18</v>
      </c>
      <c r="B1045">
        <v>22</v>
      </c>
      <c r="C1045">
        <v>1</v>
      </c>
      <c r="D1045">
        <v>16</v>
      </c>
      <c r="E1045">
        <v>1</v>
      </c>
      <c r="F1045">
        <v>0</v>
      </c>
      <c r="G1045">
        <v>10</v>
      </c>
      <c r="H1045" t="s">
        <v>35</v>
      </c>
      <c r="I1045" t="s">
        <v>105</v>
      </c>
      <c r="J1045">
        <v>599</v>
      </c>
      <c r="K1045">
        <v>8.1999999999999993</v>
      </c>
      <c r="L1045">
        <v>4911.7999999999902</v>
      </c>
    </row>
    <row r="1046" spans="1:12" x14ac:dyDescent="0.3">
      <c r="A1046">
        <v>7</v>
      </c>
      <c r="B1046">
        <v>20</v>
      </c>
      <c r="C1046">
        <v>3</v>
      </c>
      <c r="D1046">
        <v>13</v>
      </c>
      <c r="E1046">
        <v>1</v>
      </c>
      <c r="F1046">
        <v>0</v>
      </c>
      <c r="G1046">
        <v>4</v>
      </c>
      <c r="H1046" t="s">
        <v>16</v>
      </c>
      <c r="I1046" t="s">
        <v>114</v>
      </c>
      <c r="J1046">
        <v>508</v>
      </c>
      <c r="K1046">
        <v>8.9</v>
      </c>
      <c r="L1046">
        <v>4521.2</v>
      </c>
    </row>
    <row r="1047" spans="1:12" x14ac:dyDescent="0.3">
      <c r="A1047">
        <v>10</v>
      </c>
      <c r="B1047">
        <v>19</v>
      </c>
      <c r="C1047">
        <v>0</v>
      </c>
      <c r="D1047">
        <v>9</v>
      </c>
      <c r="E1047">
        <v>7</v>
      </c>
      <c r="F1047">
        <v>0</v>
      </c>
      <c r="G1047">
        <v>6</v>
      </c>
      <c r="H1047" t="s">
        <v>20</v>
      </c>
      <c r="I1047" t="s">
        <v>85</v>
      </c>
      <c r="J1047">
        <v>369</v>
      </c>
      <c r="K1047">
        <v>9.1</v>
      </c>
      <c r="L1047">
        <v>3357.9</v>
      </c>
    </row>
    <row r="1048" spans="1:12" x14ac:dyDescent="0.3">
      <c r="A1048">
        <v>15</v>
      </c>
      <c r="B1048">
        <v>22</v>
      </c>
      <c r="C1048">
        <v>0</v>
      </c>
      <c r="D1048">
        <v>12</v>
      </c>
      <c r="E1048">
        <v>1</v>
      </c>
      <c r="F1048">
        <v>0</v>
      </c>
      <c r="G1048">
        <v>12</v>
      </c>
      <c r="H1048" t="s">
        <v>35</v>
      </c>
      <c r="I1048" t="s">
        <v>87</v>
      </c>
      <c r="J1048">
        <v>463</v>
      </c>
      <c r="K1048">
        <v>8.1999999999999993</v>
      </c>
    </row>
    <row r="1049" spans="1:12" x14ac:dyDescent="0.3">
      <c r="A1049">
        <v>14</v>
      </c>
      <c r="B1049">
        <v>22</v>
      </c>
      <c r="C1049">
        <v>2</v>
      </c>
      <c r="E1049">
        <v>1</v>
      </c>
      <c r="F1049">
        <v>0</v>
      </c>
      <c r="H1049" t="s">
        <v>16</v>
      </c>
      <c r="I1049" t="s">
        <v>70</v>
      </c>
      <c r="J1049">
        <v>606</v>
      </c>
      <c r="K1049">
        <v>8.9</v>
      </c>
      <c r="L1049">
        <v>5393.4</v>
      </c>
    </row>
    <row r="1050" spans="1:12" x14ac:dyDescent="0.3">
      <c r="A1050">
        <v>8</v>
      </c>
      <c r="B1050">
        <v>19</v>
      </c>
      <c r="C1050">
        <v>3</v>
      </c>
      <c r="D1050">
        <v>19</v>
      </c>
      <c r="E1050">
        <v>1</v>
      </c>
      <c r="F1050">
        <v>0</v>
      </c>
      <c r="G1050">
        <v>1</v>
      </c>
      <c r="H1050" t="s">
        <v>15</v>
      </c>
      <c r="I1050" t="s">
        <v>79</v>
      </c>
      <c r="J1050">
        <v>431</v>
      </c>
      <c r="K1050">
        <v>8.3000000000000007</v>
      </c>
      <c r="L1050">
        <v>3577.3</v>
      </c>
    </row>
    <row r="1051" spans="1:12" x14ac:dyDescent="0.3">
      <c r="A1051">
        <v>8</v>
      </c>
      <c r="B1051">
        <v>20</v>
      </c>
      <c r="C1051">
        <v>0</v>
      </c>
      <c r="D1051">
        <v>7</v>
      </c>
      <c r="F1051">
        <v>0</v>
      </c>
      <c r="G1051">
        <v>3</v>
      </c>
      <c r="H1051" t="s">
        <v>33</v>
      </c>
      <c r="I1051" t="s">
        <v>84</v>
      </c>
      <c r="J1051">
        <v>422</v>
      </c>
      <c r="K1051">
        <v>9.3000000000000007</v>
      </c>
      <c r="L1051">
        <v>3924.6</v>
      </c>
    </row>
    <row r="1052" spans="1:12" x14ac:dyDescent="0.3">
      <c r="A1052">
        <v>9</v>
      </c>
      <c r="B1052">
        <v>20</v>
      </c>
      <c r="D1052">
        <v>5</v>
      </c>
      <c r="E1052">
        <v>1</v>
      </c>
      <c r="F1052">
        <v>0</v>
      </c>
      <c r="G1052">
        <v>4</v>
      </c>
      <c r="H1052" t="s">
        <v>30</v>
      </c>
      <c r="I1052" t="s">
        <v>83</v>
      </c>
      <c r="J1052">
        <v>309</v>
      </c>
      <c r="K1052">
        <v>9.1999999999999993</v>
      </c>
      <c r="L1052">
        <v>2842.7999999999902</v>
      </c>
    </row>
    <row r="1053" spans="1:12" x14ac:dyDescent="0.3">
      <c r="A1053">
        <v>9</v>
      </c>
      <c r="B1053">
        <v>23</v>
      </c>
      <c r="C1053">
        <v>0</v>
      </c>
      <c r="D1053">
        <v>9</v>
      </c>
      <c r="E1053">
        <v>1</v>
      </c>
      <c r="F1053">
        <v>0</v>
      </c>
      <c r="G1053">
        <v>9</v>
      </c>
      <c r="H1053" t="s">
        <v>23</v>
      </c>
      <c r="I1053" t="s">
        <v>78</v>
      </c>
      <c r="J1053">
        <v>525</v>
      </c>
      <c r="K1053">
        <v>8.4</v>
      </c>
      <c r="L1053">
        <v>4410</v>
      </c>
    </row>
    <row r="1054" spans="1:12" x14ac:dyDescent="0.3">
      <c r="A1054">
        <v>11</v>
      </c>
      <c r="B1054">
        <v>23</v>
      </c>
      <c r="C1054">
        <v>3</v>
      </c>
      <c r="E1054">
        <v>1</v>
      </c>
      <c r="F1054">
        <v>0</v>
      </c>
      <c r="G1054">
        <v>10</v>
      </c>
      <c r="H1054" t="s">
        <v>23</v>
      </c>
      <c r="I1054" t="s">
        <v>106</v>
      </c>
      <c r="J1054">
        <v>678</v>
      </c>
      <c r="K1054">
        <v>8.4</v>
      </c>
      <c r="L1054">
        <v>5695.2</v>
      </c>
    </row>
    <row r="1055" spans="1:12" x14ac:dyDescent="0.3">
      <c r="A1055">
        <v>8</v>
      </c>
      <c r="B1055">
        <v>21</v>
      </c>
      <c r="C1055">
        <v>0</v>
      </c>
      <c r="D1055">
        <v>9</v>
      </c>
      <c r="E1055">
        <v>1</v>
      </c>
      <c r="F1055">
        <v>0</v>
      </c>
      <c r="G1055">
        <v>12</v>
      </c>
      <c r="H1055" t="s">
        <v>18</v>
      </c>
      <c r="J1055">
        <v>317</v>
      </c>
      <c r="K1055">
        <v>7.7</v>
      </c>
      <c r="L1055">
        <v>2440.9</v>
      </c>
    </row>
    <row r="1056" spans="1:12" x14ac:dyDescent="0.3">
      <c r="A1056">
        <v>13</v>
      </c>
      <c r="B1056">
        <v>22</v>
      </c>
      <c r="C1056">
        <v>2</v>
      </c>
      <c r="D1056">
        <v>20</v>
      </c>
      <c r="E1056">
        <v>12</v>
      </c>
      <c r="F1056">
        <v>0</v>
      </c>
      <c r="G1056">
        <v>5</v>
      </c>
      <c r="H1056" t="s">
        <v>33</v>
      </c>
      <c r="I1056" t="s">
        <v>85</v>
      </c>
      <c r="J1056">
        <v>585</v>
      </c>
      <c r="K1056">
        <v>9.3000000000000007</v>
      </c>
      <c r="L1056">
        <v>5440.5</v>
      </c>
    </row>
    <row r="1057" spans="1:12" x14ac:dyDescent="0.3">
      <c r="A1057">
        <v>22</v>
      </c>
      <c r="B1057">
        <v>22</v>
      </c>
      <c r="C1057">
        <v>2</v>
      </c>
      <c r="D1057">
        <v>15</v>
      </c>
      <c r="E1057">
        <v>1</v>
      </c>
      <c r="F1057">
        <v>0</v>
      </c>
      <c r="G1057">
        <v>9</v>
      </c>
      <c r="H1057" t="s">
        <v>30</v>
      </c>
      <c r="I1057" t="s">
        <v>81</v>
      </c>
      <c r="J1057">
        <v>690</v>
      </c>
      <c r="L1057">
        <v>6347.99999999999</v>
      </c>
    </row>
    <row r="1058" spans="1:12" x14ac:dyDescent="0.3">
      <c r="A1058">
        <v>22</v>
      </c>
      <c r="B1058">
        <v>23</v>
      </c>
      <c r="C1058">
        <v>0</v>
      </c>
      <c r="D1058">
        <v>21</v>
      </c>
      <c r="E1058">
        <v>1</v>
      </c>
      <c r="F1058">
        <v>0</v>
      </c>
      <c r="G1058">
        <v>9</v>
      </c>
      <c r="H1058" t="s">
        <v>18</v>
      </c>
      <c r="I1058" t="s">
        <v>93</v>
      </c>
      <c r="J1058">
        <v>576</v>
      </c>
      <c r="K1058">
        <v>7.7</v>
      </c>
      <c r="L1058">
        <v>4435.2</v>
      </c>
    </row>
    <row r="1059" spans="1:12" x14ac:dyDescent="0.3">
      <c r="A1059">
        <v>22</v>
      </c>
      <c r="B1059">
        <v>22</v>
      </c>
      <c r="C1059">
        <v>0</v>
      </c>
      <c r="D1059">
        <v>14</v>
      </c>
      <c r="E1059">
        <v>1</v>
      </c>
      <c r="F1059">
        <v>0</v>
      </c>
      <c r="G1059">
        <v>3</v>
      </c>
      <c r="H1059" t="s">
        <v>16</v>
      </c>
      <c r="I1059" t="s">
        <v>83</v>
      </c>
      <c r="J1059">
        <v>411</v>
      </c>
      <c r="K1059">
        <v>8.9</v>
      </c>
      <c r="L1059">
        <v>3657.9</v>
      </c>
    </row>
    <row r="1060" spans="1:12" x14ac:dyDescent="0.3">
      <c r="A1060">
        <v>18</v>
      </c>
      <c r="B1060">
        <v>22</v>
      </c>
      <c r="C1060">
        <v>1</v>
      </c>
      <c r="E1060">
        <v>1</v>
      </c>
      <c r="F1060">
        <v>0</v>
      </c>
      <c r="G1060">
        <v>5</v>
      </c>
      <c r="H1060" t="s">
        <v>22</v>
      </c>
      <c r="I1060" t="s">
        <v>73</v>
      </c>
      <c r="J1060">
        <v>609</v>
      </c>
      <c r="K1060">
        <v>7.8</v>
      </c>
      <c r="L1060">
        <v>4750.2</v>
      </c>
    </row>
    <row r="1061" spans="1:12" x14ac:dyDescent="0.3">
      <c r="A1061">
        <v>21</v>
      </c>
      <c r="B1061">
        <v>22</v>
      </c>
      <c r="C1061">
        <v>2</v>
      </c>
      <c r="D1061">
        <v>15</v>
      </c>
      <c r="E1061">
        <v>1</v>
      </c>
      <c r="F1061">
        <v>0</v>
      </c>
      <c r="G1061">
        <v>10</v>
      </c>
      <c r="H1061" t="s">
        <v>33</v>
      </c>
      <c r="I1061" t="s">
        <v>109</v>
      </c>
      <c r="J1061">
        <v>460</v>
      </c>
      <c r="K1061">
        <v>9.3000000000000007</v>
      </c>
      <c r="L1061">
        <v>4278</v>
      </c>
    </row>
    <row r="1062" spans="1:12" x14ac:dyDescent="0.3">
      <c r="A1062">
        <v>7</v>
      </c>
      <c r="B1062">
        <v>23</v>
      </c>
      <c r="C1062">
        <v>1</v>
      </c>
      <c r="D1062">
        <v>14</v>
      </c>
      <c r="E1062">
        <v>1</v>
      </c>
      <c r="F1062">
        <v>0</v>
      </c>
      <c r="G1062">
        <v>4</v>
      </c>
      <c r="I1062" t="s">
        <v>88</v>
      </c>
      <c r="K1062">
        <v>8.8000000000000007</v>
      </c>
      <c r="L1062">
        <v>4584.8</v>
      </c>
    </row>
    <row r="1063" spans="1:12" x14ac:dyDescent="0.3">
      <c r="A1063">
        <v>7</v>
      </c>
      <c r="B1063">
        <v>18</v>
      </c>
      <c r="C1063">
        <v>3</v>
      </c>
      <c r="D1063">
        <v>18</v>
      </c>
      <c r="E1063">
        <v>7</v>
      </c>
      <c r="F1063">
        <v>0</v>
      </c>
      <c r="G1063">
        <v>1</v>
      </c>
      <c r="H1063" t="s">
        <v>26</v>
      </c>
      <c r="I1063" t="s">
        <v>79</v>
      </c>
      <c r="J1063">
        <v>663</v>
      </c>
      <c r="K1063">
        <v>8.5</v>
      </c>
      <c r="L1063">
        <v>5635.5</v>
      </c>
    </row>
    <row r="1064" spans="1:12" x14ac:dyDescent="0.3">
      <c r="A1064">
        <v>10</v>
      </c>
      <c r="B1064">
        <v>23</v>
      </c>
      <c r="C1064">
        <v>2</v>
      </c>
      <c r="D1064">
        <v>22</v>
      </c>
      <c r="E1064">
        <v>1</v>
      </c>
      <c r="F1064">
        <v>0</v>
      </c>
      <c r="G1064">
        <v>2</v>
      </c>
      <c r="H1064" t="s">
        <v>24</v>
      </c>
      <c r="I1064" t="s">
        <v>76</v>
      </c>
      <c r="K1064">
        <v>7.9</v>
      </c>
      <c r="L1064">
        <v>4747.8999999999996</v>
      </c>
    </row>
    <row r="1065" spans="1:12" x14ac:dyDescent="0.3">
      <c r="A1065">
        <v>17</v>
      </c>
      <c r="B1065">
        <v>22</v>
      </c>
      <c r="C1065">
        <v>2</v>
      </c>
      <c r="D1065">
        <v>7</v>
      </c>
      <c r="E1065">
        <v>1</v>
      </c>
      <c r="F1065">
        <v>0</v>
      </c>
      <c r="G1065">
        <v>7</v>
      </c>
      <c r="H1065" t="s">
        <v>21</v>
      </c>
      <c r="I1065" t="s">
        <v>105</v>
      </c>
      <c r="J1065">
        <v>525</v>
      </c>
      <c r="K1065">
        <v>8.6999999999999993</v>
      </c>
      <c r="L1065">
        <v>4567.5</v>
      </c>
    </row>
    <row r="1066" spans="1:12" x14ac:dyDescent="0.3">
      <c r="A1066">
        <v>9</v>
      </c>
      <c r="B1066">
        <v>23</v>
      </c>
      <c r="C1066">
        <v>3</v>
      </c>
      <c r="D1066">
        <v>5</v>
      </c>
      <c r="E1066">
        <v>1</v>
      </c>
      <c r="F1066">
        <v>0</v>
      </c>
      <c r="G1066">
        <v>6</v>
      </c>
      <c r="I1066" t="s">
        <v>107</v>
      </c>
      <c r="K1066">
        <v>9.3000000000000007</v>
      </c>
      <c r="L1066">
        <v>3589.8</v>
      </c>
    </row>
    <row r="1067" spans="1:12" x14ac:dyDescent="0.3">
      <c r="A1067">
        <v>14</v>
      </c>
      <c r="B1067">
        <v>22</v>
      </c>
      <c r="D1067">
        <v>10</v>
      </c>
      <c r="E1067">
        <v>12</v>
      </c>
      <c r="F1067">
        <v>0</v>
      </c>
      <c r="G1067">
        <v>4</v>
      </c>
      <c r="H1067" t="s">
        <v>13</v>
      </c>
      <c r="I1067" t="s">
        <v>77</v>
      </c>
      <c r="J1067">
        <v>423</v>
      </c>
      <c r="K1067">
        <v>8.3000000000000007</v>
      </c>
      <c r="L1067">
        <v>3510.9</v>
      </c>
    </row>
    <row r="1068" spans="1:12" x14ac:dyDescent="0.3">
      <c r="A1068">
        <v>22</v>
      </c>
      <c r="B1068">
        <v>22</v>
      </c>
      <c r="C1068">
        <v>2</v>
      </c>
      <c r="D1068">
        <v>10</v>
      </c>
      <c r="E1068">
        <v>1</v>
      </c>
      <c r="F1068">
        <v>0</v>
      </c>
      <c r="H1068" t="s">
        <v>16</v>
      </c>
      <c r="J1068">
        <v>578</v>
      </c>
      <c r="K1068">
        <v>8.9</v>
      </c>
      <c r="L1068">
        <v>5144.2</v>
      </c>
    </row>
    <row r="1069" spans="1:12" x14ac:dyDescent="0.3">
      <c r="A1069">
        <v>7</v>
      </c>
      <c r="B1069">
        <v>22</v>
      </c>
      <c r="C1069">
        <v>3</v>
      </c>
      <c r="D1069">
        <v>21</v>
      </c>
      <c r="E1069">
        <v>1</v>
      </c>
      <c r="F1069">
        <v>0</v>
      </c>
      <c r="G1069">
        <v>6</v>
      </c>
      <c r="H1069" t="s">
        <v>30</v>
      </c>
      <c r="I1069" t="s">
        <v>134</v>
      </c>
      <c r="J1069">
        <v>475</v>
      </c>
      <c r="K1069">
        <v>9.1999999999999993</v>
      </c>
      <c r="L1069">
        <v>4370</v>
      </c>
    </row>
    <row r="1070" spans="1:12" x14ac:dyDescent="0.3">
      <c r="A1070">
        <v>11</v>
      </c>
      <c r="B1070">
        <v>23</v>
      </c>
      <c r="C1070">
        <v>3</v>
      </c>
      <c r="D1070">
        <v>20</v>
      </c>
      <c r="E1070">
        <v>1</v>
      </c>
      <c r="F1070">
        <v>0</v>
      </c>
      <c r="G1070">
        <v>8</v>
      </c>
      <c r="H1070" t="s">
        <v>38</v>
      </c>
      <c r="I1070" t="s">
        <v>105</v>
      </c>
      <c r="J1070">
        <v>632</v>
      </c>
      <c r="K1070">
        <v>7.4</v>
      </c>
      <c r="L1070">
        <v>4676.8</v>
      </c>
    </row>
    <row r="1071" spans="1:12" x14ac:dyDescent="0.3">
      <c r="A1071">
        <v>22</v>
      </c>
      <c r="B1071">
        <v>22</v>
      </c>
      <c r="C1071">
        <v>1</v>
      </c>
      <c r="D1071">
        <v>10</v>
      </c>
      <c r="E1071">
        <v>12</v>
      </c>
      <c r="F1071">
        <v>0</v>
      </c>
      <c r="G1071">
        <v>5</v>
      </c>
      <c r="H1071" t="s">
        <v>35</v>
      </c>
      <c r="I1071" t="s">
        <v>81</v>
      </c>
      <c r="J1071">
        <v>697</v>
      </c>
      <c r="K1071">
        <v>8.1999999999999993</v>
      </c>
      <c r="L1071">
        <v>5715.4</v>
      </c>
    </row>
    <row r="1072" spans="1:12" x14ac:dyDescent="0.3">
      <c r="A1072">
        <v>13</v>
      </c>
      <c r="B1072">
        <v>22</v>
      </c>
      <c r="C1072">
        <v>0</v>
      </c>
      <c r="D1072">
        <v>18</v>
      </c>
      <c r="E1072">
        <v>1</v>
      </c>
      <c r="G1072">
        <v>6</v>
      </c>
      <c r="H1072" t="s">
        <v>38</v>
      </c>
      <c r="I1072" t="s">
        <v>104</v>
      </c>
      <c r="J1072">
        <v>471</v>
      </c>
      <c r="K1072">
        <v>7.4</v>
      </c>
      <c r="L1072">
        <v>3485.4</v>
      </c>
    </row>
    <row r="1073" spans="1:12" x14ac:dyDescent="0.3">
      <c r="B1073">
        <v>22</v>
      </c>
      <c r="C1073">
        <v>2</v>
      </c>
      <c r="D1073">
        <v>6</v>
      </c>
      <c r="E1073">
        <v>1</v>
      </c>
      <c r="F1073">
        <v>0</v>
      </c>
      <c r="G1073">
        <v>8</v>
      </c>
      <c r="H1073" t="s">
        <v>14</v>
      </c>
      <c r="I1073" t="s">
        <v>109</v>
      </c>
      <c r="J1073">
        <v>589</v>
      </c>
      <c r="K1073">
        <v>8.9</v>
      </c>
      <c r="L1073">
        <v>5242.1000000000004</v>
      </c>
    </row>
    <row r="1074" spans="1:12" x14ac:dyDescent="0.3">
      <c r="A1074">
        <v>18</v>
      </c>
      <c r="C1074">
        <v>3</v>
      </c>
      <c r="D1074">
        <v>12</v>
      </c>
      <c r="E1074">
        <v>1</v>
      </c>
      <c r="F1074">
        <v>0</v>
      </c>
      <c r="G1074">
        <v>2</v>
      </c>
      <c r="H1074" t="s">
        <v>49</v>
      </c>
      <c r="I1074" t="s">
        <v>79</v>
      </c>
      <c r="J1074">
        <v>431</v>
      </c>
      <c r="K1074">
        <v>8.5</v>
      </c>
      <c r="L1074">
        <v>3663.5</v>
      </c>
    </row>
    <row r="1075" spans="1:12" x14ac:dyDescent="0.3">
      <c r="A1075">
        <v>5</v>
      </c>
      <c r="B1075">
        <v>22</v>
      </c>
      <c r="C1075">
        <v>3</v>
      </c>
      <c r="D1075">
        <v>9</v>
      </c>
      <c r="E1075">
        <v>1</v>
      </c>
      <c r="F1075">
        <v>0</v>
      </c>
      <c r="G1075">
        <v>5</v>
      </c>
      <c r="H1075" t="s">
        <v>33</v>
      </c>
      <c r="I1075" t="s">
        <v>76</v>
      </c>
      <c r="K1075">
        <v>9.3000000000000007</v>
      </c>
      <c r="L1075">
        <v>4538.3999999999996</v>
      </c>
    </row>
    <row r="1076" spans="1:12" x14ac:dyDescent="0.3">
      <c r="A1076">
        <v>6</v>
      </c>
      <c r="B1076">
        <v>21</v>
      </c>
      <c r="C1076">
        <v>2</v>
      </c>
      <c r="D1076">
        <v>7</v>
      </c>
      <c r="E1076">
        <v>1</v>
      </c>
      <c r="F1076">
        <v>0</v>
      </c>
      <c r="G1076">
        <v>12</v>
      </c>
      <c r="H1076" t="s">
        <v>36</v>
      </c>
      <c r="I1076" t="s">
        <v>128</v>
      </c>
      <c r="J1076">
        <v>281</v>
      </c>
      <c r="K1076">
        <v>8.8000000000000007</v>
      </c>
      <c r="L1076">
        <v>2472.8000000000002</v>
      </c>
    </row>
    <row r="1077" spans="1:12" x14ac:dyDescent="0.3">
      <c r="A1077">
        <v>18</v>
      </c>
      <c r="B1077">
        <v>23</v>
      </c>
      <c r="C1077">
        <v>3</v>
      </c>
      <c r="D1077">
        <v>17</v>
      </c>
      <c r="E1077">
        <v>12</v>
      </c>
      <c r="F1077">
        <v>0</v>
      </c>
      <c r="G1077">
        <v>6</v>
      </c>
      <c r="H1077" t="s">
        <v>15</v>
      </c>
      <c r="I1077" t="s">
        <v>90</v>
      </c>
      <c r="J1077">
        <v>812</v>
      </c>
      <c r="K1077">
        <v>8.3000000000000007</v>
      </c>
      <c r="L1077">
        <v>6739.6</v>
      </c>
    </row>
    <row r="1078" spans="1:12" x14ac:dyDescent="0.3">
      <c r="A1078">
        <v>10</v>
      </c>
      <c r="B1078">
        <v>23</v>
      </c>
      <c r="C1078">
        <v>2</v>
      </c>
      <c r="D1078">
        <v>19</v>
      </c>
      <c r="E1078">
        <v>1</v>
      </c>
      <c r="F1078">
        <v>0</v>
      </c>
      <c r="G1078">
        <v>12</v>
      </c>
      <c r="H1078" t="s">
        <v>15</v>
      </c>
      <c r="I1078" t="s">
        <v>84</v>
      </c>
      <c r="J1078">
        <v>504</v>
      </c>
      <c r="K1078">
        <v>8.3000000000000007</v>
      </c>
      <c r="L1078">
        <v>4183.2</v>
      </c>
    </row>
    <row r="1079" spans="1:12" x14ac:dyDescent="0.3">
      <c r="A1079">
        <v>23</v>
      </c>
      <c r="B1079">
        <v>22</v>
      </c>
      <c r="C1079">
        <v>3</v>
      </c>
      <c r="D1079">
        <v>22</v>
      </c>
      <c r="F1079">
        <v>0</v>
      </c>
      <c r="G1079">
        <v>9</v>
      </c>
      <c r="H1079" t="s">
        <v>20</v>
      </c>
      <c r="I1079" t="s">
        <v>120</v>
      </c>
      <c r="J1079">
        <v>811</v>
      </c>
      <c r="K1079">
        <v>9.1</v>
      </c>
      <c r="L1079">
        <v>7380.0999999999904</v>
      </c>
    </row>
    <row r="1080" spans="1:12" x14ac:dyDescent="0.3">
      <c r="A1080">
        <v>19</v>
      </c>
      <c r="B1080">
        <v>23</v>
      </c>
      <c r="C1080">
        <v>1</v>
      </c>
      <c r="D1080">
        <v>4</v>
      </c>
      <c r="E1080">
        <v>1</v>
      </c>
      <c r="F1080">
        <v>0</v>
      </c>
      <c r="G1080">
        <v>11</v>
      </c>
      <c r="H1080" t="s">
        <v>30</v>
      </c>
      <c r="I1080" t="s">
        <v>83</v>
      </c>
      <c r="J1080">
        <v>396</v>
      </c>
      <c r="K1080">
        <v>9.1999999999999993</v>
      </c>
      <c r="L1080">
        <v>3643.2</v>
      </c>
    </row>
    <row r="1081" spans="1:12" x14ac:dyDescent="0.3">
      <c r="A1081">
        <v>8</v>
      </c>
      <c r="B1081">
        <v>20</v>
      </c>
      <c r="D1081">
        <v>21</v>
      </c>
      <c r="E1081">
        <v>7</v>
      </c>
      <c r="F1081">
        <v>0</v>
      </c>
      <c r="G1081">
        <v>6</v>
      </c>
      <c r="H1081" t="s">
        <v>23</v>
      </c>
      <c r="I1081" t="s">
        <v>85</v>
      </c>
      <c r="J1081">
        <v>644</v>
      </c>
      <c r="K1081">
        <v>8.4</v>
      </c>
      <c r="L1081">
        <v>5409.6</v>
      </c>
    </row>
    <row r="1082" spans="1:12" x14ac:dyDescent="0.3">
      <c r="A1082">
        <v>19</v>
      </c>
      <c r="B1082">
        <v>23</v>
      </c>
      <c r="C1082">
        <v>2</v>
      </c>
      <c r="D1082">
        <v>20</v>
      </c>
      <c r="E1082">
        <v>1</v>
      </c>
      <c r="F1082">
        <v>0</v>
      </c>
      <c r="H1082" t="s">
        <v>30</v>
      </c>
      <c r="I1082" t="s">
        <v>74</v>
      </c>
      <c r="J1082">
        <v>608</v>
      </c>
      <c r="K1082">
        <v>9.1999999999999993</v>
      </c>
      <c r="L1082">
        <v>5593.5999999999904</v>
      </c>
    </row>
    <row r="1083" spans="1:12" x14ac:dyDescent="0.3">
      <c r="A1083">
        <v>11</v>
      </c>
      <c r="B1083">
        <v>23</v>
      </c>
      <c r="C1083">
        <v>0</v>
      </c>
      <c r="D1083">
        <v>20</v>
      </c>
      <c r="E1083">
        <v>1</v>
      </c>
      <c r="F1083">
        <v>0</v>
      </c>
      <c r="G1083">
        <v>12</v>
      </c>
      <c r="H1083" t="s">
        <v>26</v>
      </c>
      <c r="I1083" t="s">
        <v>73</v>
      </c>
      <c r="J1083">
        <v>497</v>
      </c>
      <c r="K1083">
        <v>8.5</v>
      </c>
      <c r="L1083">
        <v>4224.5</v>
      </c>
    </row>
    <row r="1084" spans="1:12" x14ac:dyDescent="0.3">
      <c r="A1084">
        <v>6</v>
      </c>
      <c r="B1084">
        <v>21</v>
      </c>
      <c r="C1084">
        <v>0</v>
      </c>
      <c r="D1084">
        <v>13</v>
      </c>
      <c r="E1084">
        <v>1</v>
      </c>
      <c r="F1084">
        <v>0</v>
      </c>
      <c r="G1084">
        <v>9</v>
      </c>
      <c r="H1084" t="s">
        <v>24</v>
      </c>
      <c r="I1084" t="s">
        <v>83</v>
      </c>
      <c r="J1084">
        <v>367</v>
      </c>
      <c r="K1084">
        <v>7.9</v>
      </c>
      <c r="L1084">
        <v>2899.3</v>
      </c>
    </row>
    <row r="1085" spans="1:12" x14ac:dyDescent="0.3">
      <c r="A1085">
        <v>23</v>
      </c>
      <c r="B1085">
        <v>23</v>
      </c>
      <c r="C1085">
        <v>2</v>
      </c>
      <c r="D1085">
        <v>11</v>
      </c>
      <c r="E1085">
        <v>1</v>
      </c>
      <c r="F1085">
        <v>0</v>
      </c>
      <c r="G1085">
        <v>7</v>
      </c>
      <c r="H1085" t="s">
        <v>35</v>
      </c>
      <c r="I1085" t="s">
        <v>96</v>
      </c>
      <c r="J1085">
        <v>542</v>
      </c>
      <c r="K1085">
        <v>8.1999999999999993</v>
      </c>
      <c r="L1085">
        <v>4444.3999999999996</v>
      </c>
    </row>
    <row r="1086" spans="1:12" x14ac:dyDescent="0.3">
      <c r="A1086">
        <v>11</v>
      </c>
      <c r="B1086">
        <v>23</v>
      </c>
      <c r="C1086">
        <v>0</v>
      </c>
      <c r="D1086">
        <v>9</v>
      </c>
      <c r="E1086">
        <v>12</v>
      </c>
      <c r="F1086">
        <v>0</v>
      </c>
      <c r="G1086">
        <v>11</v>
      </c>
      <c r="I1086" t="s">
        <v>92</v>
      </c>
      <c r="J1086">
        <v>602</v>
      </c>
      <c r="K1086">
        <v>8.6999999999999993</v>
      </c>
      <c r="L1086">
        <v>5237.3999999999996</v>
      </c>
    </row>
    <row r="1087" spans="1:12" x14ac:dyDescent="0.3">
      <c r="A1087">
        <v>20</v>
      </c>
      <c r="B1087">
        <v>22</v>
      </c>
      <c r="C1087">
        <v>1</v>
      </c>
      <c r="D1087">
        <v>14</v>
      </c>
      <c r="E1087">
        <v>1</v>
      </c>
      <c r="F1087">
        <v>0</v>
      </c>
      <c r="G1087">
        <v>4</v>
      </c>
      <c r="H1087" t="s">
        <v>61</v>
      </c>
      <c r="I1087" t="s">
        <v>70</v>
      </c>
      <c r="J1087">
        <v>645</v>
      </c>
      <c r="K1087">
        <v>7.4</v>
      </c>
      <c r="L1087">
        <v>4773</v>
      </c>
    </row>
    <row r="1088" spans="1:12" x14ac:dyDescent="0.3">
      <c r="A1088">
        <v>9</v>
      </c>
      <c r="B1088">
        <v>20</v>
      </c>
      <c r="C1088">
        <v>0</v>
      </c>
      <c r="D1088">
        <v>6</v>
      </c>
      <c r="E1088">
        <v>7</v>
      </c>
      <c r="F1088">
        <v>0</v>
      </c>
      <c r="G1088">
        <v>9</v>
      </c>
      <c r="H1088" t="s">
        <v>26</v>
      </c>
      <c r="I1088" t="s">
        <v>92</v>
      </c>
      <c r="J1088" t="s">
        <v>187</v>
      </c>
      <c r="K1088">
        <v>8.5</v>
      </c>
      <c r="L1088">
        <v>2193</v>
      </c>
    </row>
    <row r="1089" spans="1:12" x14ac:dyDescent="0.3">
      <c r="A1089">
        <v>17</v>
      </c>
      <c r="B1089">
        <v>22</v>
      </c>
      <c r="C1089">
        <v>3</v>
      </c>
      <c r="D1089">
        <v>21</v>
      </c>
      <c r="F1089">
        <v>0</v>
      </c>
      <c r="G1089">
        <v>5</v>
      </c>
      <c r="H1089" t="s">
        <v>21</v>
      </c>
      <c r="I1089" t="s">
        <v>84</v>
      </c>
      <c r="J1089">
        <v>888</v>
      </c>
      <c r="K1089">
        <v>8.6999999999999993</v>
      </c>
      <c r="L1089">
        <v>7725.5999999999904</v>
      </c>
    </row>
    <row r="1090" spans="1:12" x14ac:dyDescent="0.3">
      <c r="A1090">
        <v>20</v>
      </c>
      <c r="B1090">
        <v>22</v>
      </c>
      <c r="C1090">
        <v>2</v>
      </c>
      <c r="D1090">
        <v>18</v>
      </c>
      <c r="E1090">
        <v>1</v>
      </c>
      <c r="F1090">
        <v>0</v>
      </c>
      <c r="G1090">
        <v>8</v>
      </c>
      <c r="H1090" t="s">
        <v>30</v>
      </c>
      <c r="I1090" t="s">
        <v>94</v>
      </c>
      <c r="K1090">
        <v>9.1999999999999993</v>
      </c>
      <c r="L1090">
        <v>5538.4</v>
      </c>
    </row>
    <row r="1091" spans="1:12" x14ac:dyDescent="0.3">
      <c r="A1091">
        <v>21</v>
      </c>
      <c r="B1091">
        <v>22</v>
      </c>
      <c r="C1091">
        <v>2</v>
      </c>
      <c r="D1091">
        <v>19</v>
      </c>
      <c r="E1091">
        <v>12</v>
      </c>
      <c r="F1091">
        <v>0</v>
      </c>
      <c r="G1091">
        <v>5</v>
      </c>
      <c r="H1091" t="s">
        <v>35</v>
      </c>
      <c r="I1091" t="s">
        <v>101</v>
      </c>
      <c r="J1091">
        <v>717</v>
      </c>
      <c r="K1091">
        <v>8.1999999999999993</v>
      </c>
      <c r="L1091">
        <v>5879.4</v>
      </c>
    </row>
    <row r="1092" spans="1:12" x14ac:dyDescent="0.3">
      <c r="A1092">
        <v>6</v>
      </c>
      <c r="B1092">
        <v>21</v>
      </c>
      <c r="C1092">
        <v>1</v>
      </c>
      <c r="D1092">
        <v>22</v>
      </c>
      <c r="E1092">
        <v>7</v>
      </c>
      <c r="F1092">
        <v>0</v>
      </c>
      <c r="H1092" t="s">
        <v>35</v>
      </c>
      <c r="I1092" t="s">
        <v>87</v>
      </c>
      <c r="J1092">
        <v>598</v>
      </c>
      <c r="K1092">
        <v>8.1999999999999993</v>
      </c>
      <c r="L1092">
        <v>4903.5999999999904</v>
      </c>
    </row>
    <row r="1093" spans="1:12" x14ac:dyDescent="0.3">
      <c r="A1093">
        <v>9</v>
      </c>
      <c r="B1093">
        <v>22</v>
      </c>
      <c r="C1093">
        <v>2</v>
      </c>
      <c r="E1093">
        <v>1</v>
      </c>
      <c r="F1093">
        <v>0</v>
      </c>
      <c r="G1093">
        <v>4</v>
      </c>
      <c r="H1093" t="s">
        <v>21</v>
      </c>
      <c r="I1093" t="s">
        <v>91</v>
      </c>
      <c r="J1093">
        <v>334</v>
      </c>
      <c r="K1093">
        <v>8.6999999999999993</v>
      </c>
      <c r="L1093">
        <v>2905.7999999999902</v>
      </c>
    </row>
    <row r="1094" spans="1:12" x14ac:dyDescent="0.3">
      <c r="A1094">
        <v>20</v>
      </c>
      <c r="B1094">
        <v>22</v>
      </c>
      <c r="C1094">
        <v>1</v>
      </c>
      <c r="D1094">
        <v>5</v>
      </c>
      <c r="E1094">
        <v>12</v>
      </c>
      <c r="F1094">
        <v>0</v>
      </c>
      <c r="G1094">
        <v>2</v>
      </c>
      <c r="H1094" t="s">
        <v>23</v>
      </c>
      <c r="I1094" t="s">
        <v>70</v>
      </c>
      <c r="J1094">
        <v>528</v>
      </c>
      <c r="K1094">
        <v>8.4</v>
      </c>
      <c r="L1094">
        <v>99999</v>
      </c>
    </row>
    <row r="1095" spans="1:12" x14ac:dyDescent="0.3">
      <c r="A1095">
        <v>13</v>
      </c>
      <c r="B1095">
        <v>22</v>
      </c>
      <c r="C1095">
        <v>1</v>
      </c>
      <c r="D1095">
        <v>13</v>
      </c>
      <c r="E1095">
        <v>1</v>
      </c>
      <c r="F1095">
        <v>0</v>
      </c>
      <c r="G1095">
        <v>11</v>
      </c>
      <c r="H1095" t="s">
        <v>25</v>
      </c>
      <c r="J1095">
        <v>477</v>
      </c>
      <c r="L1095">
        <v>3863.7</v>
      </c>
    </row>
    <row r="1096" spans="1:12" x14ac:dyDescent="0.3">
      <c r="A1096">
        <v>10</v>
      </c>
      <c r="B1096">
        <v>21</v>
      </c>
      <c r="C1096">
        <v>3</v>
      </c>
      <c r="D1096">
        <v>3</v>
      </c>
      <c r="E1096">
        <v>1</v>
      </c>
      <c r="F1096">
        <v>0</v>
      </c>
      <c r="G1096">
        <v>11</v>
      </c>
      <c r="H1096" t="s">
        <v>38</v>
      </c>
      <c r="I1096" t="s">
        <v>86</v>
      </c>
      <c r="J1096">
        <v>288</v>
      </c>
      <c r="L1096">
        <v>2131.1999999999998</v>
      </c>
    </row>
    <row r="1097" spans="1:12" x14ac:dyDescent="0.3">
      <c r="A1097">
        <v>7</v>
      </c>
      <c r="B1097">
        <v>22</v>
      </c>
      <c r="D1097">
        <v>4</v>
      </c>
      <c r="E1097">
        <v>1</v>
      </c>
      <c r="F1097">
        <v>0</v>
      </c>
      <c r="G1097">
        <v>4</v>
      </c>
      <c r="H1097" t="s">
        <v>30</v>
      </c>
      <c r="I1097" t="s">
        <v>76</v>
      </c>
      <c r="J1097">
        <v>459</v>
      </c>
      <c r="K1097">
        <v>9.1999999999999993</v>
      </c>
      <c r="L1097">
        <v>99999</v>
      </c>
    </row>
    <row r="1098" spans="1:12" x14ac:dyDescent="0.3">
      <c r="A1098">
        <v>21</v>
      </c>
      <c r="B1098">
        <v>22</v>
      </c>
      <c r="C1098">
        <v>2</v>
      </c>
      <c r="D1098">
        <v>15</v>
      </c>
      <c r="E1098">
        <v>1</v>
      </c>
      <c r="G1098">
        <v>7</v>
      </c>
      <c r="H1098" t="s">
        <v>36</v>
      </c>
      <c r="I1098" t="s">
        <v>74</v>
      </c>
      <c r="J1098">
        <v>617</v>
      </c>
      <c r="K1098">
        <v>8.8000000000000007</v>
      </c>
      <c r="L1098">
        <v>5429.6</v>
      </c>
    </row>
    <row r="1099" spans="1:12" x14ac:dyDescent="0.3">
      <c r="A1099">
        <v>14</v>
      </c>
      <c r="B1099">
        <v>22</v>
      </c>
      <c r="C1099">
        <v>1</v>
      </c>
      <c r="D1099">
        <v>4</v>
      </c>
      <c r="E1099">
        <v>12</v>
      </c>
      <c r="F1099">
        <v>0</v>
      </c>
      <c r="G1099">
        <v>1</v>
      </c>
      <c r="H1099" t="s">
        <v>18</v>
      </c>
      <c r="I1099" t="s">
        <v>90</v>
      </c>
      <c r="J1099">
        <v>453</v>
      </c>
      <c r="K1099">
        <v>7.7</v>
      </c>
      <c r="L1099">
        <v>3488.1</v>
      </c>
    </row>
    <row r="1100" spans="1:12" x14ac:dyDescent="0.3">
      <c r="A1100">
        <v>15</v>
      </c>
      <c r="B1100">
        <v>22</v>
      </c>
      <c r="C1100">
        <v>1</v>
      </c>
      <c r="D1100">
        <v>6</v>
      </c>
      <c r="E1100">
        <v>12</v>
      </c>
      <c r="F1100">
        <v>0</v>
      </c>
      <c r="G1100">
        <v>9</v>
      </c>
      <c r="H1100" t="s">
        <v>32</v>
      </c>
      <c r="I1100" t="s">
        <v>77</v>
      </c>
      <c r="J1100" t="s">
        <v>188</v>
      </c>
      <c r="K1100">
        <v>7.6</v>
      </c>
      <c r="L1100">
        <v>4225.5999999999904</v>
      </c>
    </row>
    <row r="1101" spans="1:12" x14ac:dyDescent="0.3">
      <c r="A1101">
        <v>8</v>
      </c>
      <c r="B1101">
        <v>22</v>
      </c>
      <c r="C1101">
        <v>0</v>
      </c>
      <c r="D1101">
        <v>19</v>
      </c>
      <c r="E1101">
        <v>7</v>
      </c>
      <c r="F1101">
        <v>0</v>
      </c>
      <c r="G1101">
        <v>10</v>
      </c>
      <c r="H1101" t="s">
        <v>42</v>
      </c>
      <c r="I1101" t="s">
        <v>106</v>
      </c>
      <c r="J1101">
        <v>508</v>
      </c>
      <c r="K1101">
        <v>7.8</v>
      </c>
      <c r="L1101">
        <v>3962.4</v>
      </c>
    </row>
    <row r="1102" spans="1:12" x14ac:dyDescent="0.3">
      <c r="A1102">
        <v>8</v>
      </c>
      <c r="B1102">
        <v>19</v>
      </c>
      <c r="C1102">
        <v>2</v>
      </c>
      <c r="D1102">
        <v>20</v>
      </c>
      <c r="E1102">
        <v>1</v>
      </c>
      <c r="F1102">
        <v>0</v>
      </c>
      <c r="G1102">
        <v>12</v>
      </c>
      <c r="H1102" t="s">
        <v>18</v>
      </c>
      <c r="I1102" t="s">
        <v>95</v>
      </c>
      <c r="J1102">
        <v>476</v>
      </c>
      <c r="K1102">
        <v>7.7</v>
      </c>
    </row>
    <row r="1103" spans="1:12" x14ac:dyDescent="0.3">
      <c r="A1103">
        <v>19</v>
      </c>
      <c r="B1103">
        <v>22</v>
      </c>
      <c r="C1103">
        <v>2</v>
      </c>
      <c r="D1103">
        <v>11</v>
      </c>
      <c r="E1103">
        <v>1</v>
      </c>
      <c r="F1103">
        <v>0</v>
      </c>
      <c r="G1103">
        <v>3</v>
      </c>
      <c r="H1103" t="s">
        <v>35</v>
      </c>
      <c r="I1103" t="s">
        <v>93</v>
      </c>
      <c r="J1103">
        <v>480</v>
      </c>
      <c r="K1103" t="s">
        <v>249</v>
      </c>
      <c r="L1103">
        <v>3935.99999999999</v>
      </c>
    </row>
    <row r="1104" spans="1:12" x14ac:dyDescent="0.3">
      <c r="A1104">
        <v>17</v>
      </c>
      <c r="B1104">
        <v>22</v>
      </c>
      <c r="C1104">
        <v>0</v>
      </c>
      <c r="D1104">
        <v>13</v>
      </c>
      <c r="E1104">
        <v>1</v>
      </c>
      <c r="F1104">
        <v>0</v>
      </c>
      <c r="G1104">
        <v>10</v>
      </c>
      <c r="H1104" t="s">
        <v>25</v>
      </c>
      <c r="I1104" t="s">
        <v>72</v>
      </c>
      <c r="J1104">
        <v>467</v>
      </c>
      <c r="K1104">
        <v>8.1</v>
      </c>
      <c r="L1104">
        <v>3782.7</v>
      </c>
    </row>
    <row r="1105" spans="1:12" x14ac:dyDescent="0.3">
      <c r="A1105">
        <v>22</v>
      </c>
      <c r="B1105">
        <v>23</v>
      </c>
      <c r="C1105">
        <v>2</v>
      </c>
      <c r="D1105">
        <v>6</v>
      </c>
      <c r="E1105">
        <v>1</v>
      </c>
      <c r="F1105">
        <v>0</v>
      </c>
      <c r="G1105">
        <v>6</v>
      </c>
      <c r="H1105" t="s">
        <v>35</v>
      </c>
      <c r="I1105" t="s">
        <v>104</v>
      </c>
      <c r="J1105">
        <v>448</v>
      </c>
      <c r="K1105">
        <v>8.1999999999999993</v>
      </c>
      <c r="L1105">
        <v>3673.5999999999899</v>
      </c>
    </row>
    <row r="1106" spans="1:12" x14ac:dyDescent="0.3">
      <c r="A1106">
        <v>14</v>
      </c>
      <c r="B1106">
        <v>22</v>
      </c>
      <c r="C1106">
        <v>2</v>
      </c>
      <c r="D1106">
        <v>20</v>
      </c>
      <c r="E1106">
        <v>1</v>
      </c>
      <c r="F1106">
        <v>0</v>
      </c>
      <c r="G1106">
        <v>11</v>
      </c>
      <c r="H1106" t="s">
        <v>23</v>
      </c>
      <c r="I1106" t="s">
        <v>107</v>
      </c>
      <c r="J1106">
        <v>657</v>
      </c>
      <c r="K1106">
        <v>8.4</v>
      </c>
    </row>
    <row r="1107" spans="1:12" x14ac:dyDescent="0.3">
      <c r="A1107">
        <v>7</v>
      </c>
      <c r="B1107">
        <v>17</v>
      </c>
      <c r="C1107">
        <v>2</v>
      </c>
      <c r="D1107">
        <v>16</v>
      </c>
      <c r="E1107">
        <v>7</v>
      </c>
      <c r="F1107">
        <v>0</v>
      </c>
      <c r="G1107">
        <v>5</v>
      </c>
      <c r="H1107" t="s">
        <v>16</v>
      </c>
      <c r="I1107" t="s">
        <v>71</v>
      </c>
      <c r="J1107">
        <v>489</v>
      </c>
      <c r="K1107">
        <v>8.9</v>
      </c>
      <c r="L1107">
        <v>4352.1000000000004</v>
      </c>
    </row>
    <row r="1108" spans="1:12" x14ac:dyDescent="0.3">
      <c r="A1108">
        <v>8</v>
      </c>
      <c r="B1108">
        <v>18</v>
      </c>
      <c r="C1108">
        <v>3</v>
      </c>
      <c r="D1108">
        <v>19</v>
      </c>
      <c r="E1108">
        <v>1</v>
      </c>
      <c r="F1108">
        <v>0</v>
      </c>
      <c r="G1108">
        <v>11</v>
      </c>
      <c r="H1108" t="s">
        <v>23</v>
      </c>
      <c r="I1108" t="s">
        <v>123</v>
      </c>
      <c r="J1108">
        <v>388</v>
      </c>
      <c r="K1108">
        <v>8.4</v>
      </c>
      <c r="L1108">
        <v>3259.2</v>
      </c>
    </row>
    <row r="1109" spans="1:12" x14ac:dyDescent="0.3">
      <c r="B1109">
        <v>23</v>
      </c>
      <c r="C1109">
        <v>3</v>
      </c>
      <c r="D1109">
        <v>12</v>
      </c>
      <c r="E1109">
        <v>1</v>
      </c>
      <c r="F1109">
        <v>0</v>
      </c>
      <c r="G1109">
        <v>8</v>
      </c>
      <c r="H1109" t="s">
        <v>38</v>
      </c>
      <c r="I1109" t="s">
        <v>106</v>
      </c>
      <c r="J1109">
        <v>566</v>
      </c>
      <c r="K1109">
        <v>7.4</v>
      </c>
      <c r="L1109">
        <v>4188.3999999999996</v>
      </c>
    </row>
    <row r="1110" spans="1:12" x14ac:dyDescent="0.3">
      <c r="A1110">
        <v>20</v>
      </c>
      <c r="B1110">
        <v>22</v>
      </c>
      <c r="C1110">
        <v>0</v>
      </c>
      <c r="D1110">
        <v>13</v>
      </c>
      <c r="E1110">
        <v>1</v>
      </c>
      <c r="F1110">
        <v>0</v>
      </c>
      <c r="G1110">
        <v>7</v>
      </c>
      <c r="H1110" t="s">
        <v>39</v>
      </c>
      <c r="I1110" t="s">
        <v>71</v>
      </c>
      <c r="J1110" t="s">
        <v>189</v>
      </c>
      <c r="K1110">
        <v>8.8000000000000007</v>
      </c>
      <c r="L1110">
        <v>4048</v>
      </c>
    </row>
    <row r="1111" spans="1:12" x14ac:dyDescent="0.3">
      <c r="A1111">
        <v>16</v>
      </c>
      <c r="B1111">
        <v>23</v>
      </c>
      <c r="C1111">
        <v>0</v>
      </c>
      <c r="D1111">
        <v>19</v>
      </c>
      <c r="E1111">
        <v>1</v>
      </c>
      <c r="F1111">
        <v>0</v>
      </c>
      <c r="G1111">
        <v>8</v>
      </c>
      <c r="H1111" t="s">
        <v>25</v>
      </c>
      <c r="I1111" t="s">
        <v>72</v>
      </c>
      <c r="J1111" t="s">
        <v>136</v>
      </c>
      <c r="K1111">
        <v>8.1</v>
      </c>
      <c r="L1111">
        <v>99999</v>
      </c>
    </row>
    <row r="1112" spans="1:12" x14ac:dyDescent="0.3">
      <c r="A1112">
        <v>15</v>
      </c>
      <c r="B1112">
        <v>23</v>
      </c>
      <c r="C1112">
        <v>0</v>
      </c>
      <c r="D1112">
        <v>14</v>
      </c>
      <c r="E1112">
        <v>12</v>
      </c>
      <c r="F1112">
        <v>0</v>
      </c>
      <c r="G1112">
        <v>5</v>
      </c>
      <c r="H1112" t="s">
        <v>22</v>
      </c>
      <c r="I1112" t="s">
        <v>95</v>
      </c>
      <c r="J1112">
        <v>550</v>
      </c>
      <c r="K1112" t="s">
        <v>240</v>
      </c>
      <c r="L1112">
        <v>4290</v>
      </c>
    </row>
    <row r="1113" spans="1:12" x14ac:dyDescent="0.3">
      <c r="A1113">
        <v>20</v>
      </c>
      <c r="B1113">
        <v>22</v>
      </c>
      <c r="C1113">
        <v>3</v>
      </c>
      <c r="D1113">
        <v>9</v>
      </c>
      <c r="E1113">
        <v>1</v>
      </c>
      <c r="F1113">
        <v>0</v>
      </c>
      <c r="G1113">
        <v>5</v>
      </c>
      <c r="I1113" t="s">
        <v>90</v>
      </c>
      <c r="J1113">
        <v>533</v>
      </c>
      <c r="K1113" t="s">
        <v>241</v>
      </c>
      <c r="L1113">
        <v>4210.7</v>
      </c>
    </row>
    <row r="1114" spans="1:12" x14ac:dyDescent="0.3">
      <c r="A1114">
        <v>14</v>
      </c>
      <c r="B1114">
        <v>22</v>
      </c>
      <c r="C1114">
        <v>1</v>
      </c>
      <c r="D1114">
        <v>17</v>
      </c>
      <c r="E1114">
        <v>1</v>
      </c>
      <c r="F1114">
        <v>0</v>
      </c>
      <c r="G1114">
        <v>12</v>
      </c>
      <c r="H1114" t="s">
        <v>23</v>
      </c>
      <c r="I1114" t="s">
        <v>78</v>
      </c>
      <c r="J1114" t="s">
        <v>190</v>
      </c>
      <c r="K1114">
        <v>8.4</v>
      </c>
      <c r="L1114">
        <v>5040</v>
      </c>
    </row>
    <row r="1115" spans="1:12" x14ac:dyDescent="0.3">
      <c r="A1115">
        <v>19</v>
      </c>
      <c r="B1115">
        <v>22</v>
      </c>
      <c r="C1115">
        <v>0</v>
      </c>
      <c r="D1115">
        <v>17</v>
      </c>
      <c r="E1115">
        <v>1</v>
      </c>
      <c r="F1115">
        <v>0</v>
      </c>
      <c r="G1115">
        <v>7</v>
      </c>
      <c r="H1115" t="s">
        <v>18</v>
      </c>
      <c r="I1115" t="s">
        <v>85</v>
      </c>
      <c r="J1115">
        <v>464</v>
      </c>
      <c r="K1115">
        <v>7.7</v>
      </c>
      <c r="L1115">
        <v>3572.8</v>
      </c>
    </row>
    <row r="1116" spans="1:12" x14ac:dyDescent="0.3">
      <c r="A1116">
        <v>22</v>
      </c>
      <c r="B1116">
        <v>22</v>
      </c>
      <c r="D1116">
        <v>8</v>
      </c>
      <c r="E1116">
        <v>12</v>
      </c>
      <c r="F1116">
        <v>0</v>
      </c>
      <c r="G1116">
        <v>1</v>
      </c>
      <c r="H1116" t="s">
        <v>24</v>
      </c>
      <c r="I1116" t="s">
        <v>106</v>
      </c>
      <c r="J1116">
        <v>556</v>
      </c>
      <c r="K1116">
        <v>7.9</v>
      </c>
      <c r="L1116">
        <v>4392.3999999999996</v>
      </c>
    </row>
    <row r="1117" spans="1:12" x14ac:dyDescent="0.3">
      <c r="B1117">
        <v>18</v>
      </c>
      <c r="C1117">
        <v>1</v>
      </c>
      <c r="D1117">
        <v>12</v>
      </c>
      <c r="E1117">
        <v>1</v>
      </c>
      <c r="F1117">
        <v>0</v>
      </c>
      <c r="G1117">
        <v>8</v>
      </c>
      <c r="I1117" t="s">
        <v>75</v>
      </c>
      <c r="J1117">
        <v>454</v>
      </c>
      <c r="K1117">
        <v>7.9</v>
      </c>
      <c r="L1117">
        <v>3586.6</v>
      </c>
    </row>
    <row r="1118" spans="1:12" x14ac:dyDescent="0.3">
      <c r="A1118">
        <v>9</v>
      </c>
      <c r="B1118">
        <v>21</v>
      </c>
      <c r="C1118">
        <v>0</v>
      </c>
      <c r="D1118">
        <v>3</v>
      </c>
      <c r="E1118">
        <v>1</v>
      </c>
      <c r="F1118">
        <v>0</v>
      </c>
      <c r="G1118">
        <v>1</v>
      </c>
      <c r="H1118" t="s">
        <v>48</v>
      </c>
      <c r="I1118" t="s">
        <v>100</v>
      </c>
      <c r="J1118">
        <v>314</v>
      </c>
      <c r="K1118">
        <v>8.6999999999999993</v>
      </c>
      <c r="L1118" t="s">
        <v>316</v>
      </c>
    </row>
    <row r="1119" spans="1:12" x14ac:dyDescent="0.3">
      <c r="A1119">
        <v>20</v>
      </c>
      <c r="B1119">
        <v>23</v>
      </c>
      <c r="D1119">
        <v>12</v>
      </c>
      <c r="E1119">
        <v>1</v>
      </c>
      <c r="F1119">
        <v>0</v>
      </c>
      <c r="G1119">
        <v>7</v>
      </c>
      <c r="H1119" t="s">
        <v>51</v>
      </c>
      <c r="I1119" t="s">
        <v>84</v>
      </c>
      <c r="J1119">
        <v>686</v>
      </c>
      <c r="K1119">
        <v>8.8000000000000007</v>
      </c>
      <c r="L1119">
        <v>99999</v>
      </c>
    </row>
    <row r="1120" spans="1:12" x14ac:dyDescent="0.3">
      <c r="A1120">
        <v>5</v>
      </c>
      <c r="B1120">
        <v>17</v>
      </c>
      <c r="D1120">
        <v>6</v>
      </c>
      <c r="E1120">
        <v>7</v>
      </c>
      <c r="F1120">
        <v>0</v>
      </c>
      <c r="G1120">
        <v>11</v>
      </c>
      <c r="H1120" t="s">
        <v>38</v>
      </c>
      <c r="I1120" t="s">
        <v>107</v>
      </c>
      <c r="J1120">
        <v>210</v>
      </c>
      <c r="K1120">
        <v>7.4</v>
      </c>
      <c r="L1120">
        <v>1554</v>
      </c>
    </row>
    <row r="1121" spans="1:12" x14ac:dyDescent="0.3">
      <c r="A1121">
        <v>7</v>
      </c>
      <c r="B1121">
        <v>17</v>
      </c>
      <c r="C1121">
        <v>1</v>
      </c>
      <c r="D1121">
        <v>12</v>
      </c>
      <c r="E1121">
        <v>1</v>
      </c>
      <c r="F1121">
        <v>0</v>
      </c>
      <c r="G1121">
        <v>10</v>
      </c>
      <c r="H1121" t="s">
        <v>16</v>
      </c>
      <c r="J1121">
        <v>488</v>
      </c>
      <c r="K1121">
        <v>8.9</v>
      </c>
      <c r="L1121">
        <v>4343.2</v>
      </c>
    </row>
    <row r="1122" spans="1:12" x14ac:dyDescent="0.3">
      <c r="A1122">
        <v>14</v>
      </c>
      <c r="B1122">
        <v>22</v>
      </c>
      <c r="C1122">
        <v>1</v>
      </c>
      <c r="D1122">
        <v>14</v>
      </c>
      <c r="E1122">
        <v>1</v>
      </c>
      <c r="F1122">
        <v>0</v>
      </c>
      <c r="G1122">
        <v>7</v>
      </c>
      <c r="H1122" t="s">
        <v>15</v>
      </c>
      <c r="I1122" t="s">
        <v>94</v>
      </c>
      <c r="J1122">
        <v>384</v>
      </c>
      <c r="K1122">
        <v>8.3000000000000007</v>
      </c>
      <c r="L1122">
        <v>3187.2</v>
      </c>
    </row>
    <row r="1123" spans="1:12" x14ac:dyDescent="0.3">
      <c r="A1123">
        <v>10</v>
      </c>
      <c r="B1123">
        <v>23</v>
      </c>
      <c r="C1123">
        <v>1</v>
      </c>
      <c r="D1123">
        <v>22</v>
      </c>
      <c r="F1123">
        <v>0</v>
      </c>
      <c r="G1123">
        <v>6</v>
      </c>
      <c r="H1123" t="s">
        <v>21</v>
      </c>
      <c r="I1123" t="s">
        <v>85</v>
      </c>
      <c r="J1123">
        <v>565</v>
      </c>
      <c r="K1123">
        <v>8.6999999999999993</v>
      </c>
      <c r="L1123">
        <v>4915.5</v>
      </c>
    </row>
    <row r="1124" spans="1:12" x14ac:dyDescent="0.3">
      <c r="A1124">
        <v>9</v>
      </c>
      <c r="B1124">
        <v>22</v>
      </c>
      <c r="C1124">
        <v>2</v>
      </c>
      <c r="D1124">
        <v>16</v>
      </c>
      <c r="E1124">
        <v>1</v>
      </c>
      <c r="F1124">
        <v>0</v>
      </c>
      <c r="G1124">
        <v>8</v>
      </c>
      <c r="H1124" t="s">
        <v>53</v>
      </c>
      <c r="I1124" t="s">
        <v>95</v>
      </c>
      <c r="J1124" t="s">
        <v>191</v>
      </c>
      <c r="K1124">
        <v>7.7</v>
      </c>
    </row>
    <row r="1125" spans="1:12" x14ac:dyDescent="0.3">
      <c r="A1125">
        <v>14</v>
      </c>
      <c r="B1125">
        <v>22</v>
      </c>
      <c r="D1125">
        <v>11</v>
      </c>
      <c r="E1125">
        <v>1</v>
      </c>
      <c r="F1125">
        <v>0</v>
      </c>
      <c r="H1125" t="s">
        <v>22</v>
      </c>
      <c r="I1125" t="s">
        <v>80</v>
      </c>
      <c r="J1125">
        <v>598</v>
      </c>
      <c r="K1125">
        <v>7.8</v>
      </c>
      <c r="L1125">
        <v>4664.3999999999996</v>
      </c>
    </row>
    <row r="1126" spans="1:12" x14ac:dyDescent="0.3">
      <c r="A1126">
        <v>20</v>
      </c>
      <c r="B1126">
        <v>23</v>
      </c>
      <c r="C1126">
        <v>0</v>
      </c>
      <c r="D1126">
        <v>15</v>
      </c>
      <c r="E1126">
        <v>1</v>
      </c>
      <c r="F1126">
        <v>0</v>
      </c>
      <c r="G1126">
        <v>10</v>
      </c>
      <c r="H1126" t="s">
        <v>23</v>
      </c>
      <c r="I1126" t="s">
        <v>82</v>
      </c>
      <c r="J1126">
        <v>500</v>
      </c>
      <c r="K1126">
        <v>8.4</v>
      </c>
      <c r="L1126">
        <v>4200</v>
      </c>
    </row>
    <row r="1127" spans="1:12" x14ac:dyDescent="0.3">
      <c r="A1127">
        <v>7</v>
      </c>
      <c r="B1127">
        <v>22</v>
      </c>
      <c r="C1127">
        <v>2</v>
      </c>
      <c r="D1127">
        <v>16</v>
      </c>
      <c r="E1127">
        <v>1</v>
      </c>
      <c r="F1127">
        <v>0</v>
      </c>
      <c r="G1127">
        <v>8</v>
      </c>
      <c r="H1127" t="s">
        <v>16</v>
      </c>
      <c r="I1127" t="s">
        <v>107</v>
      </c>
      <c r="J1127">
        <v>515</v>
      </c>
      <c r="K1127">
        <v>8.9</v>
      </c>
      <c r="L1127">
        <v>4583.5</v>
      </c>
    </row>
    <row r="1128" spans="1:12" x14ac:dyDescent="0.3">
      <c r="A1128">
        <v>7</v>
      </c>
      <c r="B1128">
        <v>18</v>
      </c>
      <c r="C1128">
        <v>0</v>
      </c>
      <c r="D1128">
        <v>11</v>
      </c>
      <c r="E1128">
        <v>1</v>
      </c>
      <c r="F1128">
        <v>0</v>
      </c>
      <c r="G1128">
        <v>9</v>
      </c>
      <c r="H1128" t="s">
        <v>24</v>
      </c>
      <c r="I1128" t="s">
        <v>90</v>
      </c>
      <c r="J1128">
        <v>218</v>
      </c>
      <c r="L1128">
        <v>1722.2</v>
      </c>
    </row>
    <row r="1129" spans="1:12" x14ac:dyDescent="0.3">
      <c r="A1129">
        <v>22</v>
      </c>
      <c r="B1129">
        <v>23</v>
      </c>
      <c r="C1129">
        <v>1</v>
      </c>
      <c r="D1129">
        <v>14</v>
      </c>
      <c r="E1129">
        <v>1</v>
      </c>
      <c r="F1129">
        <v>0</v>
      </c>
      <c r="G1129">
        <v>4</v>
      </c>
      <c r="H1129" t="s">
        <v>17</v>
      </c>
      <c r="I1129" t="s">
        <v>109</v>
      </c>
      <c r="J1129" t="s">
        <v>192</v>
      </c>
      <c r="K1129">
        <v>8.6999999999999993</v>
      </c>
      <c r="L1129" t="s">
        <v>317</v>
      </c>
    </row>
    <row r="1130" spans="1:12" x14ac:dyDescent="0.3">
      <c r="A1130">
        <v>10</v>
      </c>
      <c r="B1130">
        <v>17</v>
      </c>
      <c r="C1130">
        <v>2</v>
      </c>
      <c r="D1130">
        <v>12</v>
      </c>
      <c r="E1130">
        <v>1</v>
      </c>
      <c r="F1130">
        <v>0</v>
      </c>
      <c r="G1130">
        <v>3</v>
      </c>
      <c r="H1130" t="s">
        <v>16</v>
      </c>
      <c r="I1130" t="s">
        <v>78</v>
      </c>
      <c r="J1130">
        <v>295</v>
      </c>
      <c r="K1130">
        <v>8.9</v>
      </c>
      <c r="L1130">
        <v>2625.5</v>
      </c>
    </row>
    <row r="1131" spans="1:12" x14ac:dyDescent="0.3">
      <c r="A1131">
        <v>10</v>
      </c>
      <c r="B1131">
        <v>19</v>
      </c>
      <c r="C1131">
        <v>0</v>
      </c>
      <c r="D1131">
        <v>3</v>
      </c>
      <c r="E1131">
        <v>1</v>
      </c>
      <c r="F1131">
        <v>0</v>
      </c>
      <c r="G1131">
        <v>6</v>
      </c>
      <c r="H1131" t="s">
        <v>36</v>
      </c>
      <c r="I1131" t="s">
        <v>97</v>
      </c>
      <c r="J1131">
        <v>421</v>
      </c>
      <c r="K1131">
        <v>8.8000000000000007</v>
      </c>
    </row>
    <row r="1132" spans="1:12" x14ac:dyDescent="0.3">
      <c r="A1132">
        <v>22</v>
      </c>
      <c r="B1132">
        <v>22</v>
      </c>
      <c r="C1132">
        <v>2</v>
      </c>
      <c r="D1132">
        <v>18</v>
      </c>
      <c r="E1132">
        <v>1</v>
      </c>
      <c r="F1132">
        <v>0</v>
      </c>
      <c r="G1132">
        <v>5</v>
      </c>
      <c r="H1132" t="s">
        <v>30</v>
      </c>
      <c r="I1132" t="s">
        <v>90</v>
      </c>
      <c r="J1132">
        <v>726</v>
      </c>
      <c r="K1132">
        <v>9.1999999999999993</v>
      </c>
      <c r="L1132" t="s">
        <v>318</v>
      </c>
    </row>
    <row r="1133" spans="1:12" x14ac:dyDescent="0.3">
      <c r="A1133">
        <v>20</v>
      </c>
      <c r="B1133">
        <v>23</v>
      </c>
      <c r="C1133">
        <v>2</v>
      </c>
      <c r="D1133">
        <v>12</v>
      </c>
      <c r="E1133">
        <v>1</v>
      </c>
      <c r="F1133">
        <v>0</v>
      </c>
      <c r="G1133">
        <v>8</v>
      </c>
      <c r="H1133" t="s">
        <v>26</v>
      </c>
      <c r="I1133" t="s">
        <v>92</v>
      </c>
      <c r="J1133">
        <v>615</v>
      </c>
      <c r="K1133">
        <v>8.5</v>
      </c>
      <c r="L1133">
        <v>5227.5</v>
      </c>
    </row>
    <row r="1134" spans="1:12" x14ac:dyDescent="0.3">
      <c r="A1134">
        <v>7</v>
      </c>
      <c r="B1134">
        <v>23</v>
      </c>
      <c r="C1134">
        <v>2</v>
      </c>
      <c r="D1134">
        <v>9</v>
      </c>
      <c r="E1134">
        <v>1</v>
      </c>
      <c r="F1134">
        <v>0</v>
      </c>
      <c r="G1134">
        <v>6</v>
      </c>
      <c r="H1134" t="s">
        <v>25</v>
      </c>
      <c r="I1134" t="s">
        <v>80</v>
      </c>
      <c r="J1134">
        <v>481</v>
      </c>
      <c r="K1134">
        <v>8.1</v>
      </c>
      <c r="L1134">
        <v>3896.1</v>
      </c>
    </row>
    <row r="1135" spans="1:12" x14ac:dyDescent="0.3">
      <c r="A1135">
        <v>5</v>
      </c>
      <c r="B1135">
        <v>19</v>
      </c>
      <c r="C1135">
        <v>2</v>
      </c>
      <c r="D1135">
        <v>18</v>
      </c>
      <c r="E1135">
        <v>7</v>
      </c>
      <c r="F1135">
        <v>0</v>
      </c>
      <c r="H1135" t="s">
        <v>35</v>
      </c>
      <c r="I1135" t="s">
        <v>104</v>
      </c>
      <c r="J1135">
        <v>505</v>
      </c>
      <c r="K1135">
        <v>8.1999999999999993</v>
      </c>
      <c r="L1135">
        <v>4141</v>
      </c>
    </row>
    <row r="1136" spans="1:12" x14ac:dyDescent="0.3">
      <c r="A1136">
        <v>22</v>
      </c>
      <c r="B1136">
        <v>23</v>
      </c>
      <c r="C1136">
        <v>0</v>
      </c>
      <c r="D1136">
        <v>21</v>
      </c>
      <c r="E1136">
        <v>1</v>
      </c>
      <c r="F1136">
        <v>0</v>
      </c>
      <c r="G1136">
        <v>12</v>
      </c>
      <c r="H1136" t="s">
        <v>26</v>
      </c>
      <c r="I1136" t="s">
        <v>104</v>
      </c>
      <c r="J1136">
        <v>492</v>
      </c>
      <c r="K1136">
        <v>8.5</v>
      </c>
      <c r="L1136">
        <v>4182</v>
      </c>
    </row>
    <row r="1137" spans="1:12" x14ac:dyDescent="0.3">
      <c r="A1137">
        <v>17</v>
      </c>
      <c r="B1137">
        <v>22</v>
      </c>
      <c r="C1137">
        <v>3</v>
      </c>
      <c r="D1137">
        <v>3</v>
      </c>
      <c r="E1137">
        <v>1</v>
      </c>
      <c r="F1137">
        <v>0</v>
      </c>
      <c r="G1137">
        <v>10</v>
      </c>
      <c r="H1137" t="s">
        <v>53</v>
      </c>
      <c r="I1137" t="s">
        <v>106</v>
      </c>
      <c r="J1137">
        <v>429</v>
      </c>
      <c r="K1137">
        <v>7.7</v>
      </c>
      <c r="L1137">
        <v>3303.3</v>
      </c>
    </row>
    <row r="1138" spans="1:12" x14ac:dyDescent="0.3">
      <c r="A1138">
        <v>7</v>
      </c>
      <c r="B1138">
        <v>19</v>
      </c>
      <c r="D1138">
        <v>6</v>
      </c>
      <c r="E1138">
        <v>1</v>
      </c>
      <c r="F1138">
        <v>0</v>
      </c>
      <c r="G1138">
        <v>4</v>
      </c>
      <c r="H1138" t="s">
        <v>15</v>
      </c>
      <c r="I1138" t="s">
        <v>70</v>
      </c>
      <c r="J1138">
        <v>395</v>
      </c>
      <c r="K1138">
        <v>8.3000000000000007</v>
      </c>
      <c r="L1138">
        <v>3278.5</v>
      </c>
    </row>
    <row r="1139" spans="1:12" x14ac:dyDescent="0.3">
      <c r="A1139">
        <v>11</v>
      </c>
      <c r="C1139">
        <v>1</v>
      </c>
      <c r="D1139">
        <v>11</v>
      </c>
      <c r="E1139">
        <v>1</v>
      </c>
      <c r="F1139">
        <v>0</v>
      </c>
      <c r="G1139">
        <v>9</v>
      </c>
      <c r="H1139" t="s">
        <v>57</v>
      </c>
      <c r="I1139" t="s">
        <v>72</v>
      </c>
      <c r="J1139" t="s">
        <v>193</v>
      </c>
      <c r="K1139">
        <v>9.1999999999999993</v>
      </c>
      <c r="L1139">
        <v>4158.3999999999996</v>
      </c>
    </row>
    <row r="1140" spans="1:12" x14ac:dyDescent="0.3">
      <c r="A1140">
        <v>8</v>
      </c>
      <c r="B1140">
        <v>22</v>
      </c>
      <c r="C1140">
        <v>2</v>
      </c>
      <c r="D1140">
        <v>8</v>
      </c>
      <c r="E1140">
        <v>1</v>
      </c>
      <c r="F1140">
        <v>0</v>
      </c>
      <c r="G1140">
        <v>7</v>
      </c>
      <c r="H1140" t="s">
        <v>34</v>
      </c>
      <c r="I1140" t="s">
        <v>107</v>
      </c>
      <c r="J1140">
        <v>360</v>
      </c>
      <c r="K1140">
        <v>7.6</v>
      </c>
      <c r="L1140">
        <v>2736</v>
      </c>
    </row>
    <row r="1141" spans="1:12" x14ac:dyDescent="0.3">
      <c r="A1141">
        <v>14</v>
      </c>
      <c r="B1141">
        <v>22</v>
      </c>
      <c r="C1141">
        <v>0</v>
      </c>
      <c r="E1141">
        <v>1</v>
      </c>
      <c r="F1141">
        <v>0</v>
      </c>
      <c r="G1141">
        <v>12</v>
      </c>
      <c r="H1141" t="s">
        <v>20</v>
      </c>
      <c r="J1141">
        <v>574</v>
      </c>
      <c r="L1141">
        <v>5223.3999999999996</v>
      </c>
    </row>
    <row r="1142" spans="1:12" x14ac:dyDescent="0.3">
      <c r="A1142">
        <v>22</v>
      </c>
      <c r="B1142">
        <v>22</v>
      </c>
      <c r="C1142">
        <v>3</v>
      </c>
      <c r="D1142">
        <v>4</v>
      </c>
      <c r="E1142">
        <v>1</v>
      </c>
      <c r="F1142">
        <v>0</v>
      </c>
      <c r="G1142">
        <v>9</v>
      </c>
      <c r="H1142" t="s">
        <v>35</v>
      </c>
      <c r="J1142">
        <v>643</v>
      </c>
      <c r="K1142">
        <v>8.1999999999999993</v>
      </c>
      <c r="L1142">
        <v>5272.5999999999904</v>
      </c>
    </row>
    <row r="1143" spans="1:12" x14ac:dyDescent="0.3">
      <c r="A1143">
        <v>20</v>
      </c>
      <c r="B1143">
        <v>22</v>
      </c>
      <c r="C1143">
        <v>0</v>
      </c>
      <c r="D1143">
        <v>18</v>
      </c>
      <c r="E1143">
        <v>1</v>
      </c>
      <c r="F1143">
        <v>0</v>
      </c>
      <c r="G1143">
        <v>8</v>
      </c>
      <c r="H1143" t="s">
        <v>38</v>
      </c>
      <c r="I1143" t="s">
        <v>75</v>
      </c>
      <c r="J1143">
        <v>678</v>
      </c>
      <c r="K1143">
        <v>7.4</v>
      </c>
      <c r="L1143">
        <v>5017.2</v>
      </c>
    </row>
    <row r="1144" spans="1:12" x14ac:dyDescent="0.3">
      <c r="A1144">
        <v>17</v>
      </c>
      <c r="B1144">
        <v>23</v>
      </c>
      <c r="C1144">
        <v>2</v>
      </c>
      <c r="D1144">
        <v>5</v>
      </c>
      <c r="E1144">
        <v>1</v>
      </c>
      <c r="F1144">
        <v>0</v>
      </c>
      <c r="G1144">
        <v>11</v>
      </c>
      <c r="H1144" t="s">
        <v>30</v>
      </c>
      <c r="I1144" t="s">
        <v>106</v>
      </c>
      <c r="J1144">
        <v>451</v>
      </c>
      <c r="K1144">
        <v>9.1999999999999993</v>
      </c>
      <c r="L1144">
        <v>4149.2</v>
      </c>
    </row>
    <row r="1145" spans="1:12" x14ac:dyDescent="0.3">
      <c r="A1145">
        <v>11</v>
      </c>
      <c r="B1145">
        <v>23</v>
      </c>
      <c r="C1145">
        <v>3</v>
      </c>
      <c r="D1145">
        <v>20</v>
      </c>
      <c r="E1145">
        <v>1</v>
      </c>
      <c r="G1145">
        <v>1</v>
      </c>
      <c r="I1145" t="s">
        <v>90</v>
      </c>
      <c r="J1145">
        <v>648</v>
      </c>
      <c r="K1145" t="s">
        <v>143</v>
      </c>
      <c r="L1145">
        <v>5767.2</v>
      </c>
    </row>
    <row r="1146" spans="1:12" x14ac:dyDescent="0.3">
      <c r="A1146">
        <v>9</v>
      </c>
      <c r="B1146">
        <v>17</v>
      </c>
      <c r="C1146">
        <v>0</v>
      </c>
      <c r="D1146">
        <v>11</v>
      </c>
      <c r="E1146">
        <v>7</v>
      </c>
      <c r="F1146">
        <v>0</v>
      </c>
      <c r="G1146">
        <v>5</v>
      </c>
      <c r="H1146" t="s">
        <v>21</v>
      </c>
      <c r="I1146" t="s">
        <v>77</v>
      </c>
      <c r="J1146">
        <v>348</v>
      </c>
      <c r="K1146">
        <v>8.6999999999999993</v>
      </c>
    </row>
    <row r="1147" spans="1:12" x14ac:dyDescent="0.3">
      <c r="A1147">
        <v>9</v>
      </c>
      <c r="B1147">
        <v>17</v>
      </c>
      <c r="C1147">
        <v>3</v>
      </c>
      <c r="D1147">
        <v>9</v>
      </c>
      <c r="F1147">
        <v>0</v>
      </c>
      <c r="G1147">
        <v>6</v>
      </c>
      <c r="H1147" t="s">
        <v>33</v>
      </c>
      <c r="I1147" t="s">
        <v>97</v>
      </c>
      <c r="J1147">
        <v>389</v>
      </c>
      <c r="K1147" t="s">
        <v>247</v>
      </c>
      <c r="L1147">
        <v>3617.7</v>
      </c>
    </row>
    <row r="1148" spans="1:12" x14ac:dyDescent="0.3">
      <c r="A1148">
        <v>12</v>
      </c>
      <c r="B1148">
        <v>22</v>
      </c>
      <c r="C1148">
        <v>1</v>
      </c>
      <c r="D1148">
        <v>5</v>
      </c>
      <c r="E1148">
        <v>12</v>
      </c>
      <c r="F1148">
        <v>0</v>
      </c>
      <c r="G1148">
        <v>9</v>
      </c>
      <c r="H1148" t="s">
        <v>23</v>
      </c>
      <c r="J1148">
        <v>389</v>
      </c>
      <c r="K1148">
        <v>8.4</v>
      </c>
      <c r="L1148">
        <v>3267.6</v>
      </c>
    </row>
    <row r="1149" spans="1:12" x14ac:dyDescent="0.3">
      <c r="A1149">
        <v>9</v>
      </c>
      <c r="B1149">
        <v>17</v>
      </c>
      <c r="C1149">
        <v>0</v>
      </c>
      <c r="D1149">
        <v>16</v>
      </c>
      <c r="E1149">
        <v>1</v>
      </c>
      <c r="F1149">
        <v>0</v>
      </c>
      <c r="G1149">
        <v>10</v>
      </c>
      <c r="H1149" t="s">
        <v>33</v>
      </c>
      <c r="I1149" t="s">
        <v>96</v>
      </c>
      <c r="J1149">
        <v>313</v>
      </c>
      <c r="K1149">
        <v>9.3000000000000007</v>
      </c>
      <c r="L1149">
        <v>2910.9</v>
      </c>
    </row>
    <row r="1150" spans="1:12" x14ac:dyDescent="0.3">
      <c r="A1150">
        <v>7</v>
      </c>
      <c r="B1150">
        <v>23</v>
      </c>
      <c r="C1150">
        <v>3</v>
      </c>
      <c r="D1150">
        <v>7</v>
      </c>
      <c r="E1150">
        <v>1</v>
      </c>
      <c r="F1150">
        <v>0</v>
      </c>
      <c r="G1150">
        <v>3</v>
      </c>
      <c r="H1150" t="s">
        <v>24</v>
      </c>
      <c r="I1150" t="s">
        <v>104</v>
      </c>
      <c r="J1150">
        <v>564</v>
      </c>
    </row>
    <row r="1151" spans="1:12" x14ac:dyDescent="0.3">
      <c r="A1151">
        <v>16</v>
      </c>
      <c r="B1151">
        <v>22</v>
      </c>
      <c r="C1151">
        <v>0</v>
      </c>
      <c r="D1151">
        <v>19</v>
      </c>
      <c r="E1151">
        <v>1</v>
      </c>
      <c r="F1151">
        <v>0</v>
      </c>
      <c r="G1151">
        <v>2</v>
      </c>
      <c r="H1151" t="s">
        <v>33</v>
      </c>
      <c r="J1151">
        <v>344</v>
      </c>
      <c r="K1151">
        <v>9.3000000000000007</v>
      </c>
      <c r="L1151">
        <v>3199.2</v>
      </c>
    </row>
    <row r="1152" spans="1:12" x14ac:dyDescent="0.3">
      <c r="A1152">
        <v>18</v>
      </c>
      <c r="B1152">
        <v>23</v>
      </c>
      <c r="C1152">
        <v>2</v>
      </c>
      <c r="E1152">
        <v>1</v>
      </c>
      <c r="F1152">
        <v>0</v>
      </c>
      <c r="G1152">
        <v>5</v>
      </c>
      <c r="H1152" t="s">
        <v>30</v>
      </c>
      <c r="I1152" t="s">
        <v>106</v>
      </c>
      <c r="J1152">
        <v>621</v>
      </c>
      <c r="K1152">
        <v>9.1999999999999993</v>
      </c>
      <c r="L1152">
        <v>5713.2</v>
      </c>
    </row>
    <row r="1153" spans="1:12" x14ac:dyDescent="0.3">
      <c r="A1153">
        <v>15</v>
      </c>
      <c r="B1153">
        <v>23</v>
      </c>
      <c r="D1153">
        <v>16</v>
      </c>
      <c r="E1153">
        <v>1</v>
      </c>
      <c r="F1153">
        <v>0</v>
      </c>
      <c r="H1153" t="s">
        <v>22</v>
      </c>
      <c r="I1153" t="s">
        <v>95</v>
      </c>
      <c r="J1153">
        <v>490</v>
      </c>
      <c r="K1153">
        <v>7.8</v>
      </c>
      <c r="L1153">
        <v>3822</v>
      </c>
    </row>
    <row r="1154" spans="1:12" x14ac:dyDescent="0.3">
      <c r="A1154">
        <v>17</v>
      </c>
      <c r="B1154">
        <v>23</v>
      </c>
      <c r="C1154">
        <v>3</v>
      </c>
      <c r="D1154">
        <v>10</v>
      </c>
      <c r="E1154">
        <v>12</v>
      </c>
      <c r="F1154">
        <v>0</v>
      </c>
      <c r="G1154">
        <v>4</v>
      </c>
      <c r="H1154" t="s">
        <v>43</v>
      </c>
      <c r="I1154" t="s">
        <v>91</v>
      </c>
      <c r="J1154">
        <v>673</v>
      </c>
      <c r="K1154">
        <v>7.6</v>
      </c>
      <c r="L1154">
        <v>5114.8</v>
      </c>
    </row>
    <row r="1155" spans="1:12" x14ac:dyDescent="0.3">
      <c r="A1155">
        <v>21</v>
      </c>
      <c r="B1155">
        <v>22</v>
      </c>
      <c r="C1155">
        <v>1</v>
      </c>
      <c r="D1155">
        <v>18</v>
      </c>
      <c r="E1155">
        <v>12</v>
      </c>
      <c r="F1155">
        <v>0</v>
      </c>
      <c r="G1155">
        <v>5</v>
      </c>
      <c r="H1155" t="s">
        <v>16</v>
      </c>
      <c r="I1155" t="s">
        <v>76</v>
      </c>
      <c r="J1155">
        <v>682</v>
      </c>
      <c r="K1155">
        <v>8.9</v>
      </c>
      <c r="L1155">
        <v>6069.8</v>
      </c>
    </row>
    <row r="1156" spans="1:12" x14ac:dyDescent="0.3">
      <c r="A1156">
        <v>7</v>
      </c>
      <c r="B1156">
        <v>22</v>
      </c>
      <c r="C1156">
        <v>2</v>
      </c>
      <c r="D1156">
        <v>10</v>
      </c>
      <c r="E1156">
        <v>1</v>
      </c>
      <c r="F1156">
        <v>0</v>
      </c>
      <c r="G1156">
        <v>11</v>
      </c>
      <c r="I1156" t="s">
        <v>71</v>
      </c>
      <c r="J1156">
        <v>361</v>
      </c>
      <c r="L1156">
        <v>2851.9</v>
      </c>
    </row>
    <row r="1157" spans="1:12" x14ac:dyDescent="0.3">
      <c r="A1157">
        <v>9</v>
      </c>
      <c r="B1157">
        <v>20</v>
      </c>
      <c r="C1157">
        <v>2</v>
      </c>
      <c r="D1157">
        <v>19</v>
      </c>
      <c r="E1157">
        <v>1</v>
      </c>
      <c r="F1157">
        <v>0</v>
      </c>
      <c r="G1157">
        <v>4</v>
      </c>
      <c r="H1157" t="s">
        <v>20</v>
      </c>
      <c r="I1157" t="s">
        <v>90</v>
      </c>
      <c r="J1157">
        <v>569</v>
      </c>
      <c r="K1157">
        <v>9.1</v>
      </c>
      <c r="L1157">
        <v>5177.8999999999996</v>
      </c>
    </row>
    <row r="1158" spans="1:12" x14ac:dyDescent="0.3">
      <c r="A1158">
        <v>13</v>
      </c>
      <c r="B1158">
        <v>23</v>
      </c>
      <c r="C1158">
        <v>1</v>
      </c>
      <c r="D1158">
        <v>17</v>
      </c>
      <c r="E1158">
        <v>1</v>
      </c>
      <c r="F1158">
        <v>0</v>
      </c>
      <c r="G1158">
        <v>6</v>
      </c>
      <c r="H1158" t="s">
        <v>33</v>
      </c>
      <c r="I1158" t="s">
        <v>76</v>
      </c>
      <c r="J1158">
        <v>412</v>
      </c>
      <c r="K1158">
        <v>9.3000000000000007</v>
      </c>
      <c r="L1158">
        <v>3831.6</v>
      </c>
    </row>
    <row r="1159" spans="1:12" x14ac:dyDescent="0.3">
      <c r="A1159">
        <v>20</v>
      </c>
      <c r="B1159">
        <v>22</v>
      </c>
      <c r="C1159">
        <v>3</v>
      </c>
      <c r="D1159">
        <v>3</v>
      </c>
      <c r="E1159">
        <v>1</v>
      </c>
      <c r="F1159">
        <v>0</v>
      </c>
      <c r="G1159">
        <v>5</v>
      </c>
      <c r="H1159" t="s">
        <v>30</v>
      </c>
      <c r="I1159" t="s">
        <v>82</v>
      </c>
      <c r="J1159">
        <v>435</v>
      </c>
      <c r="K1159">
        <v>9.1999999999999993</v>
      </c>
      <c r="L1159">
        <v>4001.99999999999</v>
      </c>
    </row>
    <row r="1160" spans="1:12" x14ac:dyDescent="0.3">
      <c r="B1160">
        <v>17</v>
      </c>
      <c r="C1160">
        <v>0</v>
      </c>
      <c r="D1160">
        <v>4</v>
      </c>
      <c r="E1160">
        <v>1</v>
      </c>
      <c r="F1160">
        <v>0</v>
      </c>
      <c r="G1160">
        <v>9</v>
      </c>
      <c r="H1160" t="s">
        <v>21</v>
      </c>
      <c r="I1160" t="s">
        <v>95</v>
      </c>
      <c r="J1160">
        <v>306</v>
      </c>
      <c r="K1160">
        <v>8.6999999999999993</v>
      </c>
      <c r="L1160">
        <v>2662.2</v>
      </c>
    </row>
    <row r="1161" spans="1:12" x14ac:dyDescent="0.3">
      <c r="A1161">
        <v>23</v>
      </c>
      <c r="B1161">
        <v>23</v>
      </c>
      <c r="C1161">
        <v>0</v>
      </c>
      <c r="D1161">
        <v>20</v>
      </c>
      <c r="E1161">
        <v>1</v>
      </c>
      <c r="F1161">
        <v>0</v>
      </c>
      <c r="G1161">
        <v>11</v>
      </c>
      <c r="H1161" t="s">
        <v>38</v>
      </c>
      <c r="I1161" t="s">
        <v>92</v>
      </c>
      <c r="J1161">
        <v>506</v>
      </c>
      <c r="K1161">
        <v>7.4</v>
      </c>
      <c r="L1161">
        <v>3744.4</v>
      </c>
    </row>
    <row r="1162" spans="1:12" x14ac:dyDescent="0.3">
      <c r="A1162">
        <v>14</v>
      </c>
      <c r="B1162">
        <v>23</v>
      </c>
      <c r="C1162">
        <v>1</v>
      </c>
      <c r="E1162">
        <v>1</v>
      </c>
      <c r="F1162">
        <v>0</v>
      </c>
      <c r="H1162" t="s">
        <v>32</v>
      </c>
      <c r="I1162" t="s">
        <v>73</v>
      </c>
      <c r="J1162">
        <v>545</v>
      </c>
      <c r="K1162">
        <v>7.6</v>
      </c>
      <c r="L1162">
        <v>4142</v>
      </c>
    </row>
    <row r="1163" spans="1:12" x14ac:dyDescent="0.3">
      <c r="A1163">
        <v>12</v>
      </c>
      <c r="C1163">
        <v>2</v>
      </c>
      <c r="D1163">
        <v>14</v>
      </c>
      <c r="E1163">
        <v>1</v>
      </c>
      <c r="F1163">
        <v>0</v>
      </c>
      <c r="H1163" t="s">
        <v>20</v>
      </c>
      <c r="I1163" t="s">
        <v>106</v>
      </c>
      <c r="J1163" t="s">
        <v>194</v>
      </c>
      <c r="K1163">
        <v>9.1</v>
      </c>
      <c r="L1163">
        <v>4286.0999999999904</v>
      </c>
    </row>
    <row r="1164" spans="1:12" x14ac:dyDescent="0.3">
      <c r="A1164">
        <v>8</v>
      </c>
      <c r="B1164">
        <v>19</v>
      </c>
      <c r="C1164">
        <v>2</v>
      </c>
      <c r="D1164">
        <v>6</v>
      </c>
      <c r="E1164">
        <v>1</v>
      </c>
      <c r="F1164">
        <v>0</v>
      </c>
      <c r="G1164">
        <v>11</v>
      </c>
      <c r="H1164" t="s">
        <v>24</v>
      </c>
      <c r="I1164" t="s">
        <v>107</v>
      </c>
      <c r="J1164">
        <v>501</v>
      </c>
      <c r="L1164">
        <v>3957.9</v>
      </c>
    </row>
    <row r="1165" spans="1:12" x14ac:dyDescent="0.3">
      <c r="A1165">
        <v>15</v>
      </c>
      <c r="B1165">
        <v>22</v>
      </c>
      <c r="C1165">
        <v>2</v>
      </c>
      <c r="D1165">
        <v>22</v>
      </c>
      <c r="E1165">
        <v>1</v>
      </c>
      <c r="G1165">
        <v>5</v>
      </c>
      <c r="H1165" t="s">
        <v>30</v>
      </c>
      <c r="J1165">
        <v>634</v>
      </c>
      <c r="K1165">
        <v>9.1999999999999993</v>
      </c>
      <c r="L1165">
        <v>5832.7999999999902</v>
      </c>
    </row>
    <row r="1166" spans="1:12" x14ac:dyDescent="0.3">
      <c r="A1166">
        <v>7</v>
      </c>
      <c r="B1166">
        <v>23</v>
      </c>
      <c r="C1166">
        <v>3</v>
      </c>
      <c r="D1166">
        <v>11</v>
      </c>
      <c r="E1166">
        <v>1</v>
      </c>
      <c r="F1166">
        <v>0</v>
      </c>
      <c r="G1166">
        <v>4</v>
      </c>
      <c r="H1166" t="s">
        <v>23</v>
      </c>
      <c r="I1166" t="s">
        <v>96</v>
      </c>
      <c r="J1166" t="s">
        <v>195</v>
      </c>
      <c r="K1166">
        <v>8.4</v>
      </c>
      <c r="L1166">
        <v>3847.2</v>
      </c>
    </row>
    <row r="1167" spans="1:12" x14ac:dyDescent="0.3">
      <c r="A1167">
        <v>15</v>
      </c>
      <c r="B1167">
        <v>22</v>
      </c>
      <c r="C1167">
        <v>2</v>
      </c>
      <c r="D1167">
        <v>11</v>
      </c>
      <c r="E1167">
        <v>12</v>
      </c>
      <c r="F1167">
        <v>0</v>
      </c>
      <c r="G1167">
        <v>1</v>
      </c>
      <c r="H1167" t="s">
        <v>33</v>
      </c>
      <c r="I1167" t="s">
        <v>105</v>
      </c>
      <c r="J1167">
        <v>626</v>
      </c>
      <c r="K1167">
        <v>9.3000000000000007</v>
      </c>
      <c r="L1167">
        <v>5821.8</v>
      </c>
    </row>
    <row r="1168" spans="1:12" x14ac:dyDescent="0.3">
      <c r="A1168">
        <v>20</v>
      </c>
      <c r="B1168">
        <v>23</v>
      </c>
      <c r="C1168">
        <v>3</v>
      </c>
      <c r="D1168">
        <v>11</v>
      </c>
      <c r="E1168">
        <v>1</v>
      </c>
      <c r="F1168">
        <v>0</v>
      </c>
      <c r="G1168">
        <v>7</v>
      </c>
      <c r="H1168" t="s">
        <v>30</v>
      </c>
      <c r="I1168" t="s">
        <v>73</v>
      </c>
      <c r="J1168">
        <v>628</v>
      </c>
      <c r="K1168">
        <v>9.1999999999999993</v>
      </c>
      <c r="L1168">
        <v>5777.5999999999904</v>
      </c>
    </row>
    <row r="1169" spans="1:12" x14ac:dyDescent="0.3">
      <c r="A1169">
        <v>9</v>
      </c>
      <c r="B1169">
        <v>21</v>
      </c>
      <c r="C1169">
        <v>0</v>
      </c>
      <c r="D1169">
        <v>9</v>
      </c>
      <c r="E1169">
        <v>7</v>
      </c>
      <c r="F1169">
        <v>0</v>
      </c>
      <c r="H1169" t="s">
        <v>25</v>
      </c>
      <c r="I1169" t="s">
        <v>83</v>
      </c>
      <c r="J1169">
        <v>498</v>
      </c>
      <c r="K1169">
        <v>8.1</v>
      </c>
      <c r="L1169">
        <v>4033.7999999999902</v>
      </c>
    </row>
    <row r="1170" spans="1:12" x14ac:dyDescent="0.3">
      <c r="A1170">
        <v>12</v>
      </c>
      <c r="B1170">
        <v>22</v>
      </c>
      <c r="C1170">
        <v>0</v>
      </c>
      <c r="D1170">
        <v>3</v>
      </c>
      <c r="E1170">
        <v>1</v>
      </c>
      <c r="G1170">
        <v>3</v>
      </c>
      <c r="H1170" t="s">
        <v>15</v>
      </c>
      <c r="I1170" t="s">
        <v>78</v>
      </c>
      <c r="J1170">
        <v>246</v>
      </c>
      <c r="K1170">
        <v>8.3000000000000007</v>
      </c>
      <c r="L1170">
        <v>2041.8</v>
      </c>
    </row>
    <row r="1171" spans="1:12" x14ac:dyDescent="0.3">
      <c r="A1171">
        <v>14</v>
      </c>
      <c r="B1171">
        <v>22</v>
      </c>
      <c r="C1171">
        <v>0</v>
      </c>
      <c r="D1171">
        <v>15</v>
      </c>
      <c r="E1171">
        <v>12</v>
      </c>
      <c r="F1171">
        <v>0</v>
      </c>
      <c r="G1171">
        <v>1</v>
      </c>
      <c r="H1171" t="s">
        <v>51</v>
      </c>
      <c r="J1171">
        <v>578</v>
      </c>
      <c r="K1171">
        <v>8.8000000000000007</v>
      </c>
      <c r="L1171">
        <v>5086.3999999999996</v>
      </c>
    </row>
    <row r="1172" spans="1:12" x14ac:dyDescent="0.3">
      <c r="A1172">
        <v>7</v>
      </c>
      <c r="B1172">
        <v>18</v>
      </c>
      <c r="C1172">
        <v>1</v>
      </c>
      <c r="D1172">
        <v>9</v>
      </c>
      <c r="E1172">
        <v>1</v>
      </c>
      <c r="F1172">
        <v>0</v>
      </c>
      <c r="G1172">
        <v>5</v>
      </c>
      <c r="H1172" t="s">
        <v>22</v>
      </c>
      <c r="I1172" t="s">
        <v>84</v>
      </c>
      <c r="J1172">
        <v>381</v>
      </c>
      <c r="K1172">
        <v>7.8</v>
      </c>
      <c r="L1172">
        <v>2971.7999999999902</v>
      </c>
    </row>
    <row r="1173" spans="1:12" x14ac:dyDescent="0.3">
      <c r="A1173">
        <v>21</v>
      </c>
      <c r="B1173">
        <v>22</v>
      </c>
      <c r="C1173">
        <v>3</v>
      </c>
      <c r="D1173">
        <v>4</v>
      </c>
      <c r="E1173">
        <v>12</v>
      </c>
      <c r="G1173">
        <v>6</v>
      </c>
      <c r="H1173" t="s">
        <v>38</v>
      </c>
      <c r="I1173" t="s">
        <v>71</v>
      </c>
      <c r="K1173">
        <v>7.4</v>
      </c>
      <c r="L1173">
        <v>4980.2</v>
      </c>
    </row>
    <row r="1174" spans="1:12" x14ac:dyDescent="0.3">
      <c r="A1174">
        <v>20</v>
      </c>
      <c r="B1174">
        <v>22</v>
      </c>
      <c r="C1174">
        <v>3</v>
      </c>
      <c r="D1174">
        <v>16</v>
      </c>
      <c r="E1174">
        <v>12</v>
      </c>
      <c r="F1174">
        <v>0</v>
      </c>
      <c r="G1174">
        <v>8</v>
      </c>
      <c r="H1174" t="s">
        <v>26</v>
      </c>
      <c r="I1174" t="s">
        <v>97</v>
      </c>
      <c r="J1174" t="s">
        <v>196</v>
      </c>
      <c r="K1174">
        <v>8.5</v>
      </c>
      <c r="L1174">
        <v>5984</v>
      </c>
    </row>
    <row r="1175" spans="1:12" x14ac:dyDescent="0.3">
      <c r="A1175">
        <v>15</v>
      </c>
      <c r="B1175">
        <v>22</v>
      </c>
      <c r="C1175">
        <v>3</v>
      </c>
      <c r="D1175">
        <v>14</v>
      </c>
      <c r="E1175">
        <v>12</v>
      </c>
      <c r="F1175">
        <v>0</v>
      </c>
      <c r="G1175">
        <v>1</v>
      </c>
      <c r="H1175" t="s">
        <v>31</v>
      </c>
      <c r="I1175" t="s">
        <v>79</v>
      </c>
      <c r="J1175">
        <v>805</v>
      </c>
      <c r="K1175">
        <v>7.9</v>
      </c>
      <c r="L1175">
        <v>6359.5</v>
      </c>
    </row>
    <row r="1176" spans="1:12" x14ac:dyDescent="0.3">
      <c r="A1176">
        <v>8</v>
      </c>
      <c r="B1176">
        <v>17</v>
      </c>
      <c r="C1176">
        <v>3</v>
      </c>
      <c r="D1176">
        <v>4</v>
      </c>
      <c r="E1176">
        <v>1</v>
      </c>
      <c r="F1176">
        <v>0</v>
      </c>
      <c r="G1176">
        <v>9</v>
      </c>
      <c r="H1176" t="s">
        <v>53</v>
      </c>
      <c r="I1176" t="s">
        <v>82</v>
      </c>
      <c r="J1176">
        <v>407</v>
      </c>
      <c r="K1176">
        <v>7.7</v>
      </c>
    </row>
    <row r="1177" spans="1:12" x14ac:dyDescent="0.3">
      <c r="A1177">
        <v>8</v>
      </c>
      <c r="B1177">
        <v>23</v>
      </c>
      <c r="C1177">
        <v>2</v>
      </c>
      <c r="D1177">
        <v>17</v>
      </c>
      <c r="E1177">
        <v>1</v>
      </c>
      <c r="F1177">
        <v>0</v>
      </c>
      <c r="G1177">
        <v>7</v>
      </c>
      <c r="H1177" t="s">
        <v>30</v>
      </c>
      <c r="I1177" t="s">
        <v>96</v>
      </c>
      <c r="J1177">
        <v>681</v>
      </c>
      <c r="K1177">
        <v>9.1999999999999993</v>
      </c>
      <c r="L1177">
        <v>6265.2</v>
      </c>
    </row>
    <row r="1178" spans="1:12" x14ac:dyDescent="0.3">
      <c r="A1178">
        <v>9</v>
      </c>
      <c r="B1178">
        <v>22</v>
      </c>
      <c r="C1178">
        <v>0</v>
      </c>
      <c r="D1178">
        <v>10</v>
      </c>
      <c r="E1178">
        <v>7</v>
      </c>
      <c r="G1178">
        <v>12</v>
      </c>
      <c r="H1178" t="s">
        <v>26</v>
      </c>
      <c r="I1178" t="s">
        <v>87</v>
      </c>
      <c r="J1178">
        <v>491</v>
      </c>
      <c r="K1178">
        <v>8.5</v>
      </c>
      <c r="L1178">
        <v>4173.5</v>
      </c>
    </row>
    <row r="1179" spans="1:12" x14ac:dyDescent="0.3">
      <c r="A1179">
        <v>6</v>
      </c>
      <c r="B1179">
        <v>22</v>
      </c>
      <c r="C1179">
        <v>1</v>
      </c>
      <c r="D1179">
        <v>11</v>
      </c>
      <c r="E1179">
        <v>1</v>
      </c>
      <c r="F1179">
        <v>0</v>
      </c>
      <c r="G1179">
        <v>7</v>
      </c>
      <c r="H1179" t="s">
        <v>35</v>
      </c>
      <c r="I1179" t="s">
        <v>109</v>
      </c>
      <c r="J1179">
        <v>345</v>
      </c>
      <c r="K1179" t="s">
        <v>249</v>
      </c>
      <c r="L1179">
        <v>2828.99999999999</v>
      </c>
    </row>
    <row r="1180" spans="1:12" x14ac:dyDescent="0.3">
      <c r="A1180">
        <v>16</v>
      </c>
      <c r="B1180">
        <v>23</v>
      </c>
      <c r="C1180">
        <v>3</v>
      </c>
      <c r="D1180">
        <v>5</v>
      </c>
      <c r="E1180">
        <v>1</v>
      </c>
      <c r="F1180">
        <v>0</v>
      </c>
      <c r="G1180">
        <v>8</v>
      </c>
      <c r="H1180" t="s">
        <v>21</v>
      </c>
      <c r="I1180" t="s">
        <v>116</v>
      </c>
      <c r="J1180">
        <v>543</v>
      </c>
      <c r="K1180">
        <v>8.6999999999999993</v>
      </c>
      <c r="L1180">
        <v>4724.0999999999904</v>
      </c>
    </row>
    <row r="1181" spans="1:12" x14ac:dyDescent="0.3">
      <c r="A1181">
        <v>11</v>
      </c>
      <c r="B1181">
        <v>22</v>
      </c>
      <c r="C1181">
        <v>1</v>
      </c>
      <c r="E1181">
        <v>1</v>
      </c>
      <c r="F1181">
        <v>0</v>
      </c>
      <c r="G1181">
        <v>11</v>
      </c>
      <c r="H1181" t="s">
        <v>15</v>
      </c>
      <c r="I1181" t="s">
        <v>106</v>
      </c>
      <c r="J1181">
        <v>398</v>
      </c>
      <c r="K1181">
        <v>8.3000000000000007</v>
      </c>
      <c r="L1181">
        <v>3303.4</v>
      </c>
    </row>
    <row r="1182" spans="1:12" x14ac:dyDescent="0.3">
      <c r="A1182">
        <v>21</v>
      </c>
      <c r="B1182">
        <v>23</v>
      </c>
      <c r="C1182">
        <v>2</v>
      </c>
      <c r="D1182">
        <v>16</v>
      </c>
      <c r="E1182">
        <v>1</v>
      </c>
      <c r="F1182">
        <v>0</v>
      </c>
      <c r="G1182">
        <v>3</v>
      </c>
      <c r="H1182" t="s">
        <v>21</v>
      </c>
      <c r="I1182" t="s">
        <v>88</v>
      </c>
      <c r="J1182">
        <v>497</v>
      </c>
      <c r="K1182">
        <v>8.6999999999999993</v>
      </c>
      <c r="L1182">
        <v>4323.8999999999996</v>
      </c>
    </row>
    <row r="1183" spans="1:12" x14ac:dyDescent="0.3">
      <c r="A1183">
        <v>7</v>
      </c>
      <c r="B1183">
        <v>23</v>
      </c>
      <c r="C1183">
        <v>0</v>
      </c>
      <c r="D1183">
        <v>17</v>
      </c>
      <c r="E1183">
        <v>1</v>
      </c>
      <c r="F1183">
        <v>0</v>
      </c>
      <c r="G1183">
        <v>3</v>
      </c>
      <c r="H1183" t="s">
        <v>22</v>
      </c>
      <c r="K1183">
        <v>7.8</v>
      </c>
      <c r="L1183">
        <v>4157.3999999999996</v>
      </c>
    </row>
    <row r="1184" spans="1:12" x14ac:dyDescent="0.3">
      <c r="A1184">
        <v>11</v>
      </c>
      <c r="C1184">
        <v>0</v>
      </c>
      <c r="D1184">
        <v>15</v>
      </c>
      <c r="E1184">
        <v>12</v>
      </c>
      <c r="F1184">
        <v>0</v>
      </c>
      <c r="H1184" t="s">
        <v>16</v>
      </c>
      <c r="I1184" t="s">
        <v>130</v>
      </c>
      <c r="J1184">
        <v>624</v>
      </c>
      <c r="K1184">
        <v>8.9</v>
      </c>
      <c r="L1184" t="s">
        <v>319</v>
      </c>
    </row>
    <row r="1185" spans="1:12" x14ac:dyDescent="0.3">
      <c r="A1185">
        <v>7</v>
      </c>
      <c r="B1185">
        <v>17</v>
      </c>
      <c r="D1185">
        <v>15</v>
      </c>
      <c r="E1185">
        <v>1</v>
      </c>
      <c r="F1185">
        <v>0</v>
      </c>
      <c r="G1185">
        <v>9</v>
      </c>
      <c r="H1185" t="s">
        <v>35</v>
      </c>
      <c r="I1185" t="s">
        <v>112</v>
      </c>
      <c r="J1185">
        <v>305</v>
      </c>
      <c r="K1185">
        <v>8.1999999999999993</v>
      </c>
      <c r="L1185">
        <v>2501</v>
      </c>
    </row>
    <row r="1186" spans="1:12" x14ac:dyDescent="0.3">
      <c r="A1186">
        <v>6</v>
      </c>
      <c r="B1186">
        <v>23</v>
      </c>
      <c r="C1186">
        <v>2</v>
      </c>
      <c r="D1186">
        <v>19</v>
      </c>
      <c r="E1186">
        <v>7</v>
      </c>
      <c r="F1186">
        <v>0</v>
      </c>
      <c r="G1186">
        <v>7</v>
      </c>
      <c r="H1186" t="s">
        <v>23</v>
      </c>
      <c r="I1186" t="s">
        <v>81</v>
      </c>
      <c r="K1186">
        <v>8.4</v>
      </c>
      <c r="L1186">
        <v>5056.8</v>
      </c>
    </row>
    <row r="1187" spans="1:12" x14ac:dyDescent="0.3">
      <c r="A1187">
        <v>16</v>
      </c>
      <c r="B1187">
        <v>22</v>
      </c>
      <c r="C1187">
        <v>0</v>
      </c>
      <c r="E1187">
        <v>1</v>
      </c>
      <c r="F1187">
        <v>0</v>
      </c>
      <c r="G1187">
        <v>12</v>
      </c>
      <c r="H1187" t="s">
        <v>60</v>
      </c>
      <c r="I1187" t="s">
        <v>73</v>
      </c>
      <c r="J1187">
        <v>373</v>
      </c>
      <c r="K1187">
        <v>9.1</v>
      </c>
      <c r="L1187">
        <v>3394.2999999999902</v>
      </c>
    </row>
    <row r="1188" spans="1:12" x14ac:dyDescent="0.3">
      <c r="A1188">
        <v>22</v>
      </c>
      <c r="B1188">
        <v>23</v>
      </c>
      <c r="C1188">
        <v>2</v>
      </c>
      <c r="D1188">
        <v>15</v>
      </c>
      <c r="E1188">
        <v>1</v>
      </c>
      <c r="F1188">
        <v>0</v>
      </c>
      <c r="G1188">
        <v>8</v>
      </c>
      <c r="H1188" t="s">
        <v>54</v>
      </c>
      <c r="I1188" t="s">
        <v>92</v>
      </c>
      <c r="J1188">
        <v>695</v>
      </c>
      <c r="K1188">
        <v>9.1999999999999993</v>
      </c>
      <c r="L1188">
        <v>6393.99999999999</v>
      </c>
    </row>
    <row r="1189" spans="1:12" x14ac:dyDescent="0.3">
      <c r="A1189">
        <v>22</v>
      </c>
      <c r="B1189">
        <v>23</v>
      </c>
      <c r="C1189">
        <v>3</v>
      </c>
      <c r="D1189">
        <v>15</v>
      </c>
      <c r="E1189">
        <v>1</v>
      </c>
      <c r="F1189">
        <v>0</v>
      </c>
      <c r="G1189">
        <v>4</v>
      </c>
      <c r="H1189" t="s">
        <v>20</v>
      </c>
      <c r="I1189" t="s">
        <v>72</v>
      </c>
      <c r="J1189">
        <v>752</v>
      </c>
      <c r="K1189">
        <v>9.1</v>
      </c>
      <c r="L1189">
        <v>6843.2</v>
      </c>
    </row>
    <row r="1190" spans="1:12" x14ac:dyDescent="0.3">
      <c r="A1190">
        <v>12</v>
      </c>
      <c r="B1190">
        <v>23</v>
      </c>
      <c r="C1190">
        <v>0</v>
      </c>
      <c r="D1190">
        <v>16</v>
      </c>
      <c r="E1190">
        <v>1</v>
      </c>
      <c r="F1190">
        <v>0</v>
      </c>
      <c r="G1190">
        <v>2</v>
      </c>
      <c r="H1190" t="s">
        <v>26</v>
      </c>
      <c r="J1190">
        <v>582</v>
      </c>
      <c r="K1190">
        <v>8.5</v>
      </c>
      <c r="L1190">
        <v>4947</v>
      </c>
    </row>
    <row r="1191" spans="1:12" x14ac:dyDescent="0.3">
      <c r="A1191">
        <v>13</v>
      </c>
      <c r="B1191">
        <v>23</v>
      </c>
      <c r="C1191">
        <v>3</v>
      </c>
      <c r="D1191">
        <v>8</v>
      </c>
      <c r="E1191">
        <v>12</v>
      </c>
      <c r="F1191">
        <v>0</v>
      </c>
      <c r="G1191">
        <v>8</v>
      </c>
      <c r="I1191" t="s">
        <v>73</v>
      </c>
      <c r="J1191">
        <v>589</v>
      </c>
      <c r="L1191">
        <v>4770.8999999999996</v>
      </c>
    </row>
    <row r="1192" spans="1:12" x14ac:dyDescent="0.3">
      <c r="A1192">
        <v>23</v>
      </c>
      <c r="B1192">
        <v>22</v>
      </c>
      <c r="C1192">
        <v>3</v>
      </c>
      <c r="D1192">
        <v>10</v>
      </c>
      <c r="E1192">
        <v>1</v>
      </c>
      <c r="F1192">
        <v>0</v>
      </c>
      <c r="G1192">
        <v>7</v>
      </c>
      <c r="H1192" t="s">
        <v>22</v>
      </c>
      <c r="I1192" t="s">
        <v>93</v>
      </c>
      <c r="J1192">
        <v>581</v>
      </c>
      <c r="K1192">
        <v>7.8</v>
      </c>
      <c r="L1192">
        <v>4531.8</v>
      </c>
    </row>
    <row r="1193" spans="1:12" x14ac:dyDescent="0.3">
      <c r="A1193">
        <v>19</v>
      </c>
      <c r="B1193">
        <v>22</v>
      </c>
      <c r="C1193">
        <v>3</v>
      </c>
      <c r="D1193">
        <v>14</v>
      </c>
      <c r="E1193">
        <v>12</v>
      </c>
      <c r="F1193">
        <v>0</v>
      </c>
      <c r="G1193">
        <v>10</v>
      </c>
      <c r="H1193" t="s">
        <v>33</v>
      </c>
      <c r="I1193" t="s">
        <v>72</v>
      </c>
      <c r="J1193">
        <v>692</v>
      </c>
      <c r="K1193">
        <v>9.3000000000000007</v>
      </c>
      <c r="L1193">
        <v>6435.6</v>
      </c>
    </row>
    <row r="1194" spans="1:12" x14ac:dyDescent="0.3">
      <c r="A1194">
        <v>15</v>
      </c>
      <c r="B1194">
        <v>23</v>
      </c>
      <c r="C1194">
        <v>1</v>
      </c>
      <c r="D1194">
        <v>15</v>
      </c>
      <c r="E1194">
        <v>1</v>
      </c>
      <c r="F1194">
        <v>0</v>
      </c>
      <c r="G1194">
        <v>2</v>
      </c>
      <c r="H1194" t="s">
        <v>21</v>
      </c>
      <c r="I1194" t="s">
        <v>90</v>
      </c>
      <c r="J1194">
        <v>589</v>
      </c>
      <c r="K1194">
        <v>8.6999999999999993</v>
      </c>
      <c r="L1194">
        <v>5124.2999999999902</v>
      </c>
    </row>
    <row r="1195" spans="1:12" x14ac:dyDescent="0.3">
      <c r="A1195">
        <v>12</v>
      </c>
      <c r="B1195">
        <v>23</v>
      </c>
      <c r="C1195">
        <v>1</v>
      </c>
      <c r="D1195">
        <v>19</v>
      </c>
      <c r="E1195">
        <v>1</v>
      </c>
      <c r="F1195">
        <v>0</v>
      </c>
      <c r="G1195">
        <v>6</v>
      </c>
      <c r="H1195" t="s">
        <v>25</v>
      </c>
      <c r="I1195" t="s">
        <v>109</v>
      </c>
      <c r="J1195">
        <v>482</v>
      </c>
      <c r="K1195">
        <v>8.1</v>
      </c>
      <c r="L1195">
        <v>3904.2</v>
      </c>
    </row>
    <row r="1196" spans="1:12" x14ac:dyDescent="0.3">
      <c r="A1196">
        <v>13</v>
      </c>
      <c r="B1196">
        <v>23</v>
      </c>
      <c r="C1196">
        <v>1</v>
      </c>
      <c r="D1196">
        <v>9</v>
      </c>
      <c r="E1196">
        <v>1</v>
      </c>
      <c r="F1196">
        <v>0</v>
      </c>
      <c r="G1196">
        <v>9</v>
      </c>
      <c r="H1196" t="s">
        <v>64</v>
      </c>
      <c r="I1196" t="s">
        <v>90</v>
      </c>
      <c r="J1196">
        <v>388</v>
      </c>
      <c r="L1196">
        <v>3181.6</v>
      </c>
    </row>
    <row r="1197" spans="1:12" x14ac:dyDescent="0.3">
      <c r="A1197">
        <v>16</v>
      </c>
      <c r="B1197">
        <v>22</v>
      </c>
      <c r="C1197">
        <v>3</v>
      </c>
      <c r="D1197">
        <v>8</v>
      </c>
      <c r="E1197">
        <v>12</v>
      </c>
      <c r="F1197">
        <v>0</v>
      </c>
      <c r="G1197">
        <v>2</v>
      </c>
      <c r="I1197" t="s">
        <v>74</v>
      </c>
      <c r="J1197">
        <v>666</v>
      </c>
      <c r="K1197">
        <v>8.8000000000000007</v>
      </c>
      <c r="L1197" t="s">
        <v>320</v>
      </c>
    </row>
    <row r="1198" spans="1:12" x14ac:dyDescent="0.3">
      <c r="A1198">
        <v>13</v>
      </c>
      <c r="B1198">
        <v>23</v>
      </c>
      <c r="C1198">
        <v>3</v>
      </c>
      <c r="D1198">
        <v>17</v>
      </c>
      <c r="E1198">
        <v>1</v>
      </c>
      <c r="F1198">
        <v>0</v>
      </c>
      <c r="G1198">
        <v>11</v>
      </c>
      <c r="I1198" t="s">
        <v>85</v>
      </c>
      <c r="J1198">
        <v>522</v>
      </c>
      <c r="K1198">
        <v>9.1</v>
      </c>
      <c r="L1198">
        <v>4750.2</v>
      </c>
    </row>
    <row r="1199" spans="1:12" x14ac:dyDescent="0.3">
      <c r="A1199">
        <v>14</v>
      </c>
      <c r="B1199">
        <v>22</v>
      </c>
      <c r="C1199">
        <v>0</v>
      </c>
      <c r="D1199">
        <v>11</v>
      </c>
      <c r="E1199">
        <v>1</v>
      </c>
      <c r="F1199">
        <v>0</v>
      </c>
      <c r="G1199">
        <v>8</v>
      </c>
      <c r="H1199" t="s">
        <v>23</v>
      </c>
      <c r="I1199" t="s">
        <v>80</v>
      </c>
      <c r="J1199">
        <v>490</v>
      </c>
      <c r="K1199">
        <v>8.4</v>
      </c>
      <c r="L1199">
        <v>4116</v>
      </c>
    </row>
    <row r="1200" spans="1:12" x14ac:dyDescent="0.3">
      <c r="A1200">
        <v>5</v>
      </c>
      <c r="B1200">
        <v>18</v>
      </c>
      <c r="C1200">
        <v>0</v>
      </c>
      <c r="D1200">
        <v>20</v>
      </c>
      <c r="E1200">
        <v>1</v>
      </c>
      <c r="G1200">
        <v>5</v>
      </c>
      <c r="H1200" t="s">
        <v>51</v>
      </c>
      <c r="I1200" t="s">
        <v>93</v>
      </c>
      <c r="J1200">
        <v>419</v>
      </c>
      <c r="K1200">
        <v>8.8000000000000007</v>
      </c>
      <c r="L1200">
        <v>3687.2</v>
      </c>
    </row>
    <row r="1201" spans="1:12" x14ac:dyDescent="0.3">
      <c r="A1201">
        <v>9</v>
      </c>
      <c r="B1201">
        <v>19</v>
      </c>
      <c r="C1201">
        <v>2</v>
      </c>
      <c r="D1201">
        <v>20</v>
      </c>
      <c r="E1201">
        <v>1</v>
      </c>
      <c r="F1201">
        <v>0</v>
      </c>
      <c r="G1201">
        <v>2</v>
      </c>
      <c r="H1201" t="s">
        <v>23</v>
      </c>
      <c r="I1201" t="s">
        <v>82</v>
      </c>
      <c r="J1201">
        <v>488</v>
      </c>
      <c r="K1201">
        <v>8.4</v>
      </c>
      <c r="L1201">
        <v>4099.2</v>
      </c>
    </row>
    <row r="1202" spans="1:12" x14ac:dyDescent="0.3">
      <c r="A1202">
        <v>21</v>
      </c>
      <c r="B1202">
        <v>22</v>
      </c>
      <c r="C1202">
        <v>3</v>
      </c>
      <c r="D1202">
        <v>4</v>
      </c>
      <c r="E1202">
        <v>1</v>
      </c>
      <c r="F1202">
        <v>0</v>
      </c>
      <c r="G1202">
        <v>1</v>
      </c>
      <c r="H1202" t="s">
        <v>32</v>
      </c>
      <c r="J1202">
        <v>514</v>
      </c>
      <c r="K1202">
        <v>7.6</v>
      </c>
      <c r="L1202">
        <v>3906.3999999999901</v>
      </c>
    </row>
    <row r="1203" spans="1:12" x14ac:dyDescent="0.3">
      <c r="A1203">
        <v>15</v>
      </c>
      <c r="B1203">
        <v>23</v>
      </c>
      <c r="C1203">
        <v>1</v>
      </c>
      <c r="D1203">
        <v>13</v>
      </c>
      <c r="E1203">
        <v>1</v>
      </c>
      <c r="F1203">
        <v>0</v>
      </c>
      <c r="G1203">
        <v>11</v>
      </c>
      <c r="H1203" t="s">
        <v>25</v>
      </c>
      <c r="I1203" t="s">
        <v>96</v>
      </c>
      <c r="J1203">
        <v>389</v>
      </c>
      <c r="K1203">
        <v>8.1</v>
      </c>
      <c r="L1203">
        <v>3150.8999999999901</v>
      </c>
    </row>
    <row r="1204" spans="1:12" x14ac:dyDescent="0.3">
      <c r="A1204">
        <v>17</v>
      </c>
      <c r="B1204">
        <v>22</v>
      </c>
      <c r="C1204">
        <v>0</v>
      </c>
      <c r="D1204">
        <v>16</v>
      </c>
      <c r="E1204">
        <v>12</v>
      </c>
      <c r="F1204">
        <v>0</v>
      </c>
      <c r="G1204">
        <v>4</v>
      </c>
      <c r="H1204" t="s">
        <v>32</v>
      </c>
      <c r="I1204" t="s">
        <v>106</v>
      </c>
      <c r="J1204">
        <v>569</v>
      </c>
      <c r="K1204">
        <v>7.6</v>
      </c>
      <c r="L1204">
        <v>4324.3999999999996</v>
      </c>
    </row>
    <row r="1205" spans="1:12" x14ac:dyDescent="0.3">
      <c r="A1205">
        <v>23</v>
      </c>
      <c r="B1205">
        <v>22</v>
      </c>
      <c r="C1205">
        <v>3</v>
      </c>
      <c r="D1205">
        <v>3</v>
      </c>
      <c r="E1205">
        <v>12</v>
      </c>
      <c r="F1205">
        <v>0</v>
      </c>
      <c r="G1205">
        <v>9</v>
      </c>
      <c r="H1205" t="s">
        <v>21</v>
      </c>
      <c r="I1205" t="s">
        <v>74</v>
      </c>
      <c r="J1205">
        <v>726</v>
      </c>
      <c r="K1205">
        <v>8.6999999999999993</v>
      </c>
      <c r="L1205">
        <v>6316.2</v>
      </c>
    </row>
    <row r="1206" spans="1:12" x14ac:dyDescent="0.3">
      <c r="A1206">
        <v>14</v>
      </c>
      <c r="B1206">
        <v>22</v>
      </c>
      <c r="C1206">
        <v>1</v>
      </c>
      <c r="D1206">
        <v>14</v>
      </c>
      <c r="E1206">
        <v>1</v>
      </c>
      <c r="F1206">
        <v>0</v>
      </c>
      <c r="G1206">
        <v>4</v>
      </c>
      <c r="H1206" t="s">
        <v>25</v>
      </c>
      <c r="I1206" t="s">
        <v>92</v>
      </c>
      <c r="J1206">
        <v>442</v>
      </c>
      <c r="K1206">
        <v>8.1</v>
      </c>
      <c r="L1206">
        <v>3580.2</v>
      </c>
    </row>
    <row r="1207" spans="1:12" x14ac:dyDescent="0.3">
      <c r="A1207">
        <v>22</v>
      </c>
      <c r="B1207">
        <v>23</v>
      </c>
      <c r="C1207">
        <v>1</v>
      </c>
      <c r="D1207">
        <v>6</v>
      </c>
      <c r="F1207">
        <v>0</v>
      </c>
      <c r="G1207">
        <v>12</v>
      </c>
      <c r="H1207" t="s">
        <v>49</v>
      </c>
      <c r="I1207" t="s">
        <v>76</v>
      </c>
      <c r="J1207">
        <v>561</v>
      </c>
      <c r="K1207">
        <v>8.5</v>
      </c>
      <c r="L1207">
        <v>4768.5</v>
      </c>
    </row>
    <row r="1208" spans="1:12" x14ac:dyDescent="0.3">
      <c r="A1208">
        <v>6</v>
      </c>
      <c r="B1208">
        <v>18</v>
      </c>
      <c r="C1208">
        <v>1</v>
      </c>
      <c r="D1208">
        <v>22</v>
      </c>
      <c r="E1208">
        <v>1</v>
      </c>
      <c r="F1208">
        <v>0</v>
      </c>
      <c r="G1208">
        <v>1</v>
      </c>
      <c r="H1208" t="s">
        <v>21</v>
      </c>
      <c r="I1208" t="s">
        <v>95</v>
      </c>
      <c r="J1208" t="s">
        <v>197</v>
      </c>
      <c r="K1208">
        <v>8.6999999999999993</v>
      </c>
    </row>
    <row r="1209" spans="1:12" x14ac:dyDescent="0.3">
      <c r="A1209">
        <v>7</v>
      </c>
      <c r="B1209">
        <v>22</v>
      </c>
      <c r="C1209">
        <v>2</v>
      </c>
      <c r="D1209">
        <v>11</v>
      </c>
      <c r="E1209">
        <v>7</v>
      </c>
      <c r="F1209">
        <v>0</v>
      </c>
      <c r="G1209">
        <v>8</v>
      </c>
      <c r="H1209" t="s">
        <v>35</v>
      </c>
      <c r="I1209" t="s">
        <v>75</v>
      </c>
      <c r="J1209">
        <v>468</v>
      </c>
      <c r="K1209">
        <v>8.1999999999999993</v>
      </c>
      <c r="L1209">
        <v>3837.5999999999899</v>
      </c>
    </row>
    <row r="1210" spans="1:12" x14ac:dyDescent="0.3">
      <c r="A1210">
        <v>9</v>
      </c>
      <c r="B1210">
        <v>22</v>
      </c>
      <c r="C1210">
        <v>1</v>
      </c>
      <c r="D1210">
        <v>6</v>
      </c>
      <c r="E1210">
        <v>7</v>
      </c>
      <c r="F1210">
        <v>0</v>
      </c>
      <c r="G1210">
        <v>12</v>
      </c>
      <c r="H1210" t="s">
        <v>49</v>
      </c>
      <c r="I1210" t="s">
        <v>72</v>
      </c>
      <c r="J1210">
        <v>483</v>
      </c>
      <c r="K1210">
        <v>8.5</v>
      </c>
      <c r="L1210" t="s">
        <v>143</v>
      </c>
    </row>
    <row r="1211" spans="1:12" x14ac:dyDescent="0.3">
      <c r="A1211">
        <v>6</v>
      </c>
      <c r="B1211">
        <v>19</v>
      </c>
      <c r="C1211">
        <v>2</v>
      </c>
      <c r="D1211">
        <v>9</v>
      </c>
      <c r="E1211">
        <v>1</v>
      </c>
      <c r="G1211">
        <v>2</v>
      </c>
      <c r="H1211" t="s">
        <v>24</v>
      </c>
      <c r="J1211">
        <v>301</v>
      </c>
      <c r="K1211">
        <v>7.9</v>
      </c>
      <c r="L1211">
        <v>2377.9</v>
      </c>
    </row>
    <row r="1212" spans="1:12" x14ac:dyDescent="0.3">
      <c r="A1212">
        <v>22</v>
      </c>
      <c r="B1212">
        <v>22</v>
      </c>
      <c r="C1212">
        <v>2</v>
      </c>
      <c r="D1212">
        <v>20</v>
      </c>
      <c r="E1212">
        <v>1</v>
      </c>
      <c r="F1212">
        <v>0</v>
      </c>
      <c r="G1212">
        <v>5</v>
      </c>
      <c r="H1212" t="s">
        <v>13</v>
      </c>
      <c r="I1212" t="s">
        <v>104</v>
      </c>
      <c r="J1212" t="s">
        <v>198</v>
      </c>
      <c r="K1212">
        <v>8.3000000000000007</v>
      </c>
      <c r="L1212">
        <v>4722.7</v>
      </c>
    </row>
    <row r="1213" spans="1:12" x14ac:dyDescent="0.3">
      <c r="A1213">
        <v>10</v>
      </c>
      <c r="B1213">
        <v>19</v>
      </c>
      <c r="D1213">
        <v>22</v>
      </c>
      <c r="E1213">
        <v>7</v>
      </c>
      <c r="F1213">
        <v>0</v>
      </c>
      <c r="G1213">
        <v>12</v>
      </c>
      <c r="H1213" t="s">
        <v>38</v>
      </c>
      <c r="I1213" t="s">
        <v>97</v>
      </c>
      <c r="J1213">
        <v>546</v>
      </c>
      <c r="K1213">
        <v>7.4</v>
      </c>
      <c r="L1213">
        <v>4040.4</v>
      </c>
    </row>
    <row r="1214" spans="1:12" x14ac:dyDescent="0.3">
      <c r="B1214">
        <v>22</v>
      </c>
      <c r="C1214">
        <v>3</v>
      </c>
      <c r="D1214">
        <v>8</v>
      </c>
      <c r="E1214">
        <v>1</v>
      </c>
      <c r="F1214">
        <v>0</v>
      </c>
      <c r="G1214">
        <v>3</v>
      </c>
      <c r="H1214" t="s">
        <v>16</v>
      </c>
      <c r="I1214" t="s">
        <v>87</v>
      </c>
      <c r="J1214">
        <v>553</v>
      </c>
      <c r="K1214">
        <v>8.9</v>
      </c>
      <c r="L1214">
        <v>4921.7</v>
      </c>
    </row>
    <row r="1215" spans="1:12" x14ac:dyDescent="0.3">
      <c r="B1215">
        <v>22</v>
      </c>
      <c r="C1215">
        <v>3</v>
      </c>
      <c r="D1215">
        <v>21</v>
      </c>
      <c r="E1215">
        <v>1</v>
      </c>
      <c r="F1215">
        <v>0</v>
      </c>
      <c r="G1215">
        <v>3</v>
      </c>
      <c r="H1215" t="s">
        <v>16</v>
      </c>
      <c r="I1215" t="s">
        <v>106</v>
      </c>
      <c r="J1215">
        <v>742</v>
      </c>
      <c r="K1215">
        <v>8.9</v>
      </c>
      <c r="L1215">
        <v>6603.8</v>
      </c>
    </row>
    <row r="1216" spans="1:12" x14ac:dyDescent="0.3">
      <c r="A1216">
        <v>13</v>
      </c>
      <c r="B1216">
        <v>23</v>
      </c>
      <c r="C1216">
        <v>0</v>
      </c>
      <c r="D1216">
        <v>3</v>
      </c>
      <c r="E1216">
        <v>1</v>
      </c>
      <c r="F1216">
        <v>0</v>
      </c>
      <c r="G1216">
        <v>2</v>
      </c>
      <c r="H1216" t="s">
        <v>30</v>
      </c>
      <c r="I1216" t="s">
        <v>106</v>
      </c>
      <c r="J1216">
        <v>246</v>
      </c>
      <c r="K1216">
        <v>9.1999999999999993</v>
      </c>
      <c r="L1216">
        <v>2263.1999999999998</v>
      </c>
    </row>
    <row r="1217" spans="1:12" x14ac:dyDescent="0.3">
      <c r="A1217">
        <v>8</v>
      </c>
      <c r="B1217">
        <v>21</v>
      </c>
      <c r="C1217">
        <v>0</v>
      </c>
      <c r="D1217">
        <v>15</v>
      </c>
      <c r="F1217">
        <v>0</v>
      </c>
      <c r="G1217">
        <v>2</v>
      </c>
      <c r="H1217" t="s">
        <v>36</v>
      </c>
      <c r="I1217" t="s">
        <v>107</v>
      </c>
      <c r="J1217">
        <v>522</v>
      </c>
      <c r="K1217">
        <v>8.8000000000000007</v>
      </c>
      <c r="L1217">
        <v>4593.6000000000004</v>
      </c>
    </row>
    <row r="1218" spans="1:12" x14ac:dyDescent="0.3">
      <c r="A1218">
        <v>11</v>
      </c>
      <c r="B1218">
        <v>23</v>
      </c>
      <c r="C1218">
        <v>0</v>
      </c>
      <c r="D1218">
        <v>3</v>
      </c>
      <c r="E1218">
        <v>1</v>
      </c>
      <c r="F1218">
        <v>0</v>
      </c>
      <c r="G1218">
        <v>11</v>
      </c>
      <c r="H1218" t="s">
        <v>35</v>
      </c>
      <c r="I1218" t="s">
        <v>82</v>
      </c>
      <c r="J1218">
        <v>284</v>
      </c>
      <c r="L1218">
        <v>2328.7999999999902</v>
      </c>
    </row>
    <row r="1219" spans="1:12" x14ac:dyDescent="0.3">
      <c r="A1219">
        <v>16</v>
      </c>
      <c r="B1219">
        <v>23</v>
      </c>
      <c r="C1219">
        <v>1</v>
      </c>
      <c r="D1219">
        <v>21</v>
      </c>
      <c r="E1219">
        <v>1</v>
      </c>
      <c r="F1219">
        <v>0</v>
      </c>
      <c r="G1219">
        <v>6</v>
      </c>
      <c r="H1219" t="s">
        <v>32</v>
      </c>
      <c r="I1219" t="s">
        <v>82</v>
      </c>
      <c r="J1219">
        <v>712</v>
      </c>
      <c r="K1219">
        <v>7.6</v>
      </c>
      <c r="L1219">
        <v>5411.2</v>
      </c>
    </row>
    <row r="1220" spans="1:12" x14ac:dyDescent="0.3">
      <c r="A1220">
        <v>6</v>
      </c>
      <c r="B1220">
        <v>23</v>
      </c>
      <c r="C1220">
        <v>0</v>
      </c>
      <c r="D1220">
        <v>12</v>
      </c>
      <c r="E1220">
        <v>1</v>
      </c>
      <c r="F1220">
        <v>0</v>
      </c>
      <c r="G1220">
        <v>1</v>
      </c>
      <c r="H1220" t="s">
        <v>30</v>
      </c>
      <c r="I1220" t="s">
        <v>109</v>
      </c>
      <c r="J1220" t="s">
        <v>199</v>
      </c>
      <c r="K1220">
        <v>9.1999999999999993</v>
      </c>
      <c r="L1220">
        <v>2953.2</v>
      </c>
    </row>
    <row r="1221" spans="1:12" x14ac:dyDescent="0.3">
      <c r="A1221">
        <v>21</v>
      </c>
      <c r="B1221">
        <v>23</v>
      </c>
      <c r="C1221">
        <v>3</v>
      </c>
      <c r="D1221">
        <v>19</v>
      </c>
      <c r="E1221">
        <v>1</v>
      </c>
      <c r="F1221">
        <v>0</v>
      </c>
      <c r="G1221">
        <v>11</v>
      </c>
      <c r="H1221" t="s">
        <v>15</v>
      </c>
      <c r="I1221" t="s">
        <v>104</v>
      </c>
      <c r="J1221">
        <v>743</v>
      </c>
      <c r="K1221">
        <v>8.3000000000000007</v>
      </c>
      <c r="L1221">
        <v>6166.9</v>
      </c>
    </row>
    <row r="1222" spans="1:12" x14ac:dyDescent="0.3">
      <c r="A1222">
        <v>13</v>
      </c>
      <c r="B1222">
        <v>22</v>
      </c>
      <c r="C1222">
        <v>0</v>
      </c>
      <c r="D1222">
        <v>22</v>
      </c>
      <c r="E1222">
        <v>1</v>
      </c>
      <c r="F1222">
        <v>0</v>
      </c>
      <c r="G1222">
        <v>5</v>
      </c>
      <c r="H1222" t="s">
        <v>38</v>
      </c>
      <c r="I1222" t="s">
        <v>96</v>
      </c>
      <c r="J1222">
        <v>582</v>
      </c>
      <c r="K1222">
        <v>7.4</v>
      </c>
      <c r="L1222">
        <v>4306.8</v>
      </c>
    </row>
    <row r="1223" spans="1:12" x14ac:dyDescent="0.3">
      <c r="A1223">
        <v>20</v>
      </c>
      <c r="B1223">
        <v>23</v>
      </c>
      <c r="C1223">
        <v>1</v>
      </c>
      <c r="D1223">
        <v>18</v>
      </c>
      <c r="F1223">
        <v>0</v>
      </c>
      <c r="G1223">
        <v>6</v>
      </c>
      <c r="H1223" t="s">
        <v>23</v>
      </c>
      <c r="I1223" t="s">
        <v>88</v>
      </c>
      <c r="J1223">
        <v>665</v>
      </c>
      <c r="K1223">
        <v>8.4</v>
      </c>
      <c r="L1223">
        <v>5586</v>
      </c>
    </row>
    <row r="1224" spans="1:12" x14ac:dyDescent="0.3">
      <c r="A1224">
        <v>23</v>
      </c>
      <c r="B1224">
        <v>23</v>
      </c>
      <c r="C1224">
        <v>3</v>
      </c>
      <c r="D1224">
        <v>11</v>
      </c>
      <c r="E1224">
        <v>1</v>
      </c>
      <c r="F1224">
        <v>0</v>
      </c>
      <c r="G1224">
        <v>5</v>
      </c>
      <c r="H1224" t="s">
        <v>20</v>
      </c>
      <c r="I1224" t="s">
        <v>80</v>
      </c>
      <c r="J1224">
        <v>533</v>
      </c>
      <c r="K1224">
        <v>9.1</v>
      </c>
      <c r="L1224">
        <v>4850.3</v>
      </c>
    </row>
    <row r="1225" spans="1:12" x14ac:dyDescent="0.3">
      <c r="A1225">
        <v>23</v>
      </c>
      <c r="B1225">
        <v>23</v>
      </c>
      <c r="C1225">
        <v>2</v>
      </c>
      <c r="D1225">
        <v>4</v>
      </c>
      <c r="E1225">
        <v>12</v>
      </c>
      <c r="F1225">
        <v>0</v>
      </c>
      <c r="G1225">
        <v>3</v>
      </c>
      <c r="H1225" t="s">
        <v>24</v>
      </c>
      <c r="I1225" t="s">
        <v>94</v>
      </c>
      <c r="J1225">
        <v>677</v>
      </c>
      <c r="L1225">
        <v>5348.3</v>
      </c>
    </row>
    <row r="1226" spans="1:12" x14ac:dyDescent="0.3">
      <c r="A1226">
        <v>18</v>
      </c>
      <c r="B1226">
        <v>22</v>
      </c>
      <c r="C1226">
        <v>2</v>
      </c>
      <c r="D1226">
        <v>14</v>
      </c>
      <c r="E1226">
        <v>1</v>
      </c>
      <c r="F1226">
        <v>0</v>
      </c>
      <c r="G1226">
        <v>10</v>
      </c>
      <c r="H1226" t="s">
        <v>32</v>
      </c>
      <c r="I1226" t="s">
        <v>84</v>
      </c>
      <c r="K1226">
        <v>7.6</v>
      </c>
      <c r="L1226">
        <v>3845.6</v>
      </c>
    </row>
    <row r="1227" spans="1:12" x14ac:dyDescent="0.3">
      <c r="A1227">
        <v>20</v>
      </c>
      <c r="B1227">
        <v>23</v>
      </c>
      <c r="C1227">
        <v>2</v>
      </c>
      <c r="D1227">
        <v>8</v>
      </c>
      <c r="E1227">
        <v>1</v>
      </c>
      <c r="F1227">
        <v>0</v>
      </c>
      <c r="G1227">
        <v>5</v>
      </c>
      <c r="H1227" t="s">
        <v>22</v>
      </c>
      <c r="I1227" t="s">
        <v>92</v>
      </c>
      <c r="J1227">
        <v>507</v>
      </c>
      <c r="K1227">
        <v>7.8</v>
      </c>
      <c r="L1227">
        <v>3954.6</v>
      </c>
    </row>
    <row r="1228" spans="1:12" x14ac:dyDescent="0.3">
      <c r="A1228">
        <v>23</v>
      </c>
      <c r="B1228">
        <v>22</v>
      </c>
      <c r="C1228">
        <v>3</v>
      </c>
      <c r="D1228">
        <v>10</v>
      </c>
      <c r="E1228">
        <v>1</v>
      </c>
      <c r="F1228">
        <v>0</v>
      </c>
      <c r="G1228">
        <v>7</v>
      </c>
      <c r="H1228" t="s">
        <v>22</v>
      </c>
      <c r="I1228" t="s">
        <v>93</v>
      </c>
      <c r="J1228">
        <v>581</v>
      </c>
      <c r="K1228">
        <v>7.8</v>
      </c>
      <c r="L1228">
        <v>4531.8</v>
      </c>
    </row>
    <row r="1229" spans="1:12" x14ac:dyDescent="0.3">
      <c r="A1229">
        <v>13</v>
      </c>
      <c r="B1229">
        <v>22</v>
      </c>
      <c r="C1229">
        <v>0</v>
      </c>
      <c r="D1229">
        <v>7</v>
      </c>
      <c r="E1229">
        <v>1</v>
      </c>
      <c r="F1229">
        <v>0</v>
      </c>
      <c r="G1229">
        <v>8</v>
      </c>
      <c r="H1229" t="s">
        <v>23</v>
      </c>
      <c r="I1229" t="s">
        <v>77</v>
      </c>
      <c r="J1229">
        <v>425</v>
      </c>
      <c r="K1229">
        <v>8.4</v>
      </c>
      <c r="L1229">
        <v>3570</v>
      </c>
    </row>
    <row r="1230" spans="1:12" x14ac:dyDescent="0.3">
      <c r="A1230">
        <v>11</v>
      </c>
      <c r="B1230">
        <v>23</v>
      </c>
      <c r="C1230">
        <v>0</v>
      </c>
      <c r="D1230">
        <v>20</v>
      </c>
      <c r="E1230">
        <v>1</v>
      </c>
      <c r="F1230">
        <v>0</v>
      </c>
      <c r="G1230">
        <v>8</v>
      </c>
      <c r="H1230" t="s">
        <v>48</v>
      </c>
      <c r="I1230" t="s">
        <v>84</v>
      </c>
      <c r="J1230">
        <v>452</v>
      </c>
      <c r="K1230">
        <v>8.6999999999999993</v>
      </c>
      <c r="L1230">
        <v>3932.3999999999901</v>
      </c>
    </row>
    <row r="1231" spans="1:12" x14ac:dyDescent="0.3">
      <c r="A1231">
        <v>11</v>
      </c>
      <c r="B1231">
        <v>23</v>
      </c>
      <c r="C1231">
        <v>3</v>
      </c>
      <c r="D1231">
        <v>6</v>
      </c>
      <c r="E1231">
        <v>1</v>
      </c>
      <c r="F1231">
        <v>0</v>
      </c>
      <c r="G1231">
        <v>11</v>
      </c>
      <c r="H1231" t="s">
        <v>25</v>
      </c>
      <c r="I1231" t="s">
        <v>80</v>
      </c>
      <c r="J1231">
        <v>554</v>
      </c>
      <c r="K1231">
        <v>8.1</v>
      </c>
      <c r="L1231">
        <v>4487.3999999999996</v>
      </c>
    </row>
    <row r="1232" spans="1:12" x14ac:dyDescent="0.3">
      <c r="A1232">
        <v>17</v>
      </c>
      <c r="B1232">
        <v>23</v>
      </c>
      <c r="C1232">
        <v>1</v>
      </c>
      <c r="D1232">
        <v>13</v>
      </c>
      <c r="E1232">
        <v>1</v>
      </c>
      <c r="F1232">
        <v>0</v>
      </c>
      <c r="G1232">
        <v>2</v>
      </c>
      <c r="H1232" t="s">
        <v>52</v>
      </c>
      <c r="I1232" t="s">
        <v>91</v>
      </c>
      <c r="J1232">
        <v>354</v>
      </c>
      <c r="K1232">
        <v>9.3000000000000007</v>
      </c>
      <c r="L1232">
        <v>3292.2</v>
      </c>
    </row>
    <row r="1233" spans="1:12" x14ac:dyDescent="0.3">
      <c r="A1233">
        <v>17</v>
      </c>
      <c r="C1233">
        <v>1</v>
      </c>
      <c r="D1233">
        <v>21</v>
      </c>
      <c r="E1233">
        <v>12</v>
      </c>
      <c r="F1233">
        <v>0</v>
      </c>
      <c r="G1233">
        <v>3</v>
      </c>
      <c r="H1233" t="s">
        <v>15</v>
      </c>
      <c r="I1233" t="s">
        <v>79</v>
      </c>
      <c r="J1233">
        <v>722</v>
      </c>
      <c r="K1233">
        <v>8.3000000000000007</v>
      </c>
      <c r="L1233">
        <v>5992.6</v>
      </c>
    </row>
    <row r="1234" spans="1:12" x14ac:dyDescent="0.3">
      <c r="A1234">
        <v>6</v>
      </c>
      <c r="B1234">
        <v>20</v>
      </c>
      <c r="C1234">
        <v>0</v>
      </c>
      <c r="D1234">
        <v>9</v>
      </c>
      <c r="E1234">
        <v>1</v>
      </c>
      <c r="F1234">
        <v>0</v>
      </c>
      <c r="G1234">
        <v>5</v>
      </c>
      <c r="H1234" t="s">
        <v>15</v>
      </c>
      <c r="I1234" t="s">
        <v>71</v>
      </c>
      <c r="J1234">
        <v>311</v>
      </c>
      <c r="K1234">
        <v>8.3000000000000007</v>
      </c>
      <c r="L1234">
        <v>2581.3000000000002</v>
      </c>
    </row>
    <row r="1235" spans="1:12" x14ac:dyDescent="0.3">
      <c r="B1235">
        <v>20</v>
      </c>
      <c r="C1235">
        <v>2</v>
      </c>
      <c r="D1235">
        <v>12</v>
      </c>
      <c r="E1235">
        <v>7</v>
      </c>
      <c r="F1235">
        <v>0</v>
      </c>
      <c r="G1235">
        <v>9</v>
      </c>
      <c r="H1235" t="s">
        <v>58</v>
      </c>
      <c r="I1235" t="s">
        <v>109</v>
      </c>
      <c r="J1235">
        <v>605</v>
      </c>
      <c r="K1235">
        <v>8.4</v>
      </c>
      <c r="L1235">
        <v>5082</v>
      </c>
    </row>
    <row r="1236" spans="1:12" x14ac:dyDescent="0.3">
      <c r="A1236">
        <v>14</v>
      </c>
      <c r="B1236">
        <v>22</v>
      </c>
      <c r="C1236">
        <v>0</v>
      </c>
      <c r="D1236">
        <v>7</v>
      </c>
      <c r="E1236">
        <v>12</v>
      </c>
      <c r="F1236">
        <v>0</v>
      </c>
      <c r="G1236">
        <v>5</v>
      </c>
      <c r="H1236" t="s">
        <v>59</v>
      </c>
      <c r="I1236" t="s">
        <v>105</v>
      </c>
      <c r="L1236">
        <v>3839.3999999999901</v>
      </c>
    </row>
    <row r="1237" spans="1:12" x14ac:dyDescent="0.3">
      <c r="A1237">
        <v>16</v>
      </c>
      <c r="B1237">
        <v>23</v>
      </c>
      <c r="C1237">
        <v>2</v>
      </c>
      <c r="D1237">
        <v>6</v>
      </c>
      <c r="E1237">
        <v>1</v>
      </c>
      <c r="F1237">
        <v>0</v>
      </c>
      <c r="G1237">
        <v>10</v>
      </c>
      <c r="H1237" t="s">
        <v>23</v>
      </c>
      <c r="I1237" t="s">
        <v>76</v>
      </c>
      <c r="J1237">
        <v>384</v>
      </c>
      <c r="K1237">
        <v>8.4</v>
      </c>
    </row>
    <row r="1238" spans="1:12" x14ac:dyDescent="0.3">
      <c r="A1238">
        <v>18</v>
      </c>
      <c r="B1238">
        <v>22</v>
      </c>
      <c r="C1238">
        <v>1</v>
      </c>
      <c r="D1238">
        <v>11</v>
      </c>
      <c r="E1238">
        <v>1</v>
      </c>
      <c r="F1238">
        <v>0</v>
      </c>
      <c r="G1238">
        <v>4</v>
      </c>
      <c r="H1238" t="s">
        <v>23</v>
      </c>
      <c r="I1238" t="s">
        <v>71</v>
      </c>
      <c r="J1238">
        <v>489</v>
      </c>
      <c r="K1238" t="s">
        <v>238</v>
      </c>
      <c r="L1238">
        <v>4107.6000000000004</v>
      </c>
    </row>
    <row r="1239" spans="1:12" x14ac:dyDescent="0.3">
      <c r="A1239">
        <v>21</v>
      </c>
      <c r="B1239">
        <v>22</v>
      </c>
      <c r="C1239">
        <v>1</v>
      </c>
      <c r="D1239">
        <v>3</v>
      </c>
      <c r="E1239">
        <v>1</v>
      </c>
      <c r="F1239">
        <v>0</v>
      </c>
      <c r="G1239">
        <v>11</v>
      </c>
      <c r="H1239" t="s">
        <v>37</v>
      </c>
      <c r="I1239" t="s">
        <v>77</v>
      </c>
      <c r="J1239">
        <v>511</v>
      </c>
      <c r="K1239">
        <v>8.3000000000000007</v>
      </c>
      <c r="L1239">
        <v>4241.3</v>
      </c>
    </row>
    <row r="1240" spans="1:12" x14ac:dyDescent="0.3">
      <c r="A1240">
        <v>12</v>
      </c>
      <c r="B1240">
        <v>23</v>
      </c>
      <c r="C1240">
        <v>1</v>
      </c>
      <c r="D1240">
        <v>8</v>
      </c>
      <c r="E1240">
        <v>1</v>
      </c>
      <c r="G1240">
        <v>11</v>
      </c>
      <c r="H1240" t="s">
        <v>19</v>
      </c>
      <c r="I1240" t="s">
        <v>106</v>
      </c>
      <c r="J1240">
        <v>368</v>
      </c>
      <c r="K1240" t="s">
        <v>236</v>
      </c>
      <c r="L1240">
        <v>3275.2</v>
      </c>
    </row>
    <row r="1241" spans="1:12" x14ac:dyDescent="0.3">
      <c r="A1241">
        <v>8</v>
      </c>
      <c r="B1241">
        <v>17</v>
      </c>
      <c r="C1241">
        <v>3</v>
      </c>
      <c r="D1241">
        <v>21</v>
      </c>
      <c r="E1241">
        <v>1</v>
      </c>
      <c r="F1241">
        <v>0</v>
      </c>
      <c r="G1241">
        <v>1</v>
      </c>
      <c r="H1241" t="s">
        <v>26</v>
      </c>
      <c r="I1241" t="s">
        <v>108</v>
      </c>
      <c r="J1241">
        <v>386</v>
      </c>
      <c r="K1241">
        <v>8.5</v>
      </c>
      <c r="L1241">
        <v>3281</v>
      </c>
    </row>
    <row r="1242" spans="1:12" x14ac:dyDescent="0.3">
      <c r="A1242">
        <v>9</v>
      </c>
      <c r="B1242">
        <v>23</v>
      </c>
      <c r="D1242">
        <v>17</v>
      </c>
      <c r="E1242">
        <v>7</v>
      </c>
      <c r="F1242">
        <v>0</v>
      </c>
      <c r="G1242">
        <v>9</v>
      </c>
      <c r="H1242" t="s">
        <v>24</v>
      </c>
      <c r="I1242" t="s">
        <v>72</v>
      </c>
      <c r="J1242">
        <v>487</v>
      </c>
      <c r="K1242">
        <v>7.9</v>
      </c>
      <c r="L1242">
        <v>3847.3</v>
      </c>
    </row>
    <row r="1243" spans="1:12" x14ac:dyDescent="0.3">
      <c r="A1243">
        <v>21</v>
      </c>
      <c r="B1243">
        <v>22</v>
      </c>
      <c r="C1243">
        <v>0</v>
      </c>
      <c r="D1243">
        <v>5</v>
      </c>
      <c r="E1243">
        <v>1</v>
      </c>
      <c r="G1243">
        <v>10</v>
      </c>
      <c r="H1243" t="s">
        <v>22</v>
      </c>
      <c r="I1243" t="s">
        <v>93</v>
      </c>
      <c r="J1243">
        <v>545</v>
      </c>
      <c r="K1243">
        <v>7.8</v>
      </c>
      <c r="L1243">
        <v>4251</v>
      </c>
    </row>
    <row r="1244" spans="1:12" x14ac:dyDescent="0.3">
      <c r="A1244">
        <v>23</v>
      </c>
      <c r="B1244">
        <v>22</v>
      </c>
      <c r="C1244">
        <v>1</v>
      </c>
      <c r="D1244">
        <v>11</v>
      </c>
      <c r="E1244">
        <v>12</v>
      </c>
      <c r="F1244">
        <v>0</v>
      </c>
      <c r="G1244">
        <v>2</v>
      </c>
      <c r="H1244" t="s">
        <v>25</v>
      </c>
      <c r="I1244" t="s">
        <v>88</v>
      </c>
      <c r="J1244">
        <v>502</v>
      </c>
      <c r="K1244" t="s">
        <v>243</v>
      </c>
      <c r="L1244">
        <v>4066.2</v>
      </c>
    </row>
    <row r="1245" spans="1:12" x14ac:dyDescent="0.3">
      <c r="A1245">
        <v>11</v>
      </c>
      <c r="B1245">
        <v>23</v>
      </c>
      <c r="C1245">
        <v>1</v>
      </c>
      <c r="E1245">
        <v>1</v>
      </c>
      <c r="F1245">
        <v>0</v>
      </c>
      <c r="G1245">
        <v>12</v>
      </c>
      <c r="H1245" t="s">
        <v>38</v>
      </c>
      <c r="I1245" t="s">
        <v>72</v>
      </c>
      <c r="J1245">
        <v>384</v>
      </c>
      <c r="K1245">
        <v>7.4</v>
      </c>
      <c r="L1245">
        <v>2841.6</v>
      </c>
    </row>
    <row r="1246" spans="1:12" x14ac:dyDescent="0.3">
      <c r="A1246">
        <v>23</v>
      </c>
      <c r="B1246">
        <v>22</v>
      </c>
      <c r="C1246">
        <v>2</v>
      </c>
      <c r="D1246">
        <v>21</v>
      </c>
      <c r="E1246">
        <v>12</v>
      </c>
      <c r="F1246">
        <v>0</v>
      </c>
      <c r="G1246">
        <v>2</v>
      </c>
      <c r="H1246" t="s">
        <v>15</v>
      </c>
      <c r="I1246" t="s">
        <v>74</v>
      </c>
      <c r="J1246" t="s">
        <v>178</v>
      </c>
      <c r="K1246">
        <v>8.3000000000000007</v>
      </c>
      <c r="L1246">
        <v>5187.5</v>
      </c>
    </row>
    <row r="1247" spans="1:12" x14ac:dyDescent="0.3">
      <c r="A1247">
        <v>19</v>
      </c>
      <c r="B1247">
        <v>22</v>
      </c>
      <c r="C1247">
        <v>2</v>
      </c>
      <c r="D1247">
        <v>13</v>
      </c>
      <c r="E1247">
        <v>1</v>
      </c>
      <c r="F1247">
        <v>0</v>
      </c>
      <c r="G1247">
        <v>10</v>
      </c>
      <c r="H1247" t="s">
        <v>32</v>
      </c>
      <c r="I1247" t="s">
        <v>82</v>
      </c>
      <c r="J1247">
        <v>506</v>
      </c>
      <c r="K1247" t="s">
        <v>250</v>
      </c>
      <c r="L1247">
        <v>3845.6</v>
      </c>
    </row>
    <row r="1248" spans="1:12" x14ac:dyDescent="0.3">
      <c r="A1248">
        <v>10</v>
      </c>
      <c r="B1248">
        <v>21</v>
      </c>
      <c r="C1248">
        <v>2</v>
      </c>
      <c r="D1248">
        <v>6</v>
      </c>
      <c r="E1248">
        <v>1</v>
      </c>
      <c r="F1248">
        <v>0</v>
      </c>
      <c r="G1248">
        <v>3</v>
      </c>
      <c r="H1248" t="s">
        <v>55</v>
      </c>
      <c r="I1248" t="s">
        <v>82</v>
      </c>
      <c r="J1248">
        <v>374</v>
      </c>
      <c r="K1248">
        <v>7.8</v>
      </c>
      <c r="L1248">
        <v>2917.2</v>
      </c>
    </row>
    <row r="1249" spans="1:12" x14ac:dyDescent="0.3">
      <c r="A1249">
        <v>14</v>
      </c>
      <c r="B1249">
        <v>22</v>
      </c>
      <c r="C1249">
        <v>0</v>
      </c>
      <c r="E1249">
        <v>12</v>
      </c>
      <c r="F1249">
        <v>0</v>
      </c>
      <c r="G1249">
        <v>2</v>
      </c>
      <c r="H1249" t="s">
        <v>51</v>
      </c>
      <c r="I1249" t="s">
        <v>83</v>
      </c>
      <c r="J1249">
        <v>468</v>
      </c>
      <c r="K1249">
        <v>8.8000000000000007</v>
      </c>
      <c r="L1249">
        <v>4118.3999999999996</v>
      </c>
    </row>
    <row r="1250" spans="1:12" x14ac:dyDescent="0.3">
      <c r="A1250">
        <v>16</v>
      </c>
      <c r="B1250">
        <v>23</v>
      </c>
      <c r="C1250">
        <v>1</v>
      </c>
      <c r="D1250">
        <v>16</v>
      </c>
      <c r="E1250">
        <v>1</v>
      </c>
      <c r="F1250">
        <v>0</v>
      </c>
      <c r="G1250">
        <v>4</v>
      </c>
      <c r="H1250" t="s">
        <v>24</v>
      </c>
      <c r="I1250" t="s">
        <v>97</v>
      </c>
      <c r="J1250">
        <v>663</v>
      </c>
      <c r="K1250">
        <v>7.9</v>
      </c>
      <c r="L1250">
        <v>5237.7</v>
      </c>
    </row>
    <row r="1251" spans="1:12" x14ac:dyDescent="0.3">
      <c r="A1251">
        <v>10</v>
      </c>
      <c r="B1251">
        <v>21</v>
      </c>
      <c r="C1251">
        <v>3</v>
      </c>
      <c r="D1251">
        <v>11</v>
      </c>
      <c r="E1251">
        <v>1</v>
      </c>
      <c r="F1251">
        <v>0</v>
      </c>
      <c r="G1251">
        <v>6</v>
      </c>
      <c r="H1251" t="s">
        <v>43</v>
      </c>
      <c r="I1251" t="s">
        <v>73</v>
      </c>
      <c r="J1251">
        <v>515</v>
      </c>
      <c r="K1251" t="s">
        <v>250</v>
      </c>
      <c r="L1251">
        <v>3914</v>
      </c>
    </row>
    <row r="1252" spans="1:12" x14ac:dyDescent="0.3">
      <c r="A1252">
        <v>15</v>
      </c>
      <c r="B1252">
        <v>23</v>
      </c>
      <c r="C1252">
        <v>0</v>
      </c>
      <c r="D1252">
        <v>12</v>
      </c>
      <c r="E1252">
        <v>1</v>
      </c>
      <c r="F1252">
        <v>0</v>
      </c>
      <c r="G1252">
        <v>12</v>
      </c>
      <c r="H1252" t="s">
        <v>51</v>
      </c>
      <c r="I1252" t="s">
        <v>88</v>
      </c>
      <c r="J1252">
        <v>529</v>
      </c>
      <c r="K1252">
        <v>8.8000000000000007</v>
      </c>
      <c r="L1252">
        <v>4655.2</v>
      </c>
    </row>
    <row r="1253" spans="1:12" x14ac:dyDescent="0.3">
      <c r="A1253">
        <v>10</v>
      </c>
      <c r="C1253">
        <v>2</v>
      </c>
      <c r="D1253">
        <v>12</v>
      </c>
      <c r="E1253">
        <v>1</v>
      </c>
      <c r="F1253">
        <v>0</v>
      </c>
      <c r="G1253">
        <v>6</v>
      </c>
      <c r="H1253" t="s">
        <v>20</v>
      </c>
      <c r="I1253" t="s">
        <v>80</v>
      </c>
      <c r="J1253">
        <v>301</v>
      </c>
      <c r="K1253">
        <v>9.1</v>
      </c>
      <c r="L1253" t="s">
        <v>321</v>
      </c>
    </row>
    <row r="1254" spans="1:12" x14ac:dyDescent="0.3">
      <c r="A1254">
        <v>21</v>
      </c>
      <c r="B1254">
        <v>23</v>
      </c>
      <c r="C1254">
        <v>0</v>
      </c>
      <c r="D1254">
        <v>12</v>
      </c>
      <c r="E1254">
        <v>1</v>
      </c>
      <c r="F1254">
        <v>0</v>
      </c>
      <c r="G1254">
        <v>1</v>
      </c>
      <c r="H1254" t="s">
        <v>16</v>
      </c>
      <c r="I1254" t="s">
        <v>131</v>
      </c>
      <c r="J1254">
        <v>463</v>
      </c>
      <c r="K1254">
        <v>8.9</v>
      </c>
      <c r="L1254">
        <v>4120.7</v>
      </c>
    </row>
    <row r="1255" spans="1:12" x14ac:dyDescent="0.3">
      <c r="A1255">
        <v>9</v>
      </c>
      <c r="B1255">
        <v>20</v>
      </c>
      <c r="C1255">
        <v>3</v>
      </c>
      <c r="D1255">
        <v>8</v>
      </c>
      <c r="E1255">
        <v>1</v>
      </c>
      <c r="F1255">
        <v>0</v>
      </c>
      <c r="G1255">
        <v>12</v>
      </c>
      <c r="H1255" t="s">
        <v>18</v>
      </c>
      <c r="I1255" t="s">
        <v>72</v>
      </c>
      <c r="J1255">
        <v>418</v>
      </c>
      <c r="K1255">
        <v>7.7</v>
      </c>
      <c r="L1255">
        <v>3218.6</v>
      </c>
    </row>
    <row r="1256" spans="1:12" x14ac:dyDescent="0.3">
      <c r="A1256">
        <v>7</v>
      </c>
      <c r="B1256">
        <v>21</v>
      </c>
      <c r="C1256">
        <v>3</v>
      </c>
      <c r="D1256">
        <v>11</v>
      </c>
      <c r="E1256">
        <v>1</v>
      </c>
      <c r="F1256">
        <v>0</v>
      </c>
      <c r="G1256">
        <v>10</v>
      </c>
      <c r="H1256" t="s">
        <v>25</v>
      </c>
      <c r="I1256" t="s">
        <v>105</v>
      </c>
      <c r="J1256">
        <v>584</v>
      </c>
      <c r="K1256">
        <v>8.1</v>
      </c>
      <c r="L1256">
        <v>4730.3999999999996</v>
      </c>
    </row>
    <row r="1257" spans="1:12" x14ac:dyDescent="0.3">
      <c r="A1257">
        <v>7</v>
      </c>
      <c r="B1257">
        <v>19</v>
      </c>
      <c r="C1257">
        <v>0</v>
      </c>
      <c r="D1257">
        <v>21</v>
      </c>
      <c r="E1257">
        <v>1</v>
      </c>
      <c r="F1257">
        <v>0</v>
      </c>
      <c r="G1257">
        <v>2</v>
      </c>
      <c r="I1257" t="s">
        <v>77</v>
      </c>
      <c r="J1257">
        <v>398</v>
      </c>
      <c r="K1257">
        <v>9.1</v>
      </c>
      <c r="L1257">
        <v>3621.7999999999902</v>
      </c>
    </row>
    <row r="1258" spans="1:12" x14ac:dyDescent="0.3">
      <c r="A1258">
        <v>12</v>
      </c>
      <c r="B1258">
        <v>22</v>
      </c>
      <c r="C1258">
        <v>0</v>
      </c>
      <c r="D1258">
        <v>21</v>
      </c>
      <c r="E1258">
        <v>1</v>
      </c>
      <c r="F1258">
        <v>0</v>
      </c>
      <c r="G1258">
        <v>5</v>
      </c>
      <c r="H1258" t="s">
        <v>12</v>
      </c>
      <c r="I1258" t="s">
        <v>96</v>
      </c>
      <c r="J1258">
        <v>536</v>
      </c>
      <c r="K1258">
        <v>8.1</v>
      </c>
    </row>
    <row r="1259" spans="1:12" x14ac:dyDescent="0.3">
      <c r="A1259">
        <v>5</v>
      </c>
      <c r="C1259">
        <v>0</v>
      </c>
      <c r="D1259">
        <v>15</v>
      </c>
      <c r="E1259">
        <v>1</v>
      </c>
      <c r="G1259">
        <v>11</v>
      </c>
      <c r="H1259" t="s">
        <v>36</v>
      </c>
      <c r="I1259" t="s">
        <v>106</v>
      </c>
      <c r="J1259">
        <v>395</v>
      </c>
      <c r="K1259">
        <v>8.8000000000000007</v>
      </c>
      <c r="L1259" t="s">
        <v>322</v>
      </c>
    </row>
    <row r="1260" spans="1:12" x14ac:dyDescent="0.3">
      <c r="A1260">
        <v>5</v>
      </c>
      <c r="B1260">
        <v>23</v>
      </c>
      <c r="C1260">
        <v>3</v>
      </c>
      <c r="D1260">
        <v>22</v>
      </c>
      <c r="E1260">
        <v>1</v>
      </c>
      <c r="F1260">
        <v>0</v>
      </c>
      <c r="H1260" t="s">
        <v>38</v>
      </c>
      <c r="I1260" t="s">
        <v>118</v>
      </c>
      <c r="J1260">
        <v>522</v>
      </c>
      <c r="K1260" t="s">
        <v>251</v>
      </c>
      <c r="L1260">
        <v>3862.8</v>
      </c>
    </row>
    <row r="1261" spans="1:12" x14ac:dyDescent="0.3">
      <c r="A1261">
        <v>14</v>
      </c>
      <c r="B1261">
        <v>23</v>
      </c>
      <c r="C1261">
        <v>1</v>
      </c>
      <c r="D1261">
        <v>13</v>
      </c>
      <c r="E1261">
        <v>1</v>
      </c>
      <c r="F1261">
        <v>0</v>
      </c>
      <c r="G1261">
        <v>8</v>
      </c>
      <c r="H1261" t="s">
        <v>23</v>
      </c>
      <c r="I1261" t="s">
        <v>104</v>
      </c>
      <c r="J1261">
        <v>456</v>
      </c>
      <c r="K1261">
        <v>8.4</v>
      </c>
      <c r="L1261">
        <v>3830.4</v>
      </c>
    </row>
    <row r="1262" spans="1:12" x14ac:dyDescent="0.3">
      <c r="A1262">
        <v>10</v>
      </c>
      <c r="B1262">
        <v>22</v>
      </c>
      <c r="C1262">
        <v>0</v>
      </c>
      <c r="D1262">
        <v>17</v>
      </c>
      <c r="E1262">
        <v>1</v>
      </c>
      <c r="F1262">
        <v>0</v>
      </c>
      <c r="G1262">
        <v>11</v>
      </c>
      <c r="H1262" t="s">
        <v>24</v>
      </c>
      <c r="I1262" t="s">
        <v>72</v>
      </c>
      <c r="J1262">
        <v>465</v>
      </c>
      <c r="K1262">
        <v>7.9</v>
      </c>
      <c r="L1262">
        <v>3673.5</v>
      </c>
    </row>
    <row r="1263" spans="1:12" x14ac:dyDescent="0.3">
      <c r="A1263">
        <v>21</v>
      </c>
      <c r="B1263">
        <v>23</v>
      </c>
      <c r="C1263">
        <v>3</v>
      </c>
      <c r="D1263">
        <v>12</v>
      </c>
      <c r="E1263">
        <v>1</v>
      </c>
      <c r="F1263">
        <v>0</v>
      </c>
      <c r="H1263" t="s">
        <v>35</v>
      </c>
      <c r="I1263" t="s">
        <v>92</v>
      </c>
      <c r="J1263">
        <v>683</v>
      </c>
      <c r="K1263">
        <v>8.1999999999999993</v>
      </c>
      <c r="L1263">
        <v>5600.5999999999904</v>
      </c>
    </row>
    <row r="1264" spans="1:12" x14ac:dyDescent="0.3">
      <c r="A1264">
        <v>7</v>
      </c>
      <c r="B1264">
        <v>17</v>
      </c>
      <c r="C1264">
        <v>2</v>
      </c>
      <c r="D1264">
        <v>10</v>
      </c>
      <c r="E1264">
        <v>1</v>
      </c>
      <c r="F1264">
        <v>0</v>
      </c>
      <c r="G1264">
        <v>7</v>
      </c>
      <c r="H1264" t="s">
        <v>58</v>
      </c>
      <c r="J1264">
        <v>370</v>
      </c>
      <c r="K1264" t="s">
        <v>143</v>
      </c>
      <c r="L1264">
        <v>3108</v>
      </c>
    </row>
    <row r="1265" spans="1:12" x14ac:dyDescent="0.3">
      <c r="B1265">
        <v>22</v>
      </c>
      <c r="C1265">
        <v>2</v>
      </c>
      <c r="D1265">
        <v>6</v>
      </c>
      <c r="E1265">
        <v>12</v>
      </c>
      <c r="F1265">
        <v>0</v>
      </c>
      <c r="G1265">
        <v>3</v>
      </c>
      <c r="H1265" t="s">
        <v>27</v>
      </c>
      <c r="I1265" t="s">
        <v>81</v>
      </c>
      <c r="J1265">
        <v>696</v>
      </c>
      <c r="K1265">
        <v>8.4</v>
      </c>
      <c r="L1265" t="s">
        <v>323</v>
      </c>
    </row>
    <row r="1266" spans="1:12" x14ac:dyDescent="0.3">
      <c r="C1266">
        <v>3</v>
      </c>
      <c r="D1266">
        <v>11</v>
      </c>
      <c r="E1266">
        <v>1</v>
      </c>
      <c r="G1266">
        <v>5</v>
      </c>
      <c r="H1266" t="s">
        <v>35</v>
      </c>
      <c r="I1266" t="s">
        <v>96</v>
      </c>
      <c r="J1266">
        <v>483</v>
      </c>
      <c r="K1266">
        <v>8.1999999999999993</v>
      </c>
      <c r="L1266">
        <v>3960.5999999999899</v>
      </c>
    </row>
    <row r="1267" spans="1:12" x14ac:dyDescent="0.3">
      <c r="A1267">
        <v>11</v>
      </c>
      <c r="B1267">
        <v>23</v>
      </c>
      <c r="C1267">
        <v>1</v>
      </c>
      <c r="D1267">
        <v>21</v>
      </c>
      <c r="E1267">
        <v>1</v>
      </c>
      <c r="F1267">
        <v>0</v>
      </c>
      <c r="G1267">
        <v>6</v>
      </c>
      <c r="H1267" t="s">
        <v>26</v>
      </c>
      <c r="I1267" t="s">
        <v>84</v>
      </c>
      <c r="J1267">
        <v>432</v>
      </c>
      <c r="K1267">
        <v>8.5</v>
      </c>
      <c r="L1267">
        <v>3672</v>
      </c>
    </row>
    <row r="1268" spans="1:12" x14ac:dyDescent="0.3">
      <c r="A1268">
        <v>7</v>
      </c>
      <c r="B1268">
        <v>17</v>
      </c>
      <c r="C1268">
        <v>1</v>
      </c>
      <c r="D1268">
        <v>21</v>
      </c>
      <c r="E1268">
        <v>1</v>
      </c>
      <c r="F1268">
        <v>0</v>
      </c>
      <c r="G1268">
        <v>2</v>
      </c>
      <c r="H1268" t="s">
        <v>68</v>
      </c>
      <c r="I1268" t="s">
        <v>107</v>
      </c>
      <c r="J1268">
        <v>432</v>
      </c>
      <c r="K1268">
        <v>8.1</v>
      </c>
      <c r="L1268">
        <v>3499.2</v>
      </c>
    </row>
    <row r="1269" spans="1:12" x14ac:dyDescent="0.3">
      <c r="C1269">
        <v>2</v>
      </c>
      <c r="D1269">
        <v>8</v>
      </c>
      <c r="E1269">
        <v>1</v>
      </c>
      <c r="F1269">
        <v>0</v>
      </c>
      <c r="G1269">
        <v>2</v>
      </c>
      <c r="H1269" t="s">
        <v>22</v>
      </c>
      <c r="I1269" t="s">
        <v>84</v>
      </c>
      <c r="J1269">
        <v>362</v>
      </c>
      <c r="K1269">
        <v>7.8</v>
      </c>
      <c r="L1269" t="s">
        <v>324</v>
      </c>
    </row>
    <row r="1270" spans="1:12" x14ac:dyDescent="0.3">
      <c r="A1270">
        <v>10</v>
      </c>
      <c r="B1270">
        <v>19</v>
      </c>
      <c r="C1270">
        <v>2</v>
      </c>
      <c r="D1270">
        <v>3</v>
      </c>
      <c r="E1270">
        <v>7</v>
      </c>
      <c r="F1270">
        <v>0</v>
      </c>
      <c r="G1270">
        <v>11</v>
      </c>
      <c r="H1270" t="s">
        <v>30</v>
      </c>
      <c r="I1270" t="s">
        <v>105</v>
      </c>
      <c r="J1270">
        <v>326</v>
      </c>
      <c r="K1270">
        <v>9.1999999999999993</v>
      </c>
      <c r="L1270">
        <v>2999.2</v>
      </c>
    </row>
    <row r="1271" spans="1:12" x14ac:dyDescent="0.3">
      <c r="A1271">
        <v>13</v>
      </c>
      <c r="B1271">
        <v>22</v>
      </c>
      <c r="C1271">
        <v>3</v>
      </c>
      <c r="E1271">
        <v>1</v>
      </c>
      <c r="F1271">
        <v>0</v>
      </c>
      <c r="G1271">
        <v>11</v>
      </c>
      <c r="H1271" t="s">
        <v>20</v>
      </c>
      <c r="I1271" t="s">
        <v>78</v>
      </c>
      <c r="J1271">
        <v>490</v>
      </c>
      <c r="K1271">
        <v>9.1</v>
      </c>
      <c r="L1271">
        <v>4459</v>
      </c>
    </row>
    <row r="1272" spans="1:12" x14ac:dyDescent="0.3">
      <c r="A1272">
        <v>22</v>
      </c>
      <c r="B1272">
        <v>22</v>
      </c>
      <c r="C1272">
        <v>0</v>
      </c>
      <c r="D1272">
        <v>15</v>
      </c>
      <c r="E1272">
        <v>1</v>
      </c>
      <c r="F1272">
        <v>0</v>
      </c>
      <c r="G1272">
        <v>8</v>
      </c>
      <c r="H1272" t="s">
        <v>40</v>
      </c>
      <c r="J1272">
        <v>444</v>
      </c>
      <c r="K1272">
        <v>7.4</v>
      </c>
      <c r="L1272">
        <v>3285.6</v>
      </c>
    </row>
    <row r="1273" spans="1:12" x14ac:dyDescent="0.3">
      <c r="A1273">
        <v>10</v>
      </c>
      <c r="B1273">
        <v>17</v>
      </c>
      <c r="C1273">
        <v>3</v>
      </c>
      <c r="D1273">
        <v>20</v>
      </c>
      <c r="E1273">
        <v>1</v>
      </c>
      <c r="F1273">
        <v>0</v>
      </c>
      <c r="G1273">
        <v>8</v>
      </c>
      <c r="H1273" t="s">
        <v>26</v>
      </c>
      <c r="I1273" t="s">
        <v>106</v>
      </c>
      <c r="J1273">
        <v>424</v>
      </c>
      <c r="K1273">
        <v>8.5</v>
      </c>
      <c r="L1273">
        <v>3604</v>
      </c>
    </row>
    <row r="1274" spans="1:12" x14ac:dyDescent="0.3">
      <c r="A1274">
        <v>18</v>
      </c>
      <c r="B1274">
        <v>23</v>
      </c>
      <c r="C1274">
        <v>2</v>
      </c>
      <c r="D1274">
        <v>13</v>
      </c>
      <c r="E1274">
        <v>12</v>
      </c>
      <c r="F1274">
        <v>0</v>
      </c>
      <c r="G1274">
        <v>3</v>
      </c>
      <c r="H1274" t="s">
        <v>64</v>
      </c>
      <c r="I1274" t="s">
        <v>80</v>
      </c>
      <c r="J1274">
        <v>704</v>
      </c>
      <c r="K1274">
        <v>8.1999999999999993</v>
      </c>
      <c r="L1274">
        <v>5772.7999999999902</v>
      </c>
    </row>
    <row r="1275" spans="1:12" x14ac:dyDescent="0.3">
      <c r="A1275">
        <v>10</v>
      </c>
      <c r="B1275">
        <v>23</v>
      </c>
      <c r="C1275">
        <v>0</v>
      </c>
      <c r="D1275">
        <v>18</v>
      </c>
      <c r="E1275">
        <v>7</v>
      </c>
      <c r="F1275">
        <v>0</v>
      </c>
      <c r="G1275">
        <v>1</v>
      </c>
      <c r="H1275" t="s">
        <v>32</v>
      </c>
      <c r="I1275" t="s">
        <v>85</v>
      </c>
      <c r="J1275">
        <v>578</v>
      </c>
      <c r="K1275" t="s">
        <v>250</v>
      </c>
      <c r="L1275">
        <v>4392.8</v>
      </c>
    </row>
    <row r="1276" spans="1:12" x14ac:dyDescent="0.3">
      <c r="A1276">
        <v>11</v>
      </c>
      <c r="B1276">
        <v>23</v>
      </c>
      <c r="C1276">
        <v>0</v>
      </c>
      <c r="D1276">
        <v>22</v>
      </c>
      <c r="E1276">
        <v>1</v>
      </c>
      <c r="F1276">
        <v>0</v>
      </c>
      <c r="G1276">
        <v>4</v>
      </c>
      <c r="H1276" t="s">
        <v>35</v>
      </c>
      <c r="I1276" t="s">
        <v>105</v>
      </c>
      <c r="J1276">
        <v>440</v>
      </c>
      <c r="K1276" t="s">
        <v>249</v>
      </c>
      <c r="L1276">
        <v>3607.99999999999</v>
      </c>
    </row>
    <row r="1277" spans="1:12" x14ac:dyDescent="0.3">
      <c r="A1277">
        <v>6</v>
      </c>
      <c r="B1277">
        <v>22</v>
      </c>
      <c r="C1277">
        <v>0</v>
      </c>
      <c r="D1277">
        <v>11</v>
      </c>
      <c r="E1277">
        <v>1</v>
      </c>
      <c r="F1277">
        <v>0</v>
      </c>
      <c r="G1277">
        <v>8</v>
      </c>
      <c r="H1277" t="s">
        <v>22</v>
      </c>
      <c r="I1277" t="s">
        <v>73</v>
      </c>
      <c r="J1277">
        <v>434</v>
      </c>
      <c r="K1277">
        <v>7.8</v>
      </c>
      <c r="L1277">
        <v>3385.2</v>
      </c>
    </row>
    <row r="1278" spans="1:12" x14ac:dyDescent="0.3">
      <c r="A1278">
        <v>13</v>
      </c>
      <c r="B1278">
        <v>23</v>
      </c>
      <c r="C1278">
        <v>2</v>
      </c>
      <c r="D1278">
        <v>9</v>
      </c>
      <c r="E1278">
        <v>1</v>
      </c>
      <c r="F1278">
        <v>0</v>
      </c>
      <c r="G1278">
        <v>4</v>
      </c>
      <c r="H1278" t="s">
        <v>16</v>
      </c>
      <c r="I1278" t="s">
        <v>70</v>
      </c>
      <c r="J1278">
        <v>395</v>
      </c>
      <c r="K1278">
        <v>8.9</v>
      </c>
      <c r="L1278">
        <v>3515.5</v>
      </c>
    </row>
    <row r="1279" spans="1:12" x14ac:dyDescent="0.3">
      <c r="A1279">
        <v>11</v>
      </c>
      <c r="B1279">
        <v>23</v>
      </c>
      <c r="C1279">
        <v>3</v>
      </c>
      <c r="D1279">
        <v>21</v>
      </c>
      <c r="E1279">
        <v>1</v>
      </c>
      <c r="F1279">
        <v>0</v>
      </c>
      <c r="G1279">
        <v>10</v>
      </c>
      <c r="H1279" t="s">
        <v>20</v>
      </c>
      <c r="I1279" t="s">
        <v>104</v>
      </c>
      <c r="J1279">
        <v>573</v>
      </c>
      <c r="K1279">
        <v>9.1</v>
      </c>
      <c r="L1279">
        <v>5214.3</v>
      </c>
    </row>
    <row r="1280" spans="1:12" x14ac:dyDescent="0.3">
      <c r="A1280">
        <v>12</v>
      </c>
      <c r="B1280">
        <v>22</v>
      </c>
      <c r="C1280">
        <v>0</v>
      </c>
      <c r="D1280">
        <v>13</v>
      </c>
      <c r="E1280">
        <v>1</v>
      </c>
      <c r="F1280">
        <v>0</v>
      </c>
      <c r="G1280">
        <v>1</v>
      </c>
      <c r="H1280" t="s">
        <v>22</v>
      </c>
      <c r="I1280" t="s">
        <v>107</v>
      </c>
      <c r="K1280" t="s">
        <v>240</v>
      </c>
    </row>
    <row r="1281" spans="1:12" x14ac:dyDescent="0.3">
      <c r="A1281">
        <v>14</v>
      </c>
      <c r="B1281">
        <v>23</v>
      </c>
      <c r="C1281">
        <v>3</v>
      </c>
      <c r="D1281">
        <v>16</v>
      </c>
      <c r="F1281">
        <v>0</v>
      </c>
      <c r="G1281">
        <v>2</v>
      </c>
      <c r="H1281" t="s">
        <v>21</v>
      </c>
      <c r="J1281">
        <v>534</v>
      </c>
      <c r="K1281">
        <v>8.6999999999999993</v>
      </c>
      <c r="L1281">
        <v>4645.7999999999902</v>
      </c>
    </row>
    <row r="1282" spans="1:12" x14ac:dyDescent="0.3">
      <c r="A1282">
        <v>14</v>
      </c>
      <c r="B1282">
        <v>23</v>
      </c>
      <c r="C1282">
        <v>2</v>
      </c>
      <c r="D1282">
        <v>9</v>
      </c>
      <c r="E1282">
        <v>12</v>
      </c>
      <c r="F1282">
        <v>0</v>
      </c>
      <c r="G1282">
        <v>8</v>
      </c>
      <c r="H1282" t="s">
        <v>30</v>
      </c>
      <c r="I1282" t="s">
        <v>97</v>
      </c>
      <c r="J1282">
        <v>750</v>
      </c>
      <c r="K1282">
        <v>9.1999999999999993</v>
      </c>
      <c r="L1282">
        <v>6899.99999999999</v>
      </c>
    </row>
    <row r="1283" spans="1:12" x14ac:dyDescent="0.3">
      <c r="A1283">
        <v>22</v>
      </c>
      <c r="B1283">
        <v>22</v>
      </c>
      <c r="C1283">
        <v>0</v>
      </c>
      <c r="D1283">
        <v>8</v>
      </c>
      <c r="E1283">
        <v>1</v>
      </c>
      <c r="F1283">
        <v>0</v>
      </c>
      <c r="H1283" t="s">
        <v>20</v>
      </c>
      <c r="I1283" t="s">
        <v>78</v>
      </c>
      <c r="J1283">
        <v>494</v>
      </c>
      <c r="K1283">
        <v>9.1</v>
      </c>
      <c r="L1283">
        <v>4495.3999999999996</v>
      </c>
    </row>
    <row r="1284" spans="1:12" x14ac:dyDescent="0.3">
      <c r="A1284">
        <v>15</v>
      </c>
      <c r="B1284">
        <v>23</v>
      </c>
      <c r="C1284">
        <v>2</v>
      </c>
      <c r="D1284">
        <v>6</v>
      </c>
      <c r="E1284">
        <v>1</v>
      </c>
      <c r="F1284">
        <v>0</v>
      </c>
      <c r="G1284">
        <v>5</v>
      </c>
      <c r="H1284" t="s">
        <v>30</v>
      </c>
      <c r="I1284" t="s">
        <v>75</v>
      </c>
      <c r="J1284">
        <v>506</v>
      </c>
      <c r="K1284">
        <v>9.1999999999999993</v>
      </c>
      <c r="L1284">
        <v>4655.2</v>
      </c>
    </row>
    <row r="1285" spans="1:12" x14ac:dyDescent="0.3">
      <c r="A1285">
        <v>23</v>
      </c>
      <c r="B1285">
        <v>23</v>
      </c>
      <c r="C1285">
        <v>1</v>
      </c>
      <c r="D1285">
        <v>20</v>
      </c>
      <c r="E1285">
        <v>1</v>
      </c>
      <c r="F1285">
        <v>0</v>
      </c>
      <c r="G1285">
        <v>2</v>
      </c>
      <c r="H1285" t="s">
        <v>30</v>
      </c>
      <c r="I1285" t="s">
        <v>78</v>
      </c>
      <c r="J1285">
        <v>590</v>
      </c>
      <c r="K1285">
        <v>9.1999999999999993</v>
      </c>
      <c r="L1285" t="s">
        <v>325</v>
      </c>
    </row>
    <row r="1286" spans="1:12" x14ac:dyDescent="0.3">
      <c r="A1286">
        <v>6</v>
      </c>
      <c r="B1286">
        <v>21</v>
      </c>
      <c r="C1286">
        <v>2</v>
      </c>
      <c r="D1286">
        <v>3</v>
      </c>
      <c r="E1286">
        <v>7</v>
      </c>
      <c r="F1286">
        <v>0</v>
      </c>
      <c r="G1286">
        <v>5</v>
      </c>
      <c r="H1286" t="s">
        <v>24</v>
      </c>
      <c r="I1286" t="s">
        <v>104</v>
      </c>
      <c r="J1286">
        <v>398</v>
      </c>
      <c r="K1286">
        <v>7.9</v>
      </c>
      <c r="L1286">
        <v>3144.2</v>
      </c>
    </row>
    <row r="1287" spans="1:12" x14ac:dyDescent="0.3">
      <c r="A1287">
        <v>22</v>
      </c>
      <c r="B1287">
        <v>23</v>
      </c>
      <c r="C1287">
        <v>3</v>
      </c>
      <c r="D1287">
        <v>8</v>
      </c>
      <c r="E1287">
        <v>1</v>
      </c>
      <c r="F1287">
        <v>0</v>
      </c>
      <c r="G1287">
        <v>6</v>
      </c>
      <c r="H1287" t="s">
        <v>22</v>
      </c>
      <c r="I1287" t="s">
        <v>78</v>
      </c>
      <c r="J1287">
        <v>433</v>
      </c>
      <c r="K1287">
        <v>7.8</v>
      </c>
      <c r="L1287">
        <v>3377.4</v>
      </c>
    </row>
    <row r="1288" spans="1:12" x14ac:dyDescent="0.3">
      <c r="A1288">
        <v>22</v>
      </c>
      <c r="B1288">
        <v>23</v>
      </c>
      <c r="C1288">
        <v>2</v>
      </c>
      <c r="D1288">
        <v>15</v>
      </c>
      <c r="E1288">
        <v>1</v>
      </c>
      <c r="F1288">
        <v>0</v>
      </c>
      <c r="G1288">
        <v>3</v>
      </c>
      <c r="H1288" t="s">
        <v>24</v>
      </c>
      <c r="I1288" t="s">
        <v>95</v>
      </c>
      <c r="J1288">
        <v>595</v>
      </c>
      <c r="K1288">
        <v>7.9</v>
      </c>
      <c r="L1288">
        <v>4700.5</v>
      </c>
    </row>
    <row r="1289" spans="1:12" x14ac:dyDescent="0.3">
      <c r="A1289">
        <v>15</v>
      </c>
      <c r="B1289">
        <v>22</v>
      </c>
      <c r="C1289">
        <v>3</v>
      </c>
      <c r="E1289">
        <v>1</v>
      </c>
      <c r="F1289">
        <v>0</v>
      </c>
      <c r="G1289">
        <v>11</v>
      </c>
      <c r="H1289" t="s">
        <v>18</v>
      </c>
      <c r="I1289" t="s">
        <v>73</v>
      </c>
      <c r="J1289">
        <v>553</v>
      </c>
      <c r="K1289">
        <v>7.7</v>
      </c>
      <c r="L1289">
        <v>4258.1000000000004</v>
      </c>
    </row>
    <row r="1290" spans="1:12" x14ac:dyDescent="0.3">
      <c r="A1290">
        <v>13</v>
      </c>
      <c r="D1290">
        <v>4</v>
      </c>
      <c r="E1290">
        <v>1</v>
      </c>
      <c r="F1290">
        <v>0</v>
      </c>
      <c r="G1290">
        <v>8</v>
      </c>
      <c r="H1290" t="s">
        <v>32</v>
      </c>
      <c r="J1290">
        <v>527</v>
      </c>
      <c r="K1290">
        <v>7.6</v>
      </c>
      <c r="L1290">
        <v>4005.2</v>
      </c>
    </row>
    <row r="1291" spans="1:12" x14ac:dyDescent="0.3">
      <c r="A1291">
        <v>23</v>
      </c>
      <c r="B1291">
        <v>22</v>
      </c>
      <c r="C1291">
        <v>3</v>
      </c>
      <c r="D1291">
        <v>14</v>
      </c>
      <c r="E1291">
        <v>1</v>
      </c>
      <c r="F1291">
        <v>0</v>
      </c>
      <c r="G1291">
        <v>11</v>
      </c>
      <c r="H1291" t="s">
        <v>51</v>
      </c>
      <c r="I1291" t="s">
        <v>74</v>
      </c>
      <c r="J1291">
        <v>567</v>
      </c>
      <c r="K1291">
        <v>8.8000000000000007</v>
      </c>
      <c r="L1291">
        <v>4989.6000000000004</v>
      </c>
    </row>
    <row r="1292" spans="1:12" x14ac:dyDescent="0.3">
      <c r="A1292">
        <v>14</v>
      </c>
      <c r="B1292">
        <v>23</v>
      </c>
      <c r="C1292">
        <v>2</v>
      </c>
      <c r="D1292">
        <v>10</v>
      </c>
      <c r="E1292">
        <v>1</v>
      </c>
      <c r="F1292">
        <v>0</v>
      </c>
      <c r="G1292">
        <v>8</v>
      </c>
      <c r="H1292" t="s">
        <v>36</v>
      </c>
      <c r="I1292" t="s">
        <v>87</v>
      </c>
      <c r="J1292">
        <v>432</v>
      </c>
      <c r="K1292">
        <v>8.8000000000000007</v>
      </c>
      <c r="L1292">
        <v>3801.6</v>
      </c>
    </row>
    <row r="1293" spans="1:12" x14ac:dyDescent="0.3">
      <c r="A1293">
        <v>8</v>
      </c>
      <c r="B1293">
        <v>23</v>
      </c>
      <c r="C1293">
        <v>2</v>
      </c>
      <c r="D1293">
        <v>5</v>
      </c>
      <c r="E1293">
        <v>1</v>
      </c>
      <c r="F1293">
        <v>0</v>
      </c>
      <c r="G1293">
        <v>9</v>
      </c>
      <c r="H1293" t="s">
        <v>20</v>
      </c>
      <c r="I1293" t="s">
        <v>94</v>
      </c>
      <c r="J1293">
        <v>479</v>
      </c>
      <c r="K1293">
        <v>9.1</v>
      </c>
      <c r="L1293">
        <v>4358.8999999999996</v>
      </c>
    </row>
    <row r="1294" spans="1:12" x14ac:dyDescent="0.3">
      <c r="A1294">
        <v>13</v>
      </c>
      <c r="B1294">
        <v>23</v>
      </c>
      <c r="C1294">
        <v>2</v>
      </c>
      <c r="D1294">
        <v>8</v>
      </c>
      <c r="E1294">
        <v>1</v>
      </c>
      <c r="F1294">
        <v>0</v>
      </c>
      <c r="G1294">
        <v>10</v>
      </c>
      <c r="H1294" t="s">
        <v>21</v>
      </c>
      <c r="I1294" t="s">
        <v>73</v>
      </c>
      <c r="J1294">
        <v>633</v>
      </c>
      <c r="L1294">
        <v>5507.0999999999904</v>
      </c>
    </row>
    <row r="1295" spans="1:12" x14ac:dyDescent="0.3">
      <c r="A1295">
        <v>8</v>
      </c>
      <c r="C1295">
        <v>0</v>
      </c>
      <c r="D1295">
        <v>13</v>
      </c>
      <c r="E1295">
        <v>1</v>
      </c>
      <c r="F1295">
        <v>0</v>
      </c>
      <c r="G1295">
        <v>9</v>
      </c>
      <c r="H1295" t="s">
        <v>38</v>
      </c>
      <c r="I1295" t="s">
        <v>76</v>
      </c>
      <c r="J1295">
        <v>495</v>
      </c>
      <c r="K1295">
        <v>7.4</v>
      </c>
      <c r="L1295">
        <v>3663</v>
      </c>
    </row>
    <row r="1296" spans="1:12" x14ac:dyDescent="0.3">
      <c r="A1296">
        <v>21</v>
      </c>
      <c r="B1296">
        <v>23</v>
      </c>
      <c r="C1296">
        <v>1</v>
      </c>
      <c r="D1296">
        <v>11</v>
      </c>
      <c r="E1296">
        <v>1</v>
      </c>
      <c r="F1296">
        <v>0</v>
      </c>
      <c r="G1296">
        <v>2</v>
      </c>
      <c r="I1296" t="s">
        <v>109</v>
      </c>
      <c r="J1296">
        <v>619</v>
      </c>
      <c r="K1296">
        <v>9.1</v>
      </c>
    </row>
    <row r="1297" spans="1:12" x14ac:dyDescent="0.3">
      <c r="A1297">
        <v>23</v>
      </c>
      <c r="B1297">
        <v>23</v>
      </c>
      <c r="C1297">
        <v>3</v>
      </c>
      <c r="D1297">
        <v>5</v>
      </c>
      <c r="E1297">
        <v>1</v>
      </c>
      <c r="F1297">
        <v>0</v>
      </c>
      <c r="G1297">
        <v>8</v>
      </c>
      <c r="H1297" t="s">
        <v>36</v>
      </c>
      <c r="I1297" t="s">
        <v>123</v>
      </c>
      <c r="J1297">
        <v>606</v>
      </c>
      <c r="K1297">
        <v>8.8000000000000007</v>
      </c>
      <c r="L1297">
        <v>5332.8</v>
      </c>
    </row>
    <row r="1298" spans="1:12" x14ac:dyDescent="0.3">
      <c r="A1298">
        <v>16</v>
      </c>
      <c r="B1298">
        <v>23</v>
      </c>
      <c r="C1298">
        <v>1</v>
      </c>
      <c r="D1298">
        <v>12</v>
      </c>
      <c r="E1298">
        <v>1</v>
      </c>
      <c r="F1298">
        <v>0</v>
      </c>
      <c r="G1298">
        <v>9</v>
      </c>
      <c r="H1298" t="s">
        <v>50</v>
      </c>
      <c r="I1298" t="s">
        <v>77</v>
      </c>
      <c r="K1298">
        <v>9.3000000000000007</v>
      </c>
      <c r="L1298">
        <v>4333.8</v>
      </c>
    </row>
    <row r="1299" spans="1:12" x14ac:dyDescent="0.3">
      <c r="A1299">
        <v>11</v>
      </c>
      <c r="B1299">
        <v>22</v>
      </c>
      <c r="C1299">
        <v>0</v>
      </c>
      <c r="D1299">
        <v>9</v>
      </c>
      <c r="E1299">
        <v>1</v>
      </c>
      <c r="F1299">
        <v>0</v>
      </c>
      <c r="G1299">
        <v>7</v>
      </c>
      <c r="H1299" t="s">
        <v>25</v>
      </c>
      <c r="I1299" t="s">
        <v>96</v>
      </c>
      <c r="J1299">
        <v>296</v>
      </c>
      <c r="K1299">
        <v>8.1</v>
      </c>
      <c r="L1299">
        <v>2397.6</v>
      </c>
    </row>
    <row r="1300" spans="1:12" x14ac:dyDescent="0.3">
      <c r="A1300">
        <v>5</v>
      </c>
      <c r="B1300">
        <v>21</v>
      </c>
      <c r="C1300">
        <v>2</v>
      </c>
      <c r="D1300">
        <v>15</v>
      </c>
      <c r="E1300">
        <v>1</v>
      </c>
      <c r="F1300">
        <v>0</v>
      </c>
      <c r="G1300">
        <v>7</v>
      </c>
      <c r="H1300" t="s">
        <v>32</v>
      </c>
      <c r="I1300" t="s">
        <v>77</v>
      </c>
      <c r="J1300">
        <v>363</v>
      </c>
      <c r="K1300">
        <v>7.6</v>
      </c>
      <c r="L1300">
        <v>2758.7999999999902</v>
      </c>
    </row>
    <row r="1301" spans="1:12" x14ac:dyDescent="0.3">
      <c r="A1301">
        <v>11</v>
      </c>
      <c r="B1301">
        <v>22</v>
      </c>
      <c r="D1301">
        <v>14</v>
      </c>
      <c r="E1301">
        <v>1</v>
      </c>
      <c r="F1301">
        <v>0</v>
      </c>
      <c r="G1301">
        <v>11</v>
      </c>
      <c r="H1301" t="s">
        <v>15</v>
      </c>
      <c r="I1301" t="s">
        <v>131</v>
      </c>
      <c r="J1301">
        <v>549</v>
      </c>
      <c r="K1301">
        <v>8.3000000000000007</v>
      </c>
      <c r="L1301">
        <v>4556.7</v>
      </c>
    </row>
    <row r="1302" spans="1:12" x14ac:dyDescent="0.3">
      <c r="A1302">
        <v>20</v>
      </c>
      <c r="B1302">
        <v>23</v>
      </c>
      <c r="C1302">
        <v>1</v>
      </c>
      <c r="E1302">
        <v>1</v>
      </c>
      <c r="F1302">
        <v>0</v>
      </c>
      <c r="G1302">
        <v>12</v>
      </c>
      <c r="H1302" t="s">
        <v>57</v>
      </c>
      <c r="I1302" t="s">
        <v>128</v>
      </c>
      <c r="J1302">
        <v>507</v>
      </c>
      <c r="K1302">
        <v>9.1999999999999993</v>
      </c>
      <c r="L1302" t="s">
        <v>326</v>
      </c>
    </row>
    <row r="1303" spans="1:12" x14ac:dyDescent="0.3">
      <c r="A1303">
        <v>21</v>
      </c>
      <c r="B1303">
        <v>23</v>
      </c>
      <c r="C1303">
        <v>3</v>
      </c>
      <c r="D1303">
        <v>14</v>
      </c>
      <c r="E1303">
        <v>1</v>
      </c>
      <c r="F1303">
        <v>0</v>
      </c>
      <c r="G1303">
        <v>10</v>
      </c>
      <c r="H1303" t="s">
        <v>15</v>
      </c>
      <c r="I1303" t="s">
        <v>85</v>
      </c>
      <c r="J1303">
        <v>558</v>
      </c>
      <c r="K1303">
        <v>8.3000000000000007</v>
      </c>
      <c r="L1303">
        <v>4631.3999999999996</v>
      </c>
    </row>
    <row r="1304" spans="1:12" x14ac:dyDescent="0.3">
      <c r="A1304">
        <v>21</v>
      </c>
      <c r="B1304">
        <v>22</v>
      </c>
      <c r="C1304">
        <v>0</v>
      </c>
      <c r="D1304">
        <v>8</v>
      </c>
      <c r="E1304">
        <v>12</v>
      </c>
      <c r="F1304">
        <v>0</v>
      </c>
      <c r="G1304">
        <v>8</v>
      </c>
      <c r="H1304" t="s">
        <v>22</v>
      </c>
      <c r="I1304" t="s">
        <v>79</v>
      </c>
      <c r="J1304">
        <v>596</v>
      </c>
      <c r="K1304" t="s">
        <v>240</v>
      </c>
      <c r="L1304">
        <v>4648.8</v>
      </c>
    </row>
    <row r="1305" spans="1:12" x14ac:dyDescent="0.3">
      <c r="A1305">
        <v>16</v>
      </c>
      <c r="B1305">
        <v>23</v>
      </c>
      <c r="C1305">
        <v>0</v>
      </c>
      <c r="D1305">
        <v>13</v>
      </c>
      <c r="E1305">
        <v>12</v>
      </c>
      <c r="F1305">
        <v>0</v>
      </c>
      <c r="G1305">
        <v>10</v>
      </c>
      <c r="H1305" t="s">
        <v>22</v>
      </c>
      <c r="I1305" t="s">
        <v>72</v>
      </c>
      <c r="J1305" t="s">
        <v>200</v>
      </c>
      <c r="K1305">
        <v>7.8</v>
      </c>
      <c r="L1305" t="s">
        <v>327</v>
      </c>
    </row>
    <row r="1306" spans="1:12" x14ac:dyDescent="0.3">
      <c r="A1306">
        <v>13</v>
      </c>
      <c r="B1306">
        <v>23</v>
      </c>
      <c r="C1306">
        <v>3</v>
      </c>
      <c r="D1306">
        <v>4</v>
      </c>
      <c r="E1306">
        <v>1</v>
      </c>
      <c r="F1306">
        <v>0</v>
      </c>
      <c r="G1306">
        <v>5</v>
      </c>
      <c r="H1306" t="s">
        <v>33</v>
      </c>
      <c r="I1306" t="s">
        <v>83</v>
      </c>
      <c r="J1306">
        <v>451</v>
      </c>
      <c r="K1306">
        <v>9.3000000000000007</v>
      </c>
      <c r="L1306">
        <v>4194.3</v>
      </c>
    </row>
    <row r="1307" spans="1:12" x14ac:dyDescent="0.3">
      <c r="A1307">
        <v>15</v>
      </c>
      <c r="C1307">
        <v>2</v>
      </c>
      <c r="D1307">
        <v>20</v>
      </c>
      <c r="E1307">
        <v>12</v>
      </c>
      <c r="F1307">
        <v>0</v>
      </c>
      <c r="G1307">
        <v>9</v>
      </c>
      <c r="H1307" t="s">
        <v>32</v>
      </c>
      <c r="I1307" t="s">
        <v>93</v>
      </c>
      <c r="J1307">
        <v>656</v>
      </c>
      <c r="K1307">
        <v>7.6</v>
      </c>
      <c r="L1307" t="s">
        <v>328</v>
      </c>
    </row>
    <row r="1308" spans="1:12" x14ac:dyDescent="0.3">
      <c r="A1308">
        <v>14</v>
      </c>
      <c r="B1308">
        <v>23</v>
      </c>
      <c r="C1308">
        <v>0</v>
      </c>
      <c r="D1308">
        <v>15</v>
      </c>
      <c r="E1308">
        <v>1</v>
      </c>
      <c r="F1308">
        <v>0</v>
      </c>
      <c r="G1308">
        <v>3</v>
      </c>
      <c r="H1308" t="s">
        <v>22</v>
      </c>
      <c r="I1308" t="s">
        <v>74</v>
      </c>
      <c r="J1308" t="s">
        <v>143</v>
      </c>
      <c r="K1308">
        <v>7.8</v>
      </c>
      <c r="L1308">
        <v>3393</v>
      </c>
    </row>
    <row r="1309" spans="1:12" x14ac:dyDescent="0.3">
      <c r="B1309">
        <v>19</v>
      </c>
      <c r="C1309">
        <v>0</v>
      </c>
      <c r="D1309">
        <v>12</v>
      </c>
      <c r="E1309">
        <v>1</v>
      </c>
      <c r="F1309">
        <v>0</v>
      </c>
      <c r="G1309">
        <v>9</v>
      </c>
      <c r="H1309" t="s">
        <v>21</v>
      </c>
      <c r="I1309" t="s">
        <v>85</v>
      </c>
      <c r="J1309">
        <v>507</v>
      </c>
      <c r="K1309">
        <v>8.6999999999999993</v>
      </c>
      <c r="L1309">
        <v>4410.8999999999996</v>
      </c>
    </row>
    <row r="1310" spans="1:12" x14ac:dyDescent="0.3">
      <c r="A1310">
        <v>23</v>
      </c>
      <c r="B1310">
        <v>22</v>
      </c>
      <c r="C1310">
        <v>2</v>
      </c>
      <c r="D1310">
        <v>8</v>
      </c>
      <c r="E1310">
        <v>1</v>
      </c>
      <c r="F1310">
        <v>0</v>
      </c>
      <c r="G1310">
        <v>7</v>
      </c>
      <c r="H1310" t="s">
        <v>15</v>
      </c>
      <c r="I1310" t="s">
        <v>88</v>
      </c>
      <c r="J1310">
        <v>557</v>
      </c>
      <c r="K1310">
        <v>8.3000000000000007</v>
      </c>
      <c r="L1310">
        <v>4623.1000000000004</v>
      </c>
    </row>
    <row r="1311" spans="1:12" x14ac:dyDescent="0.3">
      <c r="A1311">
        <v>23</v>
      </c>
      <c r="B1311">
        <v>23</v>
      </c>
      <c r="C1311">
        <v>1</v>
      </c>
      <c r="D1311">
        <v>18</v>
      </c>
      <c r="E1311">
        <v>1</v>
      </c>
      <c r="F1311">
        <v>0</v>
      </c>
      <c r="G1311">
        <v>1</v>
      </c>
      <c r="H1311" t="s">
        <v>13</v>
      </c>
      <c r="I1311" t="s">
        <v>83</v>
      </c>
      <c r="J1311">
        <v>522</v>
      </c>
      <c r="K1311">
        <v>8.3000000000000007</v>
      </c>
      <c r="L1311">
        <v>4332.6000000000004</v>
      </c>
    </row>
    <row r="1312" spans="1:12" x14ac:dyDescent="0.3">
      <c r="A1312">
        <v>7</v>
      </c>
      <c r="B1312">
        <v>20</v>
      </c>
      <c r="C1312">
        <v>1</v>
      </c>
      <c r="D1312">
        <v>21</v>
      </c>
      <c r="E1312">
        <v>1</v>
      </c>
      <c r="F1312">
        <v>0</v>
      </c>
      <c r="G1312">
        <v>10</v>
      </c>
      <c r="H1312" t="s">
        <v>44</v>
      </c>
      <c r="I1312" t="s">
        <v>79</v>
      </c>
      <c r="J1312">
        <v>449</v>
      </c>
      <c r="K1312">
        <v>8.1999999999999993</v>
      </c>
      <c r="L1312">
        <v>3681.7999999999902</v>
      </c>
    </row>
    <row r="1313" spans="1:12" x14ac:dyDescent="0.3">
      <c r="A1313">
        <v>19</v>
      </c>
      <c r="B1313">
        <v>22</v>
      </c>
      <c r="C1313">
        <v>0</v>
      </c>
      <c r="D1313">
        <v>8</v>
      </c>
      <c r="E1313">
        <v>1</v>
      </c>
      <c r="F1313">
        <v>0</v>
      </c>
      <c r="G1313">
        <v>9</v>
      </c>
      <c r="H1313" t="s">
        <v>15</v>
      </c>
      <c r="I1313" t="s">
        <v>87</v>
      </c>
      <c r="J1313">
        <v>387</v>
      </c>
      <c r="K1313">
        <v>8.3000000000000007</v>
      </c>
      <c r="L1313">
        <v>3212.1</v>
      </c>
    </row>
    <row r="1314" spans="1:12" x14ac:dyDescent="0.3">
      <c r="A1314">
        <v>17</v>
      </c>
      <c r="B1314">
        <v>23</v>
      </c>
      <c r="C1314">
        <v>3</v>
      </c>
      <c r="D1314">
        <v>12</v>
      </c>
      <c r="F1314">
        <v>0</v>
      </c>
      <c r="H1314" t="s">
        <v>21</v>
      </c>
      <c r="I1314" t="s">
        <v>96</v>
      </c>
      <c r="J1314">
        <v>572</v>
      </c>
      <c r="K1314">
        <v>8.6999999999999993</v>
      </c>
      <c r="L1314">
        <v>4976.3999999999996</v>
      </c>
    </row>
    <row r="1315" spans="1:12" x14ac:dyDescent="0.3">
      <c r="A1315">
        <v>13</v>
      </c>
      <c r="B1315">
        <v>22</v>
      </c>
      <c r="C1315">
        <v>1</v>
      </c>
      <c r="D1315">
        <v>12</v>
      </c>
      <c r="E1315">
        <v>1</v>
      </c>
      <c r="F1315">
        <v>0</v>
      </c>
      <c r="G1315">
        <v>10</v>
      </c>
      <c r="H1315" t="s">
        <v>37</v>
      </c>
      <c r="I1315" t="s">
        <v>71</v>
      </c>
      <c r="J1315">
        <v>521</v>
      </c>
      <c r="K1315">
        <v>8.3000000000000007</v>
      </c>
      <c r="L1315">
        <v>4324.3</v>
      </c>
    </row>
    <row r="1316" spans="1:12" x14ac:dyDescent="0.3">
      <c r="A1316">
        <v>5</v>
      </c>
      <c r="D1316">
        <v>13</v>
      </c>
      <c r="E1316">
        <v>1</v>
      </c>
      <c r="F1316">
        <v>0</v>
      </c>
      <c r="G1316">
        <v>1</v>
      </c>
      <c r="H1316" t="s">
        <v>15</v>
      </c>
      <c r="I1316" t="s">
        <v>71</v>
      </c>
      <c r="J1316">
        <v>595</v>
      </c>
      <c r="K1316">
        <v>8.3000000000000007</v>
      </c>
      <c r="L1316">
        <v>4938.5</v>
      </c>
    </row>
    <row r="1317" spans="1:12" x14ac:dyDescent="0.3">
      <c r="A1317">
        <v>13</v>
      </c>
      <c r="B1317">
        <v>22</v>
      </c>
      <c r="C1317">
        <v>1</v>
      </c>
      <c r="D1317">
        <v>11</v>
      </c>
      <c r="E1317">
        <v>1</v>
      </c>
      <c r="F1317">
        <v>0</v>
      </c>
      <c r="G1317">
        <v>11</v>
      </c>
      <c r="H1317" t="s">
        <v>36</v>
      </c>
      <c r="I1317" t="s">
        <v>72</v>
      </c>
      <c r="J1317">
        <v>544</v>
      </c>
      <c r="K1317">
        <v>8.8000000000000007</v>
      </c>
      <c r="L1317" t="s">
        <v>329</v>
      </c>
    </row>
    <row r="1318" spans="1:12" x14ac:dyDescent="0.3">
      <c r="A1318">
        <v>20</v>
      </c>
      <c r="B1318">
        <v>22</v>
      </c>
      <c r="C1318">
        <v>0</v>
      </c>
      <c r="D1318">
        <v>21</v>
      </c>
      <c r="E1318">
        <v>12</v>
      </c>
      <c r="F1318">
        <v>0</v>
      </c>
      <c r="G1318">
        <v>8</v>
      </c>
      <c r="H1318" t="s">
        <v>15</v>
      </c>
      <c r="I1318" t="s">
        <v>106</v>
      </c>
      <c r="J1318">
        <v>703</v>
      </c>
      <c r="K1318">
        <v>8.3000000000000007</v>
      </c>
      <c r="L1318">
        <v>5834.9</v>
      </c>
    </row>
    <row r="1319" spans="1:12" x14ac:dyDescent="0.3">
      <c r="A1319">
        <v>8</v>
      </c>
      <c r="B1319">
        <v>17</v>
      </c>
      <c r="C1319">
        <v>3</v>
      </c>
      <c r="D1319">
        <v>13</v>
      </c>
      <c r="E1319">
        <v>1</v>
      </c>
      <c r="F1319">
        <v>0</v>
      </c>
      <c r="G1319">
        <v>9</v>
      </c>
      <c r="H1319" t="s">
        <v>18</v>
      </c>
      <c r="I1319" t="s">
        <v>73</v>
      </c>
      <c r="J1319" t="s">
        <v>201</v>
      </c>
      <c r="K1319">
        <v>7.7</v>
      </c>
      <c r="L1319">
        <v>3295.6</v>
      </c>
    </row>
    <row r="1320" spans="1:12" x14ac:dyDescent="0.3">
      <c r="A1320">
        <v>12</v>
      </c>
      <c r="B1320">
        <v>23</v>
      </c>
      <c r="C1320">
        <v>1</v>
      </c>
      <c r="D1320">
        <v>7</v>
      </c>
      <c r="E1320">
        <v>1</v>
      </c>
      <c r="F1320">
        <v>0</v>
      </c>
      <c r="G1320">
        <v>7</v>
      </c>
      <c r="J1320">
        <v>534</v>
      </c>
      <c r="K1320">
        <v>9.3000000000000007</v>
      </c>
      <c r="L1320">
        <v>4966.2</v>
      </c>
    </row>
    <row r="1321" spans="1:12" x14ac:dyDescent="0.3">
      <c r="A1321">
        <v>23</v>
      </c>
      <c r="B1321">
        <v>22</v>
      </c>
      <c r="C1321">
        <v>0</v>
      </c>
      <c r="D1321">
        <v>9</v>
      </c>
      <c r="E1321">
        <v>1</v>
      </c>
      <c r="F1321">
        <v>0</v>
      </c>
      <c r="G1321">
        <v>11</v>
      </c>
      <c r="H1321" t="s">
        <v>35</v>
      </c>
      <c r="I1321" t="s">
        <v>81</v>
      </c>
      <c r="J1321">
        <v>458</v>
      </c>
      <c r="K1321">
        <v>8.1999999999999993</v>
      </c>
      <c r="L1321">
        <v>3755.5999999999899</v>
      </c>
    </row>
    <row r="1322" spans="1:12" x14ac:dyDescent="0.3">
      <c r="A1322">
        <v>15</v>
      </c>
      <c r="B1322">
        <v>23</v>
      </c>
      <c r="C1322">
        <v>1</v>
      </c>
      <c r="D1322">
        <v>12</v>
      </c>
      <c r="E1322">
        <v>1</v>
      </c>
      <c r="F1322">
        <v>0</v>
      </c>
      <c r="G1322">
        <v>8</v>
      </c>
      <c r="H1322" t="s">
        <v>15</v>
      </c>
      <c r="I1322" t="s">
        <v>85</v>
      </c>
      <c r="J1322">
        <v>606</v>
      </c>
      <c r="K1322">
        <v>8.3000000000000007</v>
      </c>
      <c r="L1322">
        <v>5029.8</v>
      </c>
    </row>
    <row r="1323" spans="1:12" x14ac:dyDescent="0.3">
      <c r="A1323">
        <v>6</v>
      </c>
      <c r="B1323">
        <v>22</v>
      </c>
      <c r="C1323">
        <v>0</v>
      </c>
      <c r="D1323">
        <v>9</v>
      </c>
      <c r="F1323">
        <v>0</v>
      </c>
      <c r="G1323">
        <v>7</v>
      </c>
      <c r="H1323" t="s">
        <v>15</v>
      </c>
      <c r="I1323" t="s">
        <v>79</v>
      </c>
      <c r="J1323">
        <v>437</v>
      </c>
      <c r="K1323">
        <v>8.3000000000000007</v>
      </c>
      <c r="L1323">
        <v>3627.1</v>
      </c>
    </row>
    <row r="1324" spans="1:12" x14ac:dyDescent="0.3">
      <c r="A1324">
        <v>9</v>
      </c>
      <c r="B1324">
        <v>23</v>
      </c>
      <c r="C1324">
        <v>3</v>
      </c>
      <c r="D1324">
        <v>14</v>
      </c>
      <c r="E1324">
        <v>1</v>
      </c>
      <c r="F1324">
        <v>0</v>
      </c>
      <c r="G1324">
        <v>6</v>
      </c>
      <c r="H1324" t="s">
        <v>18</v>
      </c>
      <c r="I1324" t="s">
        <v>81</v>
      </c>
      <c r="J1324">
        <v>616</v>
      </c>
      <c r="K1324">
        <v>7.7</v>
      </c>
      <c r="L1324">
        <v>4743.2</v>
      </c>
    </row>
    <row r="1325" spans="1:12" x14ac:dyDescent="0.3">
      <c r="A1325">
        <v>8</v>
      </c>
      <c r="B1325">
        <v>19</v>
      </c>
      <c r="C1325">
        <v>2</v>
      </c>
      <c r="D1325">
        <v>20</v>
      </c>
      <c r="E1325">
        <v>1</v>
      </c>
      <c r="F1325">
        <v>0</v>
      </c>
      <c r="G1325">
        <v>6</v>
      </c>
      <c r="H1325" t="s">
        <v>35</v>
      </c>
      <c r="I1325" t="s">
        <v>106</v>
      </c>
      <c r="J1325">
        <v>385</v>
      </c>
      <c r="K1325">
        <v>8.1999999999999993</v>
      </c>
      <c r="L1325" t="s">
        <v>330</v>
      </c>
    </row>
    <row r="1326" spans="1:12" x14ac:dyDescent="0.3">
      <c r="A1326">
        <v>8</v>
      </c>
      <c r="B1326">
        <v>19</v>
      </c>
      <c r="C1326">
        <v>2</v>
      </c>
      <c r="D1326">
        <v>5</v>
      </c>
      <c r="E1326">
        <v>7</v>
      </c>
      <c r="F1326">
        <v>0</v>
      </c>
      <c r="G1326">
        <v>1</v>
      </c>
      <c r="H1326" t="s">
        <v>21</v>
      </c>
      <c r="I1326" t="s">
        <v>81</v>
      </c>
      <c r="J1326">
        <v>326</v>
      </c>
      <c r="K1326">
        <v>8.6999999999999993</v>
      </c>
      <c r="L1326">
        <v>2836.2</v>
      </c>
    </row>
    <row r="1327" spans="1:12" x14ac:dyDescent="0.3">
      <c r="A1327">
        <v>14</v>
      </c>
      <c r="B1327">
        <v>22</v>
      </c>
      <c r="C1327">
        <v>2</v>
      </c>
      <c r="D1327">
        <v>9</v>
      </c>
      <c r="E1327">
        <v>1</v>
      </c>
      <c r="F1327">
        <v>0</v>
      </c>
      <c r="G1327">
        <v>2</v>
      </c>
      <c r="H1327" t="s">
        <v>26</v>
      </c>
      <c r="I1327" t="s">
        <v>131</v>
      </c>
      <c r="J1327">
        <v>524</v>
      </c>
      <c r="K1327">
        <v>8.5</v>
      </c>
      <c r="L1327">
        <v>4454</v>
      </c>
    </row>
    <row r="1328" spans="1:12" x14ac:dyDescent="0.3">
      <c r="A1328">
        <v>16</v>
      </c>
      <c r="C1328">
        <v>1</v>
      </c>
      <c r="D1328">
        <v>21</v>
      </c>
      <c r="G1328">
        <v>7</v>
      </c>
      <c r="H1328" t="s">
        <v>16</v>
      </c>
      <c r="I1328" t="s">
        <v>130</v>
      </c>
      <c r="J1328">
        <v>816</v>
      </c>
      <c r="K1328">
        <v>8.9</v>
      </c>
      <c r="L1328">
        <v>7262.4</v>
      </c>
    </row>
    <row r="1329" spans="1:12" x14ac:dyDescent="0.3">
      <c r="A1329">
        <v>23</v>
      </c>
      <c r="B1329">
        <v>23</v>
      </c>
      <c r="C1329">
        <v>1</v>
      </c>
      <c r="D1329">
        <v>15</v>
      </c>
      <c r="E1329">
        <v>1</v>
      </c>
      <c r="F1329">
        <v>0</v>
      </c>
      <c r="G1329">
        <v>11</v>
      </c>
      <c r="H1329" t="s">
        <v>33</v>
      </c>
      <c r="I1329" t="s">
        <v>125</v>
      </c>
      <c r="J1329">
        <v>591</v>
      </c>
      <c r="K1329">
        <v>9.3000000000000007</v>
      </c>
      <c r="L1329">
        <v>5496.3</v>
      </c>
    </row>
    <row r="1330" spans="1:12" x14ac:dyDescent="0.3">
      <c r="A1330">
        <v>18</v>
      </c>
      <c r="B1330">
        <v>22</v>
      </c>
      <c r="C1330">
        <v>2</v>
      </c>
      <c r="D1330">
        <v>15</v>
      </c>
      <c r="E1330">
        <v>1</v>
      </c>
      <c r="F1330">
        <v>0</v>
      </c>
      <c r="G1330">
        <v>6</v>
      </c>
      <c r="H1330" t="s">
        <v>24</v>
      </c>
      <c r="J1330">
        <v>484</v>
      </c>
      <c r="K1330" t="s">
        <v>241</v>
      </c>
      <c r="L1330">
        <v>3823.6</v>
      </c>
    </row>
    <row r="1331" spans="1:12" x14ac:dyDescent="0.3">
      <c r="A1331">
        <v>23</v>
      </c>
      <c r="B1331">
        <v>22</v>
      </c>
      <c r="C1331">
        <v>0</v>
      </c>
      <c r="D1331">
        <v>8</v>
      </c>
      <c r="E1331">
        <v>1</v>
      </c>
      <c r="F1331">
        <v>0</v>
      </c>
      <c r="G1331">
        <v>1</v>
      </c>
      <c r="H1331" t="s">
        <v>36</v>
      </c>
      <c r="I1331" t="s">
        <v>84</v>
      </c>
      <c r="K1331">
        <v>8.8000000000000007</v>
      </c>
      <c r="L1331">
        <v>3044.8</v>
      </c>
    </row>
    <row r="1332" spans="1:12" x14ac:dyDescent="0.3">
      <c r="A1332">
        <v>6</v>
      </c>
      <c r="B1332">
        <v>19</v>
      </c>
      <c r="C1332">
        <v>2</v>
      </c>
      <c r="D1332">
        <v>9</v>
      </c>
      <c r="E1332">
        <v>7</v>
      </c>
      <c r="F1332">
        <v>0</v>
      </c>
      <c r="G1332">
        <v>5</v>
      </c>
      <c r="H1332" t="s">
        <v>18</v>
      </c>
      <c r="I1332" t="s">
        <v>85</v>
      </c>
      <c r="J1332">
        <v>453</v>
      </c>
      <c r="L1332">
        <v>3488.1</v>
      </c>
    </row>
    <row r="1333" spans="1:12" x14ac:dyDescent="0.3">
      <c r="A1333">
        <v>17</v>
      </c>
      <c r="B1333">
        <v>22</v>
      </c>
      <c r="C1333">
        <v>1</v>
      </c>
      <c r="D1333">
        <v>7</v>
      </c>
      <c r="E1333">
        <v>1</v>
      </c>
      <c r="F1333">
        <v>0</v>
      </c>
      <c r="G1333">
        <v>7</v>
      </c>
      <c r="H1333" t="s">
        <v>18</v>
      </c>
      <c r="I1333" t="s">
        <v>93</v>
      </c>
      <c r="J1333">
        <v>403</v>
      </c>
      <c r="K1333">
        <v>7.7</v>
      </c>
      <c r="L1333">
        <v>3103.1</v>
      </c>
    </row>
    <row r="1334" spans="1:12" x14ac:dyDescent="0.3">
      <c r="A1334">
        <v>13</v>
      </c>
      <c r="B1334">
        <v>22</v>
      </c>
      <c r="C1334">
        <v>2</v>
      </c>
      <c r="D1334">
        <v>14</v>
      </c>
      <c r="E1334">
        <v>1</v>
      </c>
      <c r="F1334">
        <v>0</v>
      </c>
      <c r="G1334">
        <v>2</v>
      </c>
      <c r="H1334" t="s">
        <v>35</v>
      </c>
      <c r="I1334" t="s">
        <v>83</v>
      </c>
      <c r="J1334">
        <v>549</v>
      </c>
      <c r="K1334">
        <v>8.1999999999999993</v>
      </c>
      <c r="L1334">
        <v>4501.7999999999902</v>
      </c>
    </row>
    <row r="1335" spans="1:12" x14ac:dyDescent="0.3">
      <c r="A1335">
        <v>20</v>
      </c>
      <c r="B1335">
        <v>23</v>
      </c>
      <c r="C1335">
        <v>2</v>
      </c>
      <c r="D1335">
        <v>20</v>
      </c>
      <c r="E1335">
        <v>1</v>
      </c>
      <c r="F1335">
        <v>0</v>
      </c>
      <c r="G1335">
        <v>7</v>
      </c>
      <c r="H1335" t="s">
        <v>25</v>
      </c>
      <c r="I1335" t="s">
        <v>97</v>
      </c>
      <c r="J1335">
        <v>537</v>
      </c>
      <c r="K1335">
        <v>8.1</v>
      </c>
      <c r="L1335">
        <v>4349.7</v>
      </c>
    </row>
    <row r="1336" spans="1:12" x14ac:dyDescent="0.3">
      <c r="A1336">
        <v>21</v>
      </c>
      <c r="B1336">
        <v>23</v>
      </c>
      <c r="C1336">
        <v>1</v>
      </c>
      <c r="D1336">
        <v>7</v>
      </c>
      <c r="E1336">
        <v>1</v>
      </c>
      <c r="F1336">
        <v>0</v>
      </c>
      <c r="G1336">
        <v>7</v>
      </c>
      <c r="H1336" t="s">
        <v>16</v>
      </c>
      <c r="I1336" t="s">
        <v>75</v>
      </c>
      <c r="J1336">
        <v>451</v>
      </c>
      <c r="K1336">
        <v>8.9</v>
      </c>
      <c r="L1336">
        <v>4013.9</v>
      </c>
    </row>
    <row r="1337" spans="1:12" x14ac:dyDescent="0.3">
      <c r="A1337">
        <v>9</v>
      </c>
      <c r="B1337">
        <v>20</v>
      </c>
      <c r="C1337">
        <v>1</v>
      </c>
      <c r="D1337">
        <v>18</v>
      </c>
      <c r="E1337">
        <v>1</v>
      </c>
      <c r="F1337">
        <v>0</v>
      </c>
      <c r="G1337">
        <v>3</v>
      </c>
      <c r="H1337" t="s">
        <v>38</v>
      </c>
      <c r="I1337" t="s">
        <v>81</v>
      </c>
      <c r="J1337" t="s">
        <v>193</v>
      </c>
      <c r="K1337">
        <v>7.4</v>
      </c>
    </row>
    <row r="1338" spans="1:12" x14ac:dyDescent="0.3">
      <c r="A1338">
        <v>8</v>
      </c>
      <c r="B1338">
        <v>20</v>
      </c>
      <c r="C1338">
        <v>1</v>
      </c>
      <c r="D1338">
        <v>11</v>
      </c>
      <c r="E1338">
        <v>1</v>
      </c>
      <c r="F1338">
        <v>0</v>
      </c>
      <c r="G1338">
        <v>8</v>
      </c>
      <c r="H1338" t="s">
        <v>24</v>
      </c>
      <c r="I1338" t="s">
        <v>119</v>
      </c>
      <c r="J1338">
        <v>414</v>
      </c>
      <c r="K1338">
        <v>7.9</v>
      </c>
      <c r="L1338">
        <v>3270.6</v>
      </c>
    </row>
    <row r="1339" spans="1:12" x14ac:dyDescent="0.3">
      <c r="A1339">
        <v>8</v>
      </c>
      <c r="B1339">
        <v>17</v>
      </c>
      <c r="C1339">
        <v>2</v>
      </c>
      <c r="D1339">
        <v>5</v>
      </c>
      <c r="E1339">
        <v>1</v>
      </c>
      <c r="F1339">
        <v>0</v>
      </c>
      <c r="G1339">
        <v>12</v>
      </c>
      <c r="H1339" t="s">
        <v>39</v>
      </c>
      <c r="I1339" t="s">
        <v>83</v>
      </c>
      <c r="J1339">
        <v>218</v>
      </c>
      <c r="K1339">
        <v>8.8000000000000007</v>
      </c>
      <c r="L1339">
        <v>1918.4</v>
      </c>
    </row>
    <row r="1340" spans="1:12" x14ac:dyDescent="0.3">
      <c r="A1340">
        <v>9</v>
      </c>
      <c r="B1340">
        <v>19</v>
      </c>
      <c r="C1340">
        <v>0</v>
      </c>
      <c r="D1340">
        <v>19</v>
      </c>
      <c r="E1340">
        <v>1</v>
      </c>
      <c r="F1340">
        <v>0</v>
      </c>
      <c r="G1340">
        <v>12</v>
      </c>
      <c r="H1340" t="s">
        <v>36</v>
      </c>
      <c r="I1340" t="s">
        <v>80</v>
      </c>
      <c r="J1340">
        <v>323</v>
      </c>
      <c r="K1340">
        <v>8.8000000000000007</v>
      </c>
      <c r="L1340">
        <v>2842.4</v>
      </c>
    </row>
    <row r="1341" spans="1:12" x14ac:dyDescent="0.3">
      <c r="A1341">
        <v>18</v>
      </c>
      <c r="B1341">
        <v>23</v>
      </c>
      <c r="C1341">
        <v>2</v>
      </c>
      <c r="D1341">
        <v>21</v>
      </c>
      <c r="E1341">
        <v>12</v>
      </c>
      <c r="F1341">
        <v>0</v>
      </c>
      <c r="G1341">
        <v>11</v>
      </c>
      <c r="H1341" t="s">
        <v>30</v>
      </c>
      <c r="I1341" t="s">
        <v>109</v>
      </c>
      <c r="K1341">
        <v>9.1999999999999993</v>
      </c>
      <c r="L1341">
        <v>6835.5999999999904</v>
      </c>
    </row>
    <row r="1342" spans="1:12" x14ac:dyDescent="0.3">
      <c r="A1342">
        <v>12</v>
      </c>
      <c r="B1342">
        <v>23</v>
      </c>
      <c r="C1342">
        <v>3</v>
      </c>
      <c r="D1342">
        <v>9</v>
      </c>
      <c r="E1342">
        <v>1</v>
      </c>
      <c r="F1342">
        <v>0</v>
      </c>
      <c r="G1342">
        <v>9</v>
      </c>
      <c r="H1342" t="s">
        <v>21</v>
      </c>
      <c r="I1342" t="s">
        <v>98</v>
      </c>
      <c r="J1342">
        <v>389</v>
      </c>
      <c r="K1342">
        <v>8.6999999999999993</v>
      </c>
      <c r="L1342">
        <v>3384.2999999999902</v>
      </c>
    </row>
    <row r="1343" spans="1:12" x14ac:dyDescent="0.3">
      <c r="A1343">
        <v>10</v>
      </c>
      <c r="B1343">
        <v>18</v>
      </c>
      <c r="C1343">
        <v>3</v>
      </c>
      <c r="D1343">
        <v>20</v>
      </c>
      <c r="E1343">
        <v>1</v>
      </c>
      <c r="G1343">
        <v>12</v>
      </c>
      <c r="H1343" t="s">
        <v>34</v>
      </c>
      <c r="I1343" t="s">
        <v>106</v>
      </c>
      <c r="J1343">
        <v>653</v>
      </c>
      <c r="K1343">
        <v>7.6</v>
      </c>
      <c r="L1343">
        <v>4962.8</v>
      </c>
    </row>
    <row r="1344" spans="1:12" x14ac:dyDescent="0.3">
      <c r="A1344">
        <v>19</v>
      </c>
      <c r="B1344">
        <v>22</v>
      </c>
      <c r="C1344">
        <v>1</v>
      </c>
      <c r="D1344">
        <v>8</v>
      </c>
      <c r="E1344">
        <v>1</v>
      </c>
      <c r="F1344">
        <v>0</v>
      </c>
      <c r="G1344">
        <v>8</v>
      </c>
      <c r="H1344" t="s">
        <v>38</v>
      </c>
      <c r="I1344" t="s">
        <v>86</v>
      </c>
      <c r="J1344">
        <v>364</v>
      </c>
      <c r="K1344" t="s">
        <v>251</v>
      </c>
      <c r="L1344">
        <v>2693.6</v>
      </c>
    </row>
    <row r="1345" spans="1:12" x14ac:dyDescent="0.3">
      <c r="A1345">
        <v>14</v>
      </c>
      <c r="B1345">
        <v>23</v>
      </c>
      <c r="C1345">
        <v>1</v>
      </c>
      <c r="D1345">
        <v>17</v>
      </c>
      <c r="E1345">
        <v>12</v>
      </c>
      <c r="F1345">
        <v>0</v>
      </c>
      <c r="G1345">
        <v>8</v>
      </c>
      <c r="H1345" t="s">
        <v>26</v>
      </c>
      <c r="I1345" t="s">
        <v>76</v>
      </c>
      <c r="J1345">
        <v>553</v>
      </c>
      <c r="K1345">
        <v>8.5</v>
      </c>
      <c r="L1345" t="s">
        <v>331</v>
      </c>
    </row>
    <row r="1346" spans="1:12" x14ac:dyDescent="0.3">
      <c r="A1346">
        <v>14</v>
      </c>
      <c r="B1346">
        <v>22</v>
      </c>
      <c r="C1346">
        <v>1</v>
      </c>
      <c r="D1346">
        <v>4</v>
      </c>
      <c r="F1346">
        <v>0</v>
      </c>
      <c r="G1346">
        <v>8</v>
      </c>
      <c r="H1346" t="s">
        <v>23</v>
      </c>
      <c r="I1346" t="s">
        <v>73</v>
      </c>
      <c r="J1346">
        <v>505</v>
      </c>
      <c r="K1346">
        <v>8.4</v>
      </c>
      <c r="L1346">
        <v>4242</v>
      </c>
    </row>
    <row r="1347" spans="1:12" x14ac:dyDescent="0.3">
      <c r="A1347">
        <v>21</v>
      </c>
      <c r="B1347">
        <v>22</v>
      </c>
      <c r="C1347">
        <v>3</v>
      </c>
      <c r="D1347">
        <v>21</v>
      </c>
      <c r="E1347">
        <v>1</v>
      </c>
      <c r="F1347">
        <v>0</v>
      </c>
      <c r="G1347">
        <v>7</v>
      </c>
      <c r="H1347" t="s">
        <v>36</v>
      </c>
      <c r="I1347" t="s">
        <v>71</v>
      </c>
      <c r="J1347">
        <v>689</v>
      </c>
      <c r="K1347">
        <v>8.8000000000000007</v>
      </c>
      <c r="L1347">
        <v>6063.2</v>
      </c>
    </row>
    <row r="1348" spans="1:12" x14ac:dyDescent="0.3">
      <c r="A1348">
        <v>23</v>
      </c>
      <c r="B1348">
        <v>23</v>
      </c>
      <c r="C1348">
        <v>2</v>
      </c>
      <c r="E1348">
        <v>1</v>
      </c>
      <c r="F1348">
        <v>0</v>
      </c>
      <c r="G1348">
        <v>6</v>
      </c>
      <c r="H1348" t="s">
        <v>20</v>
      </c>
      <c r="I1348" t="s">
        <v>95</v>
      </c>
      <c r="J1348">
        <v>555</v>
      </c>
      <c r="K1348">
        <v>9.1</v>
      </c>
      <c r="L1348">
        <v>5050.5</v>
      </c>
    </row>
    <row r="1349" spans="1:12" x14ac:dyDescent="0.3">
      <c r="A1349">
        <v>16</v>
      </c>
      <c r="B1349">
        <v>23</v>
      </c>
      <c r="C1349">
        <v>2</v>
      </c>
      <c r="D1349">
        <v>21</v>
      </c>
      <c r="E1349">
        <v>1</v>
      </c>
      <c r="F1349">
        <v>0</v>
      </c>
      <c r="G1349">
        <v>8</v>
      </c>
      <c r="H1349" t="s">
        <v>33</v>
      </c>
      <c r="I1349" t="s">
        <v>109</v>
      </c>
      <c r="J1349">
        <v>517</v>
      </c>
      <c r="K1349">
        <v>9.3000000000000007</v>
      </c>
      <c r="L1349">
        <v>4808.1000000000004</v>
      </c>
    </row>
    <row r="1350" spans="1:12" x14ac:dyDescent="0.3">
      <c r="A1350">
        <v>10</v>
      </c>
      <c r="B1350">
        <v>19</v>
      </c>
      <c r="C1350">
        <v>0</v>
      </c>
      <c r="D1350">
        <v>10</v>
      </c>
      <c r="E1350">
        <v>1</v>
      </c>
      <c r="F1350">
        <v>0</v>
      </c>
      <c r="I1350" t="s">
        <v>107</v>
      </c>
      <c r="J1350">
        <v>503</v>
      </c>
      <c r="L1350">
        <v>4376.0999999999904</v>
      </c>
    </row>
    <row r="1351" spans="1:12" x14ac:dyDescent="0.3">
      <c r="A1351">
        <v>5</v>
      </c>
      <c r="C1351">
        <v>2</v>
      </c>
      <c r="D1351">
        <v>21</v>
      </c>
      <c r="E1351">
        <v>1</v>
      </c>
      <c r="G1351">
        <v>3</v>
      </c>
      <c r="H1351" t="s">
        <v>33</v>
      </c>
      <c r="I1351" t="s">
        <v>106</v>
      </c>
      <c r="J1351">
        <v>455</v>
      </c>
      <c r="K1351">
        <v>9.3000000000000007</v>
      </c>
      <c r="L1351">
        <v>4231.5</v>
      </c>
    </row>
    <row r="1352" spans="1:12" x14ac:dyDescent="0.3">
      <c r="A1352">
        <v>15</v>
      </c>
      <c r="B1352">
        <v>22</v>
      </c>
      <c r="C1352">
        <v>0</v>
      </c>
      <c r="E1352">
        <v>1</v>
      </c>
      <c r="F1352">
        <v>0</v>
      </c>
      <c r="G1352">
        <v>10</v>
      </c>
      <c r="H1352" t="s">
        <v>35</v>
      </c>
      <c r="I1352" t="s">
        <v>107</v>
      </c>
      <c r="J1352">
        <v>494</v>
      </c>
      <c r="K1352" t="s">
        <v>249</v>
      </c>
    </row>
    <row r="1353" spans="1:12" x14ac:dyDescent="0.3">
      <c r="B1353">
        <v>22</v>
      </c>
      <c r="C1353">
        <v>1</v>
      </c>
      <c r="D1353">
        <v>10</v>
      </c>
      <c r="E1353">
        <v>12</v>
      </c>
      <c r="F1353">
        <v>0</v>
      </c>
      <c r="G1353">
        <v>4</v>
      </c>
      <c r="H1353" t="s">
        <v>24</v>
      </c>
      <c r="I1353" t="s">
        <v>72</v>
      </c>
      <c r="J1353">
        <v>562</v>
      </c>
      <c r="K1353">
        <v>7.9</v>
      </c>
    </row>
    <row r="1354" spans="1:12" x14ac:dyDescent="0.3">
      <c r="A1354">
        <v>14</v>
      </c>
      <c r="B1354">
        <v>23</v>
      </c>
      <c r="C1354">
        <v>2</v>
      </c>
      <c r="D1354">
        <v>4</v>
      </c>
      <c r="E1354">
        <v>1</v>
      </c>
      <c r="F1354">
        <v>0</v>
      </c>
      <c r="G1354">
        <v>7</v>
      </c>
      <c r="H1354" t="s">
        <v>23</v>
      </c>
      <c r="I1354" t="s">
        <v>84</v>
      </c>
      <c r="J1354">
        <v>565</v>
      </c>
      <c r="K1354">
        <v>8.4</v>
      </c>
      <c r="L1354">
        <v>4746</v>
      </c>
    </row>
    <row r="1355" spans="1:12" x14ac:dyDescent="0.3">
      <c r="A1355">
        <v>22</v>
      </c>
      <c r="B1355">
        <v>22</v>
      </c>
      <c r="C1355">
        <v>0</v>
      </c>
      <c r="D1355">
        <v>15</v>
      </c>
      <c r="E1355">
        <v>1</v>
      </c>
      <c r="F1355">
        <v>0</v>
      </c>
      <c r="G1355">
        <v>3</v>
      </c>
      <c r="H1355" t="s">
        <v>22</v>
      </c>
      <c r="I1355" t="s">
        <v>128</v>
      </c>
      <c r="J1355">
        <v>592</v>
      </c>
      <c r="K1355">
        <v>7.8</v>
      </c>
      <c r="L1355">
        <v>4617.5999999999904</v>
      </c>
    </row>
    <row r="1356" spans="1:12" x14ac:dyDescent="0.3">
      <c r="A1356">
        <v>7</v>
      </c>
      <c r="B1356">
        <v>20</v>
      </c>
      <c r="C1356">
        <v>3</v>
      </c>
      <c r="D1356">
        <v>3</v>
      </c>
      <c r="E1356">
        <v>1</v>
      </c>
      <c r="F1356">
        <v>0</v>
      </c>
      <c r="H1356" t="s">
        <v>18</v>
      </c>
      <c r="J1356">
        <v>404</v>
      </c>
      <c r="K1356">
        <v>7.7</v>
      </c>
      <c r="L1356">
        <v>3110.8</v>
      </c>
    </row>
    <row r="1357" spans="1:12" x14ac:dyDescent="0.3">
      <c r="A1357">
        <v>7</v>
      </c>
      <c r="B1357">
        <v>21</v>
      </c>
      <c r="C1357">
        <v>0</v>
      </c>
      <c r="D1357">
        <v>6</v>
      </c>
      <c r="E1357">
        <v>1</v>
      </c>
      <c r="F1357">
        <v>0</v>
      </c>
      <c r="G1357">
        <v>7</v>
      </c>
      <c r="H1357" t="s">
        <v>20</v>
      </c>
      <c r="I1357" t="s">
        <v>108</v>
      </c>
      <c r="J1357" t="s">
        <v>202</v>
      </c>
      <c r="K1357">
        <v>9.1</v>
      </c>
      <c r="L1357">
        <v>3985.7999999999902</v>
      </c>
    </row>
    <row r="1358" spans="1:12" x14ac:dyDescent="0.3">
      <c r="A1358">
        <v>7</v>
      </c>
      <c r="B1358">
        <v>19</v>
      </c>
      <c r="C1358">
        <v>3</v>
      </c>
      <c r="D1358">
        <v>18</v>
      </c>
      <c r="E1358">
        <v>1</v>
      </c>
      <c r="F1358">
        <v>0</v>
      </c>
      <c r="G1358">
        <v>5</v>
      </c>
      <c r="H1358" t="s">
        <v>68</v>
      </c>
      <c r="I1358" t="s">
        <v>72</v>
      </c>
      <c r="J1358">
        <v>407</v>
      </c>
      <c r="K1358">
        <v>8.1</v>
      </c>
      <c r="L1358" t="s">
        <v>332</v>
      </c>
    </row>
    <row r="1359" spans="1:12" x14ac:dyDescent="0.3">
      <c r="A1359">
        <v>20</v>
      </c>
      <c r="B1359">
        <v>23</v>
      </c>
      <c r="C1359">
        <v>2</v>
      </c>
      <c r="D1359">
        <v>14</v>
      </c>
      <c r="E1359">
        <v>12</v>
      </c>
      <c r="F1359">
        <v>0</v>
      </c>
      <c r="G1359">
        <v>2</v>
      </c>
      <c r="H1359" t="s">
        <v>35</v>
      </c>
      <c r="I1359" t="s">
        <v>84</v>
      </c>
      <c r="J1359">
        <v>631</v>
      </c>
      <c r="K1359">
        <v>8.1999999999999993</v>
      </c>
      <c r="L1359">
        <v>5174.2</v>
      </c>
    </row>
    <row r="1360" spans="1:12" x14ac:dyDescent="0.3">
      <c r="A1360">
        <v>7</v>
      </c>
      <c r="B1360">
        <v>23</v>
      </c>
      <c r="C1360">
        <v>2</v>
      </c>
      <c r="D1360">
        <v>8</v>
      </c>
      <c r="E1360">
        <v>7</v>
      </c>
      <c r="F1360">
        <v>0</v>
      </c>
      <c r="G1360">
        <v>5</v>
      </c>
      <c r="H1360" t="s">
        <v>30</v>
      </c>
      <c r="I1360" t="s">
        <v>79</v>
      </c>
      <c r="K1360">
        <v>9.1999999999999993</v>
      </c>
      <c r="L1360">
        <v>4876</v>
      </c>
    </row>
    <row r="1361" spans="1:12" x14ac:dyDescent="0.3">
      <c r="A1361">
        <v>20</v>
      </c>
      <c r="B1361">
        <v>23</v>
      </c>
      <c r="C1361">
        <v>1</v>
      </c>
      <c r="D1361">
        <v>5</v>
      </c>
      <c r="E1361">
        <v>12</v>
      </c>
      <c r="F1361">
        <v>0</v>
      </c>
      <c r="G1361">
        <v>1</v>
      </c>
      <c r="H1361" t="s">
        <v>40</v>
      </c>
      <c r="I1361" t="s">
        <v>82</v>
      </c>
      <c r="J1361">
        <v>465</v>
      </c>
      <c r="K1361">
        <v>7.4</v>
      </c>
      <c r="L1361">
        <v>3441</v>
      </c>
    </row>
    <row r="1362" spans="1:12" x14ac:dyDescent="0.3">
      <c r="A1362">
        <v>18</v>
      </c>
      <c r="B1362">
        <v>22</v>
      </c>
      <c r="C1362">
        <v>1</v>
      </c>
      <c r="D1362">
        <v>22</v>
      </c>
      <c r="E1362">
        <v>1</v>
      </c>
      <c r="F1362">
        <v>0</v>
      </c>
      <c r="G1362">
        <v>8</v>
      </c>
      <c r="H1362" t="s">
        <v>32</v>
      </c>
      <c r="I1362" t="s">
        <v>73</v>
      </c>
      <c r="J1362">
        <v>490</v>
      </c>
      <c r="K1362">
        <v>7.6</v>
      </c>
      <c r="L1362">
        <v>3724</v>
      </c>
    </row>
    <row r="1363" spans="1:12" x14ac:dyDescent="0.3">
      <c r="A1363">
        <v>9</v>
      </c>
      <c r="B1363">
        <v>21</v>
      </c>
      <c r="C1363">
        <v>1</v>
      </c>
      <c r="D1363">
        <v>11</v>
      </c>
      <c r="E1363">
        <v>1</v>
      </c>
      <c r="F1363">
        <v>0</v>
      </c>
      <c r="H1363" t="s">
        <v>22</v>
      </c>
      <c r="I1363" t="s">
        <v>89</v>
      </c>
      <c r="J1363">
        <v>537</v>
      </c>
      <c r="K1363">
        <v>7.8</v>
      </c>
      <c r="L1363">
        <v>4188.5999999999904</v>
      </c>
    </row>
    <row r="1364" spans="1:12" x14ac:dyDescent="0.3">
      <c r="A1364">
        <v>17</v>
      </c>
      <c r="B1364">
        <v>23</v>
      </c>
      <c r="C1364">
        <v>0</v>
      </c>
      <c r="D1364">
        <v>22</v>
      </c>
      <c r="E1364">
        <v>1</v>
      </c>
      <c r="F1364">
        <v>0</v>
      </c>
      <c r="G1364">
        <v>4</v>
      </c>
      <c r="H1364" t="s">
        <v>35</v>
      </c>
      <c r="I1364" t="s">
        <v>107</v>
      </c>
      <c r="J1364">
        <v>636</v>
      </c>
      <c r="K1364">
        <v>8.1999999999999993</v>
      </c>
      <c r="L1364">
        <v>5215.2</v>
      </c>
    </row>
    <row r="1365" spans="1:12" x14ac:dyDescent="0.3">
      <c r="A1365">
        <v>10</v>
      </c>
      <c r="B1365">
        <v>22</v>
      </c>
      <c r="C1365">
        <v>1</v>
      </c>
      <c r="E1365">
        <v>7</v>
      </c>
      <c r="F1365">
        <v>0</v>
      </c>
      <c r="G1365">
        <v>4</v>
      </c>
      <c r="H1365" t="s">
        <v>16</v>
      </c>
      <c r="I1365" t="s">
        <v>72</v>
      </c>
      <c r="J1365">
        <v>589</v>
      </c>
      <c r="K1365">
        <v>8.9</v>
      </c>
    </row>
    <row r="1366" spans="1:12" x14ac:dyDescent="0.3">
      <c r="A1366">
        <v>7</v>
      </c>
      <c r="B1366">
        <v>18</v>
      </c>
      <c r="C1366">
        <v>2</v>
      </c>
      <c r="D1366">
        <v>21</v>
      </c>
      <c r="E1366">
        <v>1</v>
      </c>
      <c r="F1366">
        <v>0</v>
      </c>
      <c r="G1366">
        <v>11</v>
      </c>
      <c r="H1366" t="s">
        <v>16</v>
      </c>
      <c r="I1366" t="s">
        <v>104</v>
      </c>
      <c r="J1366">
        <v>350</v>
      </c>
      <c r="L1366">
        <v>3115</v>
      </c>
    </row>
    <row r="1367" spans="1:12" x14ac:dyDescent="0.3">
      <c r="A1367">
        <v>15</v>
      </c>
      <c r="B1367">
        <v>23</v>
      </c>
      <c r="C1367">
        <v>0</v>
      </c>
      <c r="E1367">
        <v>1</v>
      </c>
      <c r="F1367">
        <v>0</v>
      </c>
      <c r="G1367">
        <v>6</v>
      </c>
      <c r="H1367" t="s">
        <v>15</v>
      </c>
      <c r="I1367" t="s">
        <v>76</v>
      </c>
      <c r="J1367">
        <v>612</v>
      </c>
      <c r="K1367">
        <v>8.3000000000000007</v>
      </c>
      <c r="L1367">
        <v>5079.6000000000004</v>
      </c>
    </row>
    <row r="1368" spans="1:12" x14ac:dyDescent="0.3">
      <c r="A1368">
        <v>21</v>
      </c>
      <c r="B1368">
        <v>23</v>
      </c>
      <c r="C1368">
        <v>1</v>
      </c>
      <c r="D1368">
        <v>4</v>
      </c>
      <c r="E1368">
        <v>1</v>
      </c>
      <c r="F1368">
        <v>0</v>
      </c>
      <c r="G1368">
        <v>7</v>
      </c>
      <c r="H1368" t="s">
        <v>32</v>
      </c>
      <c r="I1368" t="s">
        <v>106</v>
      </c>
      <c r="J1368">
        <v>508</v>
      </c>
      <c r="K1368">
        <v>7.6</v>
      </c>
    </row>
    <row r="1369" spans="1:12" x14ac:dyDescent="0.3">
      <c r="A1369">
        <v>23</v>
      </c>
      <c r="B1369">
        <v>22</v>
      </c>
      <c r="C1369">
        <v>2</v>
      </c>
      <c r="E1369">
        <v>1</v>
      </c>
      <c r="F1369">
        <v>0</v>
      </c>
      <c r="G1369">
        <v>5</v>
      </c>
      <c r="H1369" t="s">
        <v>24</v>
      </c>
      <c r="I1369" t="s">
        <v>73</v>
      </c>
      <c r="J1369">
        <v>524</v>
      </c>
      <c r="K1369">
        <v>7.9</v>
      </c>
      <c r="L1369">
        <v>4139.6000000000004</v>
      </c>
    </row>
    <row r="1370" spans="1:12" x14ac:dyDescent="0.3">
      <c r="A1370">
        <v>21</v>
      </c>
      <c r="B1370">
        <v>22</v>
      </c>
      <c r="C1370">
        <v>0</v>
      </c>
      <c r="D1370">
        <v>19</v>
      </c>
      <c r="E1370">
        <v>1</v>
      </c>
      <c r="F1370">
        <v>0</v>
      </c>
      <c r="G1370">
        <v>7</v>
      </c>
      <c r="H1370" t="s">
        <v>25</v>
      </c>
      <c r="I1370" t="s">
        <v>95</v>
      </c>
      <c r="J1370">
        <v>509</v>
      </c>
      <c r="K1370">
        <v>8.1</v>
      </c>
      <c r="L1370">
        <v>4122.8999999999996</v>
      </c>
    </row>
    <row r="1371" spans="1:12" x14ac:dyDescent="0.3">
      <c r="A1371">
        <v>10</v>
      </c>
      <c r="B1371">
        <v>17</v>
      </c>
      <c r="C1371">
        <v>2</v>
      </c>
      <c r="D1371">
        <v>16</v>
      </c>
      <c r="E1371">
        <v>1</v>
      </c>
      <c r="F1371">
        <v>0</v>
      </c>
      <c r="G1371">
        <v>5</v>
      </c>
      <c r="H1371" t="s">
        <v>25</v>
      </c>
      <c r="I1371" t="s">
        <v>84</v>
      </c>
      <c r="J1371">
        <v>479</v>
      </c>
      <c r="K1371">
        <v>8.1</v>
      </c>
      <c r="L1371">
        <v>3879.8999999999901</v>
      </c>
    </row>
    <row r="1372" spans="1:12" x14ac:dyDescent="0.3">
      <c r="A1372">
        <v>11</v>
      </c>
      <c r="B1372">
        <v>23</v>
      </c>
      <c r="C1372">
        <v>1</v>
      </c>
      <c r="D1372">
        <v>7</v>
      </c>
      <c r="F1372">
        <v>0</v>
      </c>
      <c r="G1372">
        <v>10</v>
      </c>
      <c r="H1372" t="s">
        <v>22</v>
      </c>
      <c r="I1372" t="s">
        <v>87</v>
      </c>
      <c r="J1372">
        <v>543</v>
      </c>
      <c r="K1372">
        <v>7.8</v>
      </c>
      <c r="L1372">
        <v>4235.3999999999996</v>
      </c>
    </row>
    <row r="1373" spans="1:12" x14ac:dyDescent="0.3">
      <c r="A1373">
        <v>22</v>
      </c>
      <c r="B1373">
        <v>23</v>
      </c>
      <c r="C1373">
        <v>3</v>
      </c>
      <c r="D1373">
        <v>8</v>
      </c>
      <c r="E1373">
        <v>12</v>
      </c>
      <c r="G1373">
        <v>3</v>
      </c>
      <c r="H1373" t="s">
        <v>26</v>
      </c>
      <c r="I1373" t="s">
        <v>78</v>
      </c>
      <c r="J1373">
        <v>764</v>
      </c>
      <c r="K1373">
        <v>8.5</v>
      </c>
      <c r="L1373" t="s">
        <v>333</v>
      </c>
    </row>
    <row r="1374" spans="1:12" x14ac:dyDescent="0.3">
      <c r="A1374">
        <v>21</v>
      </c>
      <c r="B1374">
        <v>22</v>
      </c>
      <c r="C1374">
        <v>1</v>
      </c>
      <c r="D1374">
        <v>10</v>
      </c>
      <c r="E1374">
        <v>1</v>
      </c>
      <c r="F1374">
        <v>0</v>
      </c>
      <c r="G1374">
        <v>2</v>
      </c>
      <c r="H1374" t="s">
        <v>33</v>
      </c>
      <c r="J1374">
        <v>331</v>
      </c>
      <c r="K1374">
        <v>9.3000000000000007</v>
      </c>
      <c r="L1374">
        <v>3078.3</v>
      </c>
    </row>
    <row r="1375" spans="1:12" x14ac:dyDescent="0.3">
      <c r="A1375">
        <v>7</v>
      </c>
      <c r="B1375">
        <v>20</v>
      </c>
      <c r="C1375">
        <v>2</v>
      </c>
      <c r="D1375">
        <v>13</v>
      </c>
      <c r="E1375">
        <v>1</v>
      </c>
      <c r="G1375">
        <v>12</v>
      </c>
      <c r="H1375" t="s">
        <v>12</v>
      </c>
      <c r="I1375" t="s">
        <v>85</v>
      </c>
      <c r="J1375">
        <v>528</v>
      </c>
      <c r="K1375">
        <v>8.1</v>
      </c>
      <c r="L1375">
        <v>4276.8</v>
      </c>
    </row>
    <row r="1376" spans="1:12" x14ac:dyDescent="0.3">
      <c r="A1376">
        <v>9</v>
      </c>
      <c r="B1376">
        <v>19</v>
      </c>
      <c r="C1376">
        <v>2</v>
      </c>
      <c r="D1376">
        <v>3</v>
      </c>
      <c r="E1376">
        <v>1</v>
      </c>
      <c r="F1376">
        <v>0</v>
      </c>
      <c r="H1376" t="s">
        <v>26</v>
      </c>
      <c r="I1376" t="s">
        <v>117</v>
      </c>
      <c r="J1376">
        <v>476</v>
      </c>
      <c r="K1376">
        <v>8.5</v>
      </c>
      <c r="L1376">
        <v>4046</v>
      </c>
    </row>
    <row r="1377" spans="1:12" x14ac:dyDescent="0.3">
      <c r="A1377">
        <v>5</v>
      </c>
      <c r="B1377">
        <v>17</v>
      </c>
      <c r="C1377">
        <v>1</v>
      </c>
      <c r="D1377">
        <v>4</v>
      </c>
      <c r="E1377">
        <v>7</v>
      </c>
      <c r="F1377">
        <v>0</v>
      </c>
      <c r="H1377" t="s">
        <v>16</v>
      </c>
      <c r="I1377" t="s">
        <v>107</v>
      </c>
      <c r="J1377">
        <v>211</v>
      </c>
      <c r="K1377">
        <v>8.9</v>
      </c>
      <c r="L1377">
        <v>1877.9</v>
      </c>
    </row>
    <row r="1378" spans="1:12" x14ac:dyDescent="0.3">
      <c r="A1378">
        <v>21</v>
      </c>
      <c r="B1378">
        <v>23</v>
      </c>
      <c r="C1378">
        <v>1</v>
      </c>
      <c r="D1378">
        <v>3</v>
      </c>
      <c r="E1378">
        <v>12</v>
      </c>
      <c r="F1378">
        <v>0</v>
      </c>
      <c r="G1378">
        <v>2</v>
      </c>
      <c r="H1378" t="s">
        <v>32</v>
      </c>
      <c r="I1378" t="s">
        <v>88</v>
      </c>
      <c r="J1378">
        <v>495</v>
      </c>
      <c r="K1378" t="s">
        <v>250</v>
      </c>
      <c r="L1378">
        <v>3762</v>
      </c>
    </row>
    <row r="1379" spans="1:12" x14ac:dyDescent="0.3">
      <c r="A1379">
        <v>17</v>
      </c>
      <c r="B1379">
        <v>22</v>
      </c>
      <c r="C1379">
        <v>0</v>
      </c>
      <c r="D1379">
        <v>19</v>
      </c>
      <c r="E1379">
        <v>1</v>
      </c>
      <c r="G1379">
        <v>3</v>
      </c>
      <c r="H1379" t="s">
        <v>16</v>
      </c>
      <c r="I1379" t="s">
        <v>78</v>
      </c>
      <c r="J1379">
        <v>652</v>
      </c>
      <c r="K1379">
        <v>8.9</v>
      </c>
      <c r="L1379">
        <v>5802.8</v>
      </c>
    </row>
    <row r="1380" spans="1:12" x14ac:dyDescent="0.3">
      <c r="A1380">
        <v>7</v>
      </c>
      <c r="B1380">
        <v>17</v>
      </c>
      <c r="C1380">
        <v>2</v>
      </c>
      <c r="D1380">
        <v>10</v>
      </c>
      <c r="E1380">
        <v>1</v>
      </c>
      <c r="F1380">
        <v>0</v>
      </c>
      <c r="G1380">
        <v>10</v>
      </c>
      <c r="H1380" t="s">
        <v>38</v>
      </c>
      <c r="I1380" t="s">
        <v>96</v>
      </c>
      <c r="J1380">
        <v>407</v>
      </c>
      <c r="K1380" t="s">
        <v>251</v>
      </c>
      <c r="L1380">
        <v>3011.8</v>
      </c>
    </row>
    <row r="1381" spans="1:12" x14ac:dyDescent="0.3">
      <c r="A1381">
        <v>10</v>
      </c>
      <c r="B1381">
        <v>18</v>
      </c>
      <c r="C1381">
        <v>0</v>
      </c>
      <c r="D1381">
        <v>5</v>
      </c>
      <c r="E1381">
        <v>1</v>
      </c>
      <c r="F1381">
        <v>0</v>
      </c>
      <c r="G1381">
        <v>11</v>
      </c>
      <c r="H1381" t="s">
        <v>24</v>
      </c>
      <c r="I1381" t="s">
        <v>105</v>
      </c>
      <c r="J1381" t="s">
        <v>203</v>
      </c>
      <c r="K1381">
        <v>7.9</v>
      </c>
      <c r="L1381">
        <v>1793.3</v>
      </c>
    </row>
    <row r="1382" spans="1:12" x14ac:dyDescent="0.3">
      <c r="A1382">
        <v>10</v>
      </c>
      <c r="B1382">
        <v>18</v>
      </c>
      <c r="C1382">
        <v>3</v>
      </c>
      <c r="D1382">
        <v>6</v>
      </c>
      <c r="E1382">
        <v>1</v>
      </c>
      <c r="F1382">
        <v>0</v>
      </c>
      <c r="G1382">
        <v>5</v>
      </c>
      <c r="H1382" t="s">
        <v>20</v>
      </c>
      <c r="I1382" t="s">
        <v>83</v>
      </c>
      <c r="J1382">
        <v>358</v>
      </c>
      <c r="K1382">
        <v>9.1</v>
      </c>
    </row>
    <row r="1383" spans="1:12" x14ac:dyDescent="0.3">
      <c r="A1383">
        <v>7</v>
      </c>
      <c r="B1383">
        <v>21</v>
      </c>
      <c r="C1383">
        <v>2</v>
      </c>
      <c r="D1383">
        <v>17</v>
      </c>
      <c r="E1383">
        <v>1</v>
      </c>
      <c r="F1383">
        <v>0</v>
      </c>
      <c r="G1383">
        <v>11</v>
      </c>
      <c r="H1383" t="s">
        <v>27</v>
      </c>
      <c r="I1383" t="s">
        <v>103</v>
      </c>
      <c r="J1383">
        <v>393</v>
      </c>
      <c r="K1383">
        <v>8.4</v>
      </c>
      <c r="L1383">
        <v>3301.2</v>
      </c>
    </row>
    <row r="1384" spans="1:12" x14ac:dyDescent="0.3">
      <c r="A1384">
        <v>21</v>
      </c>
      <c r="B1384">
        <v>22</v>
      </c>
      <c r="C1384">
        <v>0</v>
      </c>
      <c r="E1384">
        <v>12</v>
      </c>
      <c r="F1384">
        <v>0</v>
      </c>
      <c r="G1384">
        <v>3</v>
      </c>
      <c r="I1384" t="s">
        <v>93</v>
      </c>
      <c r="J1384" t="s">
        <v>204</v>
      </c>
      <c r="K1384">
        <v>7.7</v>
      </c>
      <c r="L1384">
        <v>4658.5</v>
      </c>
    </row>
    <row r="1385" spans="1:12" x14ac:dyDescent="0.3">
      <c r="A1385">
        <v>8</v>
      </c>
      <c r="B1385">
        <v>20</v>
      </c>
      <c r="C1385">
        <v>3</v>
      </c>
      <c r="D1385">
        <v>5</v>
      </c>
      <c r="E1385">
        <v>1</v>
      </c>
      <c r="F1385">
        <v>0</v>
      </c>
      <c r="G1385">
        <v>9</v>
      </c>
      <c r="H1385" t="s">
        <v>15</v>
      </c>
      <c r="I1385" t="s">
        <v>70</v>
      </c>
      <c r="J1385">
        <v>487</v>
      </c>
      <c r="L1385">
        <v>4042.1</v>
      </c>
    </row>
    <row r="1386" spans="1:12" x14ac:dyDescent="0.3">
      <c r="A1386">
        <v>18</v>
      </c>
      <c r="B1386">
        <v>23</v>
      </c>
      <c r="C1386">
        <v>0</v>
      </c>
      <c r="D1386">
        <v>7</v>
      </c>
      <c r="E1386">
        <v>1</v>
      </c>
      <c r="F1386">
        <v>0</v>
      </c>
      <c r="G1386">
        <v>9</v>
      </c>
      <c r="H1386" t="s">
        <v>35</v>
      </c>
      <c r="I1386" t="s">
        <v>92</v>
      </c>
      <c r="J1386">
        <v>558</v>
      </c>
      <c r="K1386">
        <v>8.1999999999999993</v>
      </c>
      <c r="L1386">
        <v>4575.5999999999904</v>
      </c>
    </row>
    <row r="1387" spans="1:12" x14ac:dyDescent="0.3">
      <c r="A1387">
        <v>16</v>
      </c>
      <c r="B1387">
        <v>22</v>
      </c>
      <c r="C1387">
        <v>2</v>
      </c>
      <c r="D1387">
        <v>11</v>
      </c>
      <c r="E1387">
        <v>1</v>
      </c>
      <c r="F1387">
        <v>0</v>
      </c>
      <c r="G1387">
        <v>3</v>
      </c>
      <c r="H1387" t="s">
        <v>30</v>
      </c>
      <c r="J1387">
        <v>625</v>
      </c>
      <c r="K1387">
        <v>9.1999999999999993</v>
      </c>
      <c r="L1387">
        <v>5750</v>
      </c>
    </row>
    <row r="1388" spans="1:12" x14ac:dyDescent="0.3">
      <c r="A1388">
        <v>16</v>
      </c>
      <c r="B1388">
        <v>22</v>
      </c>
      <c r="C1388">
        <v>1</v>
      </c>
      <c r="D1388">
        <v>3</v>
      </c>
      <c r="E1388">
        <v>1</v>
      </c>
      <c r="F1388">
        <v>0</v>
      </c>
      <c r="G1388">
        <v>11</v>
      </c>
      <c r="H1388" t="s">
        <v>22</v>
      </c>
      <c r="I1388" t="s">
        <v>90</v>
      </c>
      <c r="J1388">
        <v>322</v>
      </c>
      <c r="K1388">
        <v>7.8</v>
      </c>
      <c r="L1388" t="s">
        <v>334</v>
      </c>
    </row>
    <row r="1389" spans="1:12" x14ac:dyDescent="0.3">
      <c r="A1389">
        <v>5</v>
      </c>
      <c r="B1389">
        <v>23</v>
      </c>
      <c r="C1389">
        <v>0</v>
      </c>
      <c r="D1389">
        <v>17</v>
      </c>
      <c r="E1389">
        <v>1</v>
      </c>
      <c r="F1389">
        <v>0</v>
      </c>
      <c r="G1389">
        <v>5</v>
      </c>
      <c r="H1389" t="s">
        <v>15</v>
      </c>
      <c r="J1389" t="s">
        <v>143</v>
      </c>
      <c r="K1389">
        <v>8.3000000000000007</v>
      </c>
      <c r="L1389">
        <v>4971.7</v>
      </c>
    </row>
    <row r="1390" spans="1:12" x14ac:dyDescent="0.3">
      <c r="A1390">
        <v>14</v>
      </c>
      <c r="B1390">
        <v>23</v>
      </c>
      <c r="C1390">
        <v>3</v>
      </c>
      <c r="D1390">
        <v>15</v>
      </c>
      <c r="E1390">
        <v>1</v>
      </c>
      <c r="F1390">
        <v>0</v>
      </c>
      <c r="G1390">
        <v>1</v>
      </c>
      <c r="H1390" t="s">
        <v>32</v>
      </c>
      <c r="I1390" t="s">
        <v>104</v>
      </c>
      <c r="J1390">
        <v>564</v>
      </c>
      <c r="K1390" t="s">
        <v>250</v>
      </c>
      <c r="L1390">
        <v>4286.3999999999996</v>
      </c>
    </row>
    <row r="1391" spans="1:12" x14ac:dyDescent="0.3">
      <c r="A1391">
        <v>21</v>
      </c>
      <c r="B1391">
        <v>22</v>
      </c>
      <c r="C1391">
        <v>2</v>
      </c>
      <c r="D1391">
        <v>19</v>
      </c>
      <c r="E1391">
        <v>12</v>
      </c>
      <c r="F1391">
        <v>0</v>
      </c>
      <c r="H1391" t="s">
        <v>36</v>
      </c>
      <c r="I1391" t="s">
        <v>106</v>
      </c>
      <c r="J1391">
        <v>756</v>
      </c>
      <c r="K1391">
        <v>8.8000000000000007</v>
      </c>
      <c r="L1391">
        <v>6652.8</v>
      </c>
    </row>
    <row r="1392" spans="1:12" x14ac:dyDescent="0.3">
      <c r="A1392">
        <v>7</v>
      </c>
      <c r="B1392">
        <v>18</v>
      </c>
      <c r="C1392">
        <v>2</v>
      </c>
      <c r="D1392">
        <v>13</v>
      </c>
      <c r="G1392">
        <v>1</v>
      </c>
      <c r="H1392" t="s">
        <v>24</v>
      </c>
      <c r="I1392" t="s">
        <v>96</v>
      </c>
      <c r="J1392">
        <v>444</v>
      </c>
      <c r="K1392">
        <v>7.9</v>
      </c>
      <c r="L1392">
        <v>3507.6</v>
      </c>
    </row>
    <row r="1393" spans="1:12" x14ac:dyDescent="0.3">
      <c r="A1393">
        <v>8</v>
      </c>
      <c r="B1393">
        <v>22</v>
      </c>
      <c r="C1393">
        <v>3</v>
      </c>
      <c r="D1393">
        <v>18</v>
      </c>
      <c r="E1393">
        <v>7</v>
      </c>
      <c r="F1393">
        <v>0</v>
      </c>
      <c r="H1393" t="s">
        <v>27</v>
      </c>
      <c r="I1393" t="s">
        <v>75</v>
      </c>
      <c r="J1393">
        <v>532</v>
      </c>
      <c r="K1393">
        <v>8.4</v>
      </c>
      <c r="L1393">
        <v>4468.8</v>
      </c>
    </row>
    <row r="1394" spans="1:12" x14ac:dyDescent="0.3">
      <c r="A1394">
        <v>14</v>
      </c>
      <c r="B1394">
        <v>22</v>
      </c>
      <c r="C1394">
        <v>1</v>
      </c>
      <c r="E1394">
        <v>1</v>
      </c>
      <c r="F1394">
        <v>0</v>
      </c>
      <c r="G1394">
        <v>1</v>
      </c>
      <c r="H1394" t="s">
        <v>26</v>
      </c>
      <c r="I1394" t="s">
        <v>90</v>
      </c>
      <c r="J1394">
        <v>561</v>
      </c>
      <c r="K1394">
        <v>8.5</v>
      </c>
      <c r="L1394">
        <v>4768.5</v>
      </c>
    </row>
    <row r="1395" spans="1:12" x14ac:dyDescent="0.3">
      <c r="A1395">
        <v>6</v>
      </c>
      <c r="B1395">
        <v>23</v>
      </c>
      <c r="C1395">
        <v>3</v>
      </c>
      <c r="D1395">
        <v>18</v>
      </c>
      <c r="E1395">
        <v>1</v>
      </c>
      <c r="F1395">
        <v>0</v>
      </c>
      <c r="G1395">
        <v>5</v>
      </c>
      <c r="H1395" t="s">
        <v>16</v>
      </c>
      <c r="I1395" t="s">
        <v>95</v>
      </c>
      <c r="J1395">
        <v>442</v>
      </c>
      <c r="K1395">
        <v>8.9</v>
      </c>
      <c r="L1395">
        <v>3933.8</v>
      </c>
    </row>
    <row r="1396" spans="1:12" x14ac:dyDescent="0.3">
      <c r="A1396">
        <v>18</v>
      </c>
      <c r="B1396">
        <v>22</v>
      </c>
      <c r="C1396">
        <v>1</v>
      </c>
      <c r="D1396">
        <v>13</v>
      </c>
      <c r="E1396">
        <v>1</v>
      </c>
      <c r="F1396">
        <v>0</v>
      </c>
      <c r="G1396">
        <v>8</v>
      </c>
      <c r="H1396" t="s">
        <v>22</v>
      </c>
      <c r="I1396" t="s">
        <v>78</v>
      </c>
      <c r="J1396">
        <v>601</v>
      </c>
      <c r="K1396">
        <v>7.8</v>
      </c>
      <c r="L1396">
        <v>4687.8</v>
      </c>
    </row>
    <row r="1397" spans="1:12" x14ac:dyDescent="0.3">
      <c r="A1397">
        <v>20</v>
      </c>
      <c r="B1397">
        <v>23</v>
      </c>
      <c r="C1397">
        <v>3</v>
      </c>
      <c r="D1397">
        <v>16</v>
      </c>
      <c r="E1397">
        <v>1</v>
      </c>
      <c r="F1397">
        <v>0</v>
      </c>
      <c r="G1397">
        <v>4</v>
      </c>
      <c r="H1397" t="s">
        <v>38</v>
      </c>
      <c r="J1397">
        <v>648</v>
      </c>
      <c r="K1397">
        <v>7.4</v>
      </c>
      <c r="L1397">
        <v>4795.2</v>
      </c>
    </row>
    <row r="1398" spans="1:12" x14ac:dyDescent="0.3">
      <c r="A1398">
        <v>23</v>
      </c>
      <c r="B1398">
        <v>23</v>
      </c>
      <c r="C1398">
        <v>0</v>
      </c>
      <c r="D1398">
        <v>15</v>
      </c>
      <c r="E1398">
        <v>1</v>
      </c>
      <c r="F1398">
        <v>0</v>
      </c>
      <c r="G1398">
        <v>1</v>
      </c>
      <c r="H1398" t="s">
        <v>33</v>
      </c>
      <c r="I1398" t="s">
        <v>80</v>
      </c>
      <c r="J1398">
        <v>478</v>
      </c>
      <c r="K1398">
        <v>9.3000000000000007</v>
      </c>
      <c r="L1398">
        <v>4445.3999999999996</v>
      </c>
    </row>
    <row r="1399" spans="1:12" x14ac:dyDescent="0.3">
      <c r="A1399">
        <v>13</v>
      </c>
      <c r="D1399">
        <v>8</v>
      </c>
      <c r="E1399">
        <v>12</v>
      </c>
      <c r="F1399">
        <v>0</v>
      </c>
      <c r="H1399" t="s">
        <v>39</v>
      </c>
      <c r="I1399" t="s">
        <v>106</v>
      </c>
      <c r="J1399">
        <v>683</v>
      </c>
      <c r="K1399">
        <v>8.8000000000000007</v>
      </c>
      <c r="L1399">
        <v>6010.4</v>
      </c>
    </row>
    <row r="1400" spans="1:12" x14ac:dyDescent="0.3">
      <c r="A1400">
        <v>5</v>
      </c>
      <c r="B1400">
        <v>18</v>
      </c>
      <c r="C1400">
        <v>0</v>
      </c>
      <c r="D1400">
        <v>7</v>
      </c>
      <c r="E1400">
        <v>7</v>
      </c>
      <c r="G1400">
        <v>10</v>
      </c>
      <c r="H1400" t="s">
        <v>32</v>
      </c>
      <c r="I1400" t="s">
        <v>104</v>
      </c>
      <c r="K1400">
        <v>7.6</v>
      </c>
      <c r="L1400">
        <v>2333.1999999999998</v>
      </c>
    </row>
    <row r="1401" spans="1:12" x14ac:dyDescent="0.3">
      <c r="A1401">
        <v>23</v>
      </c>
      <c r="B1401">
        <v>22</v>
      </c>
      <c r="C1401">
        <v>2</v>
      </c>
      <c r="D1401">
        <v>14</v>
      </c>
      <c r="E1401">
        <v>1</v>
      </c>
      <c r="F1401">
        <v>0</v>
      </c>
      <c r="G1401">
        <v>4</v>
      </c>
      <c r="H1401" t="s">
        <v>16</v>
      </c>
      <c r="I1401" t="s">
        <v>131</v>
      </c>
      <c r="J1401">
        <v>470</v>
      </c>
      <c r="K1401">
        <v>8.9</v>
      </c>
    </row>
    <row r="1402" spans="1:12" x14ac:dyDescent="0.3">
      <c r="A1402">
        <v>22</v>
      </c>
      <c r="B1402">
        <v>22</v>
      </c>
      <c r="C1402">
        <v>2</v>
      </c>
      <c r="D1402">
        <v>6</v>
      </c>
      <c r="E1402">
        <v>1</v>
      </c>
      <c r="F1402">
        <v>0</v>
      </c>
      <c r="G1402">
        <v>8</v>
      </c>
      <c r="H1402" t="s">
        <v>20</v>
      </c>
      <c r="I1402" t="s">
        <v>87</v>
      </c>
      <c r="J1402">
        <v>540</v>
      </c>
      <c r="K1402">
        <v>9.1</v>
      </c>
      <c r="L1402">
        <v>4914</v>
      </c>
    </row>
    <row r="1403" spans="1:12" x14ac:dyDescent="0.3">
      <c r="A1403">
        <v>20</v>
      </c>
      <c r="B1403">
        <v>22</v>
      </c>
      <c r="C1403">
        <v>2</v>
      </c>
      <c r="D1403">
        <v>4</v>
      </c>
      <c r="E1403">
        <v>1</v>
      </c>
      <c r="F1403">
        <v>0</v>
      </c>
      <c r="G1403">
        <v>6</v>
      </c>
      <c r="H1403" t="s">
        <v>24</v>
      </c>
      <c r="I1403" t="s">
        <v>73</v>
      </c>
      <c r="J1403">
        <v>361</v>
      </c>
      <c r="K1403">
        <v>7.9</v>
      </c>
      <c r="L1403">
        <v>2851.9</v>
      </c>
    </row>
    <row r="1404" spans="1:12" x14ac:dyDescent="0.3">
      <c r="A1404">
        <v>5</v>
      </c>
      <c r="B1404">
        <v>22</v>
      </c>
      <c r="C1404">
        <v>3</v>
      </c>
      <c r="D1404">
        <v>13</v>
      </c>
      <c r="E1404">
        <v>1</v>
      </c>
      <c r="G1404">
        <v>12</v>
      </c>
      <c r="H1404" t="s">
        <v>24</v>
      </c>
      <c r="I1404" t="s">
        <v>91</v>
      </c>
      <c r="J1404">
        <v>409</v>
      </c>
      <c r="K1404">
        <v>7.9</v>
      </c>
      <c r="L1404">
        <v>3231.1</v>
      </c>
    </row>
    <row r="1405" spans="1:12" x14ac:dyDescent="0.3">
      <c r="A1405">
        <v>10</v>
      </c>
      <c r="B1405">
        <v>21</v>
      </c>
      <c r="C1405">
        <v>2</v>
      </c>
      <c r="D1405">
        <v>22</v>
      </c>
      <c r="E1405">
        <v>1</v>
      </c>
      <c r="F1405">
        <v>0</v>
      </c>
      <c r="G1405">
        <v>10</v>
      </c>
      <c r="H1405" t="s">
        <v>22</v>
      </c>
      <c r="I1405" t="s">
        <v>94</v>
      </c>
      <c r="J1405">
        <v>714</v>
      </c>
      <c r="K1405">
        <v>7.8</v>
      </c>
      <c r="L1405">
        <v>5569.2</v>
      </c>
    </row>
    <row r="1406" spans="1:12" x14ac:dyDescent="0.3">
      <c r="A1406">
        <v>7</v>
      </c>
      <c r="C1406">
        <v>1</v>
      </c>
      <c r="D1406">
        <v>16</v>
      </c>
      <c r="E1406">
        <v>1</v>
      </c>
      <c r="F1406">
        <v>0</v>
      </c>
      <c r="G1406">
        <v>9</v>
      </c>
      <c r="H1406" t="s">
        <v>23</v>
      </c>
      <c r="I1406" t="s">
        <v>80</v>
      </c>
      <c r="J1406">
        <v>501</v>
      </c>
      <c r="K1406">
        <v>8.4</v>
      </c>
      <c r="L1406">
        <v>4208.3999999999996</v>
      </c>
    </row>
    <row r="1407" spans="1:12" x14ac:dyDescent="0.3">
      <c r="B1407">
        <v>22</v>
      </c>
      <c r="C1407">
        <v>2</v>
      </c>
      <c r="D1407">
        <v>12</v>
      </c>
      <c r="E1407">
        <v>1</v>
      </c>
      <c r="F1407">
        <v>0</v>
      </c>
      <c r="G1407">
        <v>12</v>
      </c>
      <c r="H1407" t="s">
        <v>15</v>
      </c>
      <c r="I1407" t="s">
        <v>72</v>
      </c>
      <c r="J1407">
        <v>701</v>
      </c>
      <c r="K1407" t="s">
        <v>143</v>
      </c>
      <c r="L1407">
        <v>5818.3</v>
      </c>
    </row>
    <row r="1408" spans="1:12" x14ac:dyDescent="0.3">
      <c r="A1408">
        <v>21</v>
      </c>
      <c r="B1408">
        <v>23</v>
      </c>
      <c r="D1408">
        <v>4</v>
      </c>
      <c r="E1408">
        <v>1</v>
      </c>
      <c r="F1408">
        <v>0</v>
      </c>
      <c r="G1408">
        <v>7</v>
      </c>
      <c r="H1408" t="s">
        <v>22</v>
      </c>
      <c r="I1408" t="s">
        <v>89</v>
      </c>
      <c r="J1408">
        <v>581</v>
      </c>
      <c r="K1408">
        <v>7.8</v>
      </c>
      <c r="L1408">
        <v>4531.8</v>
      </c>
    </row>
    <row r="1409" spans="1:12" x14ac:dyDescent="0.3">
      <c r="A1409">
        <v>5</v>
      </c>
      <c r="B1409">
        <v>20</v>
      </c>
      <c r="C1409">
        <v>0</v>
      </c>
      <c r="D1409">
        <v>3</v>
      </c>
      <c r="E1409">
        <v>1</v>
      </c>
      <c r="F1409">
        <v>0</v>
      </c>
      <c r="G1409">
        <v>12</v>
      </c>
      <c r="H1409" t="s">
        <v>30</v>
      </c>
      <c r="K1409">
        <v>9.1999999999999993</v>
      </c>
      <c r="L1409">
        <v>1895.19999999999</v>
      </c>
    </row>
    <row r="1410" spans="1:12" x14ac:dyDescent="0.3">
      <c r="A1410">
        <v>17</v>
      </c>
      <c r="B1410">
        <v>22</v>
      </c>
      <c r="C1410">
        <v>1</v>
      </c>
      <c r="D1410">
        <v>17</v>
      </c>
      <c r="E1410">
        <v>1</v>
      </c>
      <c r="F1410">
        <v>0</v>
      </c>
      <c r="G1410">
        <v>1</v>
      </c>
      <c r="H1410" t="s">
        <v>20</v>
      </c>
      <c r="I1410" t="s">
        <v>71</v>
      </c>
      <c r="J1410">
        <v>529</v>
      </c>
      <c r="K1410">
        <v>9.1</v>
      </c>
      <c r="L1410">
        <v>4813.8999999999996</v>
      </c>
    </row>
    <row r="1411" spans="1:12" x14ac:dyDescent="0.3">
      <c r="A1411">
        <v>12</v>
      </c>
      <c r="B1411">
        <v>22</v>
      </c>
      <c r="C1411">
        <v>2</v>
      </c>
      <c r="E1411">
        <v>1</v>
      </c>
      <c r="F1411">
        <v>0</v>
      </c>
      <c r="G1411">
        <v>5</v>
      </c>
      <c r="H1411" t="s">
        <v>41</v>
      </c>
      <c r="I1411" t="s">
        <v>88</v>
      </c>
      <c r="J1411">
        <v>550</v>
      </c>
      <c r="K1411">
        <v>8.5</v>
      </c>
      <c r="L1411">
        <v>4675</v>
      </c>
    </row>
    <row r="1412" spans="1:12" x14ac:dyDescent="0.3">
      <c r="A1412">
        <v>17</v>
      </c>
      <c r="C1412">
        <v>2</v>
      </c>
      <c r="D1412">
        <v>4</v>
      </c>
      <c r="E1412">
        <v>1</v>
      </c>
      <c r="G1412">
        <v>10</v>
      </c>
      <c r="H1412" t="s">
        <v>18</v>
      </c>
      <c r="I1412" t="s">
        <v>96</v>
      </c>
      <c r="J1412">
        <v>347</v>
      </c>
      <c r="K1412">
        <v>7.7</v>
      </c>
      <c r="L1412">
        <v>2671.9</v>
      </c>
    </row>
    <row r="1413" spans="1:12" x14ac:dyDescent="0.3">
      <c r="A1413">
        <v>8</v>
      </c>
      <c r="B1413">
        <v>21</v>
      </c>
      <c r="C1413">
        <v>2</v>
      </c>
      <c r="D1413">
        <v>19</v>
      </c>
      <c r="E1413">
        <v>1</v>
      </c>
      <c r="F1413">
        <v>0</v>
      </c>
      <c r="G1413">
        <v>4</v>
      </c>
      <c r="H1413" t="s">
        <v>15</v>
      </c>
      <c r="I1413" t="s">
        <v>107</v>
      </c>
      <c r="J1413">
        <v>573</v>
      </c>
      <c r="K1413">
        <v>8.3000000000000007</v>
      </c>
      <c r="L1413">
        <v>4755.8999999999996</v>
      </c>
    </row>
    <row r="1414" spans="1:12" x14ac:dyDescent="0.3">
      <c r="A1414">
        <v>11</v>
      </c>
      <c r="B1414">
        <v>22</v>
      </c>
      <c r="C1414">
        <v>2</v>
      </c>
      <c r="D1414">
        <v>19</v>
      </c>
      <c r="E1414">
        <v>1</v>
      </c>
      <c r="F1414">
        <v>0</v>
      </c>
      <c r="G1414">
        <v>3</v>
      </c>
      <c r="H1414" t="s">
        <v>36</v>
      </c>
      <c r="I1414" t="s">
        <v>71</v>
      </c>
      <c r="J1414">
        <v>460</v>
      </c>
      <c r="K1414">
        <v>8.8000000000000007</v>
      </c>
      <c r="L1414">
        <v>4048</v>
      </c>
    </row>
    <row r="1415" spans="1:12" x14ac:dyDescent="0.3">
      <c r="A1415">
        <v>20</v>
      </c>
      <c r="B1415">
        <v>22</v>
      </c>
      <c r="C1415">
        <v>3</v>
      </c>
      <c r="D1415">
        <v>6</v>
      </c>
      <c r="E1415">
        <v>1</v>
      </c>
      <c r="F1415">
        <v>0</v>
      </c>
      <c r="G1415">
        <v>9</v>
      </c>
      <c r="H1415" t="s">
        <v>30</v>
      </c>
      <c r="I1415" t="s">
        <v>74</v>
      </c>
      <c r="J1415">
        <v>581</v>
      </c>
      <c r="K1415">
        <v>9.1999999999999993</v>
      </c>
      <c r="L1415">
        <v>5345.2</v>
      </c>
    </row>
    <row r="1416" spans="1:12" x14ac:dyDescent="0.3">
      <c r="B1416">
        <v>23</v>
      </c>
      <c r="C1416">
        <v>3</v>
      </c>
      <c r="D1416">
        <v>8</v>
      </c>
      <c r="E1416">
        <v>1</v>
      </c>
      <c r="F1416">
        <v>0</v>
      </c>
      <c r="H1416" t="s">
        <v>24</v>
      </c>
      <c r="I1416" t="s">
        <v>76</v>
      </c>
      <c r="J1416">
        <v>467</v>
      </c>
      <c r="K1416">
        <v>7.9</v>
      </c>
      <c r="L1416">
        <v>3689.3</v>
      </c>
    </row>
    <row r="1417" spans="1:12" x14ac:dyDescent="0.3">
      <c r="A1417">
        <v>10</v>
      </c>
      <c r="B1417">
        <v>21</v>
      </c>
      <c r="C1417">
        <v>0</v>
      </c>
      <c r="D1417">
        <v>5</v>
      </c>
      <c r="E1417">
        <v>1</v>
      </c>
      <c r="G1417">
        <v>5</v>
      </c>
      <c r="H1417" t="s">
        <v>38</v>
      </c>
      <c r="I1417" t="s">
        <v>91</v>
      </c>
      <c r="J1417">
        <v>280</v>
      </c>
      <c r="K1417">
        <v>7.4</v>
      </c>
      <c r="L1417">
        <v>2072</v>
      </c>
    </row>
    <row r="1418" spans="1:12" x14ac:dyDescent="0.3">
      <c r="A1418">
        <v>12</v>
      </c>
      <c r="B1418">
        <v>23</v>
      </c>
      <c r="D1418">
        <v>17</v>
      </c>
      <c r="E1418">
        <v>12</v>
      </c>
      <c r="F1418">
        <v>0</v>
      </c>
      <c r="G1418">
        <v>12</v>
      </c>
      <c r="H1418" t="s">
        <v>20</v>
      </c>
      <c r="I1418" t="s">
        <v>101</v>
      </c>
      <c r="J1418">
        <v>802</v>
      </c>
      <c r="K1418">
        <v>9.1</v>
      </c>
    </row>
    <row r="1419" spans="1:12" x14ac:dyDescent="0.3">
      <c r="A1419">
        <v>19</v>
      </c>
      <c r="B1419">
        <v>22</v>
      </c>
      <c r="C1419">
        <v>3</v>
      </c>
      <c r="D1419">
        <v>11</v>
      </c>
      <c r="E1419">
        <v>1</v>
      </c>
      <c r="F1419">
        <v>0</v>
      </c>
      <c r="G1419">
        <v>4</v>
      </c>
      <c r="H1419" t="s">
        <v>17</v>
      </c>
      <c r="I1419" t="s">
        <v>75</v>
      </c>
      <c r="J1419">
        <v>563</v>
      </c>
      <c r="K1419">
        <v>8.6999999999999993</v>
      </c>
      <c r="L1419">
        <v>4898.0999999999904</v>
      </c>
    </row>
    <row r="1420" spans="1:12" x14ac:dyDescent="0.3">
      <c r="A1420">
        <v>10</v>
      </c>
      <c r="B1420">
        <v>19</v>
      </c>
      <c r="C1420">
        <v>0</v>
      </c>
      <c r="D1420">
        <v>10</v>
      </c>
      <c r="E1420">
        <v>1</v>
      </c>
      <c r="F1420">
        <v>0</v>
      </c>
      <c r="G1420">
        <v>12</v>
      </c>
      <c r="H1420" t="s">
        <v>32</v>
      </c>
      <c r="I1420" t="s">
        <v>96</v>
      </c>
      <c r="J1420">
        <v>391</v>
      </c>
      <c r="K1420">
        <v>7.6</v>
      </c>
      <c r="L1420">
        <v>2971.6</v>
      </c>
    </row>
    <row r="1421" spans="1:12" x14ac:dyDescent="0.3">
      <c r="A1421">
        <v>19</v>
      </c>
      <c r="B1421">
        <v>23</v>
      </c>
      <c r="C1421">
        <v>2</v>
      </c>
      <c r="D1421">
        <v>21</v>
      </c>
      <c r="E1421">
        <v>1</v>
      </c>
      <c r="F1421">
        <v>0</v>
      </c>
      <c r="G1421">
        <v>12</v>
      </c>
      <c r="H1421" t="s">
        <v>15</v>
      </c>
      <c r="I1421" t="s">
        <v>96</v>
      </c>
      <c r="J1421">
        <v>660</v>
      </c>
      <c r="K1421">
        <v>8.3000000000000007</v>
      </c>
      <c r="L1421">
        <v>5478</v>
      </c>
    </row>
    <row r="1422" spans="1:12" x14ac:dyDescent="0.3">
      <c r="A1422">
        <v>11</v>
      </c>
      <c r="B1422">
        <v>23</v>
      </c>
      <c r="C1422">
        <v>0</v>
      </c>
      <c r="D1422">
        <v>21</v>
      </c>
      <c r="E1422">
        <v>1</v>
      </c>
      <c r="F1422">
        <v>0</v>
      </c>
      <c r="H1422" t="s">
        <v>35</v>
      </c>
      <c r="I1422" t="s">
        <v>105</v>
      </c>
      <c r="J1422">
        <v>629</v>
      </c>
      <c r="K1422">
        <v>8.1999999999999993</v>
      </c>
      <c r="L1422">
        <v>5157.7999999999902</v>
      </c>
    </row>
    <row r="1423" spans="1:12" x14ac:dyDescent="0.3">
      <c r="A1423">
        <v>15</v>
      </c>
      <c r="B1423">
        <v>23</v>
      </c>
      <c r="C1423">
        <v>2</v>
      </c>
      <c r="D1423">
        <v>8</v>
      </c>
      <c r="E1423">
        <v>1</v>
      </c>
      <c r="F1423">
        <v>0</v>
      </c>
      <c r="G1423">
        <v>10</v>
      </c>
      <c r="H1423" t="s">
        <v>23</v>
      </c>
      <c r="I1423" t="s">
        <v>93</v>
      </c>
      <c r="J1423">
        <v>384</v>
      </c>
      <c r="K1423">
        <v>8.4</v>
      </c>
      <c r="L1423" t="s">
        <v>335</v>
      </c>
    </row>
    <row r="1424" spans="1:12" x14ac:dyDescent="0.3">
      <c r="A1424">
        <v>10</v>
      </c>
      <c r="B1424">
        <v>19</v>
      </c>
      <c r="C1424">
        <v>3</v>
      </c>
      <c r="D1424">
        <v>8</v>
      </c>
      <c r="E1424">
        <v>1</v>
      </c>
      <c r="F1424">
        <v>0</v>
      </c>
      <c r="H1424" t="s">
        <v>24</v>
      </c>
      <c r="I1424" t="s">
        <v>104</v>
      </c>
      <c r="J1424">
        <v>411</v>
      </c>
      <c r="K1424">
        <v>7.9</v>
      </c>
      <c r="L1424">
        <v>3246.9</v>
      </c>
    </row>
    <row r="1425" spans="1:12" x14ac:dyDescent="0.3">
      <c r="A1425">
        <v>8</v>
      </c>
      <c r="B1425">
        <v>23</v>
      </c>
      <c r="C1425">
        <v>2</v>
      </c>
      <c r="D1425">
        <v>22</v>
      </c>
      <c r="E1425">
        <v>1</v>
      </c>
      <c r="F1425">
        <v>0</v>
      </c>
      <c r="G1425">
        <v>7</v>
      </c>
      <c r="H1425" t="s">
        <v>21</v>
      </c>
      <c r="I1425" t="s">
        <v>105</v>
      </c>
      <c r="J1425">
        <v>608</v>
      </c>
      <c r="K1425">
        <v>8.6999999999999993</v>
      </c>
      <c r="L1425">
        <v>5289.5999999999904</v>
      </c>
    </row>
    <row r="1426" spans="1:12" x14ac:dyDescent="0.3">
      <c r="A1426">
        <v>15</v>
      </c>
      <c r="B1426">
        <v>23</v>
      </c>
      <c r="C1426">
        <v>2</v>
      </c>
      <c r="D1426">
        <v>17</v>
      </c>
      <c r="E1426">
        <v>1</v>
      </c>
      <c r="F1426">
        <v>0</v>
      </c>
      <c r="G1426">
        <v>6</v>
      </c>
      <c r="H1426" t="s">
        <v>35</v>
      </c>
      <c r="I1426" t="s">
        <v>78</v>
      </c>
      <c r="J1426">
        <v>592</v>
      </c>
      <c r="K1426">
        <v>8.1999999999999993</v>
      </c>
      <c r="L1426">
        <v>4854.3999999999996</v>
      </c>
    </row>
    <row r="1427" spans="1:12" x14ac:dyDescent="0.3">
      <c r="A1427">
        <v>22</v>
      </c>
      <c r="B1427">
        <v>23</v>
      </c>
      <c r="C1427">
        <v>0</v>
      </c>
      <c r="D1427">
        <v>7</v>
      </c>
      <c r="E1427">
        <v>12</v>
      </c>
      <c r="F1427">
        <v>0</v>
      </c>
      <c r="G1427">
        <v>3</v>
      </c>
      <c r="H1427" t="s">
        <v>47</v>
      </c>
      <c r="I1427" t="s">
        <v>84</v>
      </c>
      <c r="J1427" t="s">
        <v>205</v>
      </c>
      <c r="K1427">
        <v>9.1</v>
      </c>
      <c r="L1427">
        <v>6133.4</v>
      </c>
    </row>
    <row r="1428" spans="1:12" x14ac:dyDescent="0.3">
      <c r="A1428">
        <v>10</v>
      </c>
      <c r="B1428">
        <v>22</v>
      </c>
      <c r="C1428">
        <v>1</v>
      </c>
      <c r="D1428">
        <v>19</v>
      </c>
      <c r="E1428">
        <v>1</v>
      </c>
      <c r="F1428">
        <v>0</v>
      </c>
      <c r="G1428">
        <v>11</v>
      </c>
      <c r="H1428" t="s">
        <v>33</v>
      </c>
      <c r="I1428" t="s">
        <v>107</v>
      </c>
      <c r="J1428">
        <v>653</v>
      </c>
      <c r="K1428">
        <v>9.3000000000000007</v>
      </c>
      <c r="L1428">
        <v>6072.9</v>
      </c>
    </row>
    <row r="1429" spans="1:12" x14ac:dyDescent="0.3">
      <c r="A1429">
        <v>11</v>
      </c>
      <c r="B1429">
        <v>23</v>
      </c>
      <c r="C1429">
        <v>1</v>
      </c>
      <c r="D1429">
        <v>6</v>
      </c>
      <c r="E1429">
        <v>1</v>
      </c>
      <c r="F1429">
        <v>0</v>
      </c>
      <c r="G1429">
        <v>3</v>
      </c>
      <c r="H1429" t="s">
        <v>30</v>
      </c>
      <c r="I1429" t="s">
        <v>76</v>
      </c>
      <c r="J1429">
        <v>572</v>
      </c>
      <c r="L1429">
        <v>5262.4</v>
      </c>
    </row>
    <row r="1430" spans="1:12" x14ac:dyDescent="0.3">
      <c r="A1430">
        <v>16</v>
      </c>
      <c r="B1430">
        <v>22</v>
      </c>
      <c r="C1430">
        <v>1</v>
      </c>
      <c r="D1430">
        <v>11</v>
      </c>
      <c r="E1430">
        <v>1</v>
      </c>
      <c r="F1430">
        <v>0</v>
      </c>
      <c r="G1430">
        <v>8</v>
      </c>
      <c r="H1430" t="s">
        <v>32</v>
      </c>
      <c r="I1430" t="s">
        <v>99</v>
      </c>
      <c r="J1430">
        <v>466</v>
      </c>
      <c r="K1430">
        <v>7.6</v>
      </c>
    </row>
    <row r="1431" spans="1:12" x14ac:dyDescent="0.3">
      <c r="A1431">
        <v>22</v>
      </c>
      <c r="B1431">
        <v>22</v>
      </c>
      <c r="D1431">
        <v>16</v>
      </c>
      <c r="E1431">
        <v>1</v>
      </c>
      <c r="F1431">
        <v>0</v>
      </c>
      <c r="G1431">
        <v>1</v>
      </c>
      <c r="H1431" t="s">
        <v>32</v>
      </c>
      <c r="I1431" t="s">
        <v>85</v>
      </c>
      <c r="J1431">
        <v>664</v>
      </c>
      <c r="K1431">
        <v>7.6</v>
      </c>
      <c r="L1431">
        <v>5046.3999999999996</v>
      </c>
    </row>
    <row r="1432" spans="1:12" x14ac:dyDescent="0.3">
      <c r="A1432">
        <v>23</v>
      </c>
      <c r="B1432">
        <v>22</v>
      </c>
      <c r="C1432">
        <v>1</v>
      </c>
      <c r="D1432">
        <v>11</v>
      </c>
      <c r="E1432">
        <v>1</v>
      </c>
      <c r="F1432">
        <v>0</v>
      </c>
      <c r="H1432" t="s">
        <v>15</v>
      </c>
      <c r="I1432" t="s">
        <v>74</v>
      </c>
      <c r="J1432">
        <v>675</v>
      </c>
      <c r="K1432">
        <v>8.3000000000000007</v>
      </c>
      <c r="L1432">
        <v>5602.5</v>
      </c>
    </row>
    <row r="1433" spans="1:12" x14ac:dyDescent="0.3">
      <c r="A1433">
        <v>20</v>
      </c>
      <c r="B1433">
        <v>22</v>
      </c>
      <c r="C1433">
        <v>0</v>
      </c>
      <c r="D1433">
        <v>20</v>
      </c>
      <c r="E1433">
        <v>1</v>
      </c>
      <c r="F1433">
        <v>0</v>
      </c>
      <c r="H1433" t="s">
        <v>36</v>
      </c>
      <c r="I1433" t="s">
        <v>71</v>
      </c>
      <c r="J1433">
        <v>691</v>
      </c>
      <c r="K1433">
        <v>8.8000000000000007</v>
      </c>
      <c r="L1433">
        <v>6080.8</v>
      </c>
    </row>
    <row r="1434" spans="1:12" x14ac:dyDescent="0.3">
      <c r="A1434">
        <v>22</v>
      </c>
      <c r="B1434">
        <v>23</v>
      </c>
      <c r="C1434">
        <v>1</v>
      </c>
      <c r="D1434">
        <v>13</v>
      </c>
      <c r="E1434">
        <v>12</v>
      </c>
      <c r="F1434">
        <v>0</v>
      </c>
      <c r="G1434">
        <v>10</v>
      </c>
      <c r="H1434" t="s">
        <v>30</v>
      </c>
      <c r="I1434" t="s">
        <v>107</v>
      </c>
      <c r="J1434">
        <v>795</v>
      </c>
      <c r="K1434">
        <v>9.1999999999999993</v>
      </c>
      <c r="L1434">
        <v>7313.99999999999</v>
      </c>
    </row>
    <row r="1435" spans="1:12" x14ac:dyDescent="0.3">
      <c r="A1435">
        <v>17</v>
      </c>
      <c r="B1435">
        <v>23</v>
      </c>
      <c r="C1435">
        <v>1</v>
      </c>
      <c r="D1435">
        <v>20</v>
      </c>
      <c r="E1435">
        <v>1</v>
      </c>
      <c r="F1435">
        <v>0</v>
      </c>
      <c r="H1435" t="s">
        <v>21</v>
      </c>
      <c r="I1435" t="s">
        <v>92</v>
      </c>
      <c r="J1435">
        <v>626</v>
      </c>
      <c r="K1435">
        <v>8.6999999999999993</v>
      </c>
      <c r="L1435">
        <v>5446.2</v>
      </c>
    </row>
    <row r="1436" spans="1:12" x14ac:dyDescent="0.3">
      <c r="A1436">
        <v>10</v>
      </c>
      <c r="B1436">
        <v>18</v>
      </c>
      <c r="C1436">
        <v>0</v>
      </c>
      <c r="D1436">
        <v>12</v>
      </c>
      <c r="E1436">
        <v>1</v>
      </c>
      <c r="F1436">
        <v>0</v>
      </c>
      <c r="G1436">
        <v>2</v>
      </c>
      <c r="H1436" t="s">
        <v>30</v>
      </c>
      <c r="I1436" t="s">
        <v>87</v>
      </c>
      <c r="J1436">
        <v>211</v>
      </c>
      <c r="K1436">
        <v>9.1999999999999993</v>
      </c>
      <c r="L1436">
        <v>1941.19999999999</v>
      </c>
    </row>
    <row r="1437" spans="1:12" x14ac:dyDescent="0.3">
      <c r="A1437">
        <v>14</v>
      </c>
      <c r="B1437">
        <v>22</v>
      </c>
      <c r="C1437">
        <v>2</v>
      </c>
      <c r="D1437">
        <v>4</v>
      </c>
      <c r="E1437">
        <v>1</v>
      </c>
      <c r="F1437">
        <v>0</v>
      </c>
      <c r="G1437">
        <v>2</v>
      </c>
      <c r="H1437" t="s">
        <v>15</v>
      </c>
      <c r="I1437" t="s">
        <v>75</v>
      </c>
      <c r="J1437">
        <v>442</v>
      </c>
      <c r="K1437">
        <v>8.3000000000000007</v>
      </c>
      <c r="L1437">
        <v>3668.6</v>
      </c>
    </row>
    <row r="1438" spans="1:12" x14ac:dyDescent="0.3">
      <c r="A1438">
        <v>11</v>
      </c>
      <c r="B1438">
        <v>22</v>
      </c>
      <c r="C1438">
        <v>3</v>
      </c>
      <c r="D1438">
        <v>18</v>
      </c>
      <c r="E1438">
        <v>1</v>
      </c>
      <c r="F1438">
        <v>0</v>
      </c>
      <c r="G1438">
        <v>7</v>
      </c>
      <c r="H1438" t="s">
        <v>25</v>
      </c>
      <c r="I1438" t="s">
        <v>78</v>
      </c>
      <c r="J1438">
        <v>577</v>
      </c>
      <c r="K1438">
        <v>8.1</v>
      </c>
      <c r="L1438">
        <v>4673.7</v>
      </c>
    </row>
    <row r="1439" spans="1:12" x14ac:dyDescent="0.3">
      <c r="A1439">
        <v>12</v>
      </c>
      <c r="B1439">
        <v>23</v>
      </c>
      <c r="C1439">
        <v>0</v>
      </c>
      <c r="D1439">
        <v>17</v>
      </c>
      <c r="E1439">
        <v>1</v>
      </c>
      <c r="F1439">
        <v>0</v>
      </c>
      <c r="G1439">
        <v>2</v>
      </c>
      <c r="H1439" t="s">
        <v>35</v>
      </c>
      <c r="I1439" t="s">
        <v>81</v>
      </c>
      <c r="J1439">
        <v>419</v>
      </c>
      <c r="K1439">
        <v>8.1999999999999993</v>
      </c>
      <c r="L1439">
        <v>3435.7999999999902</v>
      </c>
    </row>
    <row r="1440" spans="1:12" x14ac:dyDescent="0.3">
      <c r="A1440">
        <v>17</v>
      </c>
      <c r="B1440">
        <v>22</v>
      </c>
      <c r="C1440">
        <v>3</v>
      </c>
      <c r="D1440">
        <v>7</v>
      </c>
      <c r="E1440">
        <v>1</v>
      </c>
      <c r="G1440">
        <v>8</v>
      </c>
      <c r="H1440" t="s">
        <v>30</v>
      </c>
      <c r="I1440" t="s">
        <v>85</v>
      </c>
      <c r="J1440">
        <v>480</v>
      </c>
      <c r="K1440">
        <v>9.1999999999999993</v>
      </c>
      <c r="L1440">
        <v>4416</v>
      </c>
    </row>
    <row r="1441" spans="1:12" x14ac:dyDescent="0.3">
      <c r="A1441">
        <v>12</v>
      </c>
      <c r="B1441">
        <v>23</v>
      </c>
      <c r="C1441">
        <v>2</v>
      </c>
      <c r="D1441">
        <v>3</v>
      </c>
      <c r="E1441">
        <v>1</v>
      </c>
      <c r="F1441">
        <v>0</v>
      </c>
      <c r="G1441">
        <v>7</v>
      </c>
      <c r="H1441" t="s">
        <v>36</v>
      </c>
      <c r="I1441" t="s">
        <v>74</v>
      </c>
      <c r="J1441">
        <v>469</v>
      </c>
      <c r="K1441">
        <v>8.8000000000000007</v>
      </c>
      <c r="L1441">
        <v>4127.2</v>
      </c>
    </row>
    <row r="1442" spans="1:12" x14ac:dyDescent="0.3">
      <c r="A1442">
        <v>20</v>
      </c>
      <c r="B1442">
        <v>22</v>
      </c>
      <c r="C1442">
        <v>1</v>
      </c>
      <c r="D1442">
        <v>10</v>
      </c>
      <c r="E1442">
        <v>12</v>
      </c>
      <c r="F1442">
        <v>0</v>
      </c>
      <c r="G1442">
        <v>8</v>
      </c>
      <c r="H1442" t="s">
        <v>15</v>
      </c>
      <c r="I1442" t="s">
        <v>72</v>
      </c>
      <c r="J1442">
        <v>688</v>
      </c>
      <c r="K1442">
        <v>8.3000000000000007</v>
      </c>
      <c r="L1442">
        <v>5710.4</v>
      </c>
    </row>
    <row r="1443" spans="1:12" x14ac:dyDescent="0.3">
      <c r="A1443">
        <v>12</v>
      </c>
      <c r="B1443">
        <v>23</v>
      </c>
      <c r="C1443">
        <v>0</v>
      </c>
      <c r="D1443">
        <v>18</v>
      </c>
      <c r="E1443">
        <v>1</v>
      </c>
      <c r="F1443">
        <v>0</v>
      </c>
      <c r="G1443">
        <v>2</v>
      </c>
      <c r="H1443" t="s">
        <v>22</v>
      </c>
      <c r="I1443" t="s">
        <v>93</v>
      </c>
      <c r="J1443">
        <v>465</v>
      </c>
      <c r="K1443">
        <v>7.8</v>
      </c>
      <c r="L1443">
        <v>3627</v>
      </c>
    </row>
    <row r="1444" spans="1:12" x14ac:dyDescent="0.3">
      <c r="A1444">
        <v>8</v>
      </c>
      <c r="B1444">
        <v>20</v>
      </c>
      <c r="C1444">
        <v>2</v>
      </c>
      <c r="D1444">
        <v>15</v>
      </c>
      <c r="E1444">
        <v>1</v>
      </c>
      <c r="F1444">
        <v>0</v>
      </c>
      <c r="G1444">
        <v>7</v>
      </c>
      <c r="H1444" t="s">
        <v>44</v>
      </c>
      <c r="I1444" t="s">
        <v>78</v>
      </c>
      <c r="J1444">
        <v>427</v>
      </c>
      <c r="K1444">
        <v>8.1999999999999993</v>
      </c>
      <c r="L1444">
        <v>3501.3999999999901</v>
      </c>
    </row>
    <row r="1445" spans="1:12" x14ac:dyDescent="0.3">
      <c r="A1445">
        <v>13</v>
      </c>
      <c r="B1445">
        <v>22</v>
      </c>
      <c r="C1445">
        <v>1</v>
      </c>
      <c r="D1445">
        <v>18</v>
      </c>
      <c r="E1445">
        <v>1</v>
      </c>
      <c r="F1445">
        <v>0</v>
      </c>
      <c r="G1445">
        <v>4</v>
      </c>
      <c r="H1445" t="s">
        <v>22</v>
      </c>
      <c r="J1445">
        <v>410</v>
      </c>
      <c r="K1445">
        <v>7.8</v>
      </c>
      <c r="L1445">
        <v>3198</v>
      </c>
    </row>
    <row r="1446" spans="1:12" x14ac:dyDescent="0.3">
      <c r="A1446">
        <v>19</v>
      </c>
      <c r="B1446">
        <v>23</v>
      </c>
      <c r="C1446">
        <v>1</v>
      </c>
      <c r="D1446">
        <v>5</v>
      </c>
      <c r="E1446">
        <v>1</v>
      </c>
      <c r="F1446">
        <v>0</v>
      </c>
      <c r="I1446" t="s">
        <v>108</v>
      </c>
      <c r="J1446" t="s">
        <v>206</v>
      </c>
      <c r="L1446">
        <v>5115.5999999999904</v>
      </c>
    </row>
    <row r="1447" spans="1:12" x14ac:dyDescent="0.3">
      <c r="A1447">
        <v>22</v>
      </c>
      <c r="B1447">
        <v>22</v>
      </c>
      <c r="C1447">
        <v>0</v>
      </c>
      <c r="D1447">
        <v>21</v>
      </c>
      <c r="E1447">
        <v>1</v>
      </c>
      <c r="F1447">
        <v>0</v>
      </c>
      <c r="G1447">
        <v>12</v>
      </c>
      <c r="I1447" t="s">
        <v>105</v>
      </c>
      <c r="J1447">
        <v>704</v>
      </c>
      <c r="K1447">
        <v>7.9</v>
      </c>
    </row>
    <row r="1448" spans="1:12" x14ac:dyDescent="0.3">
      <c r="A1448">
        <v>12</v>
      </c>
      <c r="B1448">
        <v>23</v>
      </c>
      <c r="C1448">
        <v>2</v>
      </c>
      <c r="D1448">
        <v>7</v>
      </c>
      <c r="E1448">
        <v>1</v>
      </c>
      <c r="F1448">
        <v>0</v>
      </c>
      <c r="G1448">
        <v>5</v>
      </c>
      <c r="H1448" t="s">
        <v>14</v>
      </c>
      <c r="I1448" t="s">
        <v>82</v>
      </c>
      <c r="K1448">
        <v>8.9</v>
      </c>
      <c r="L1448">
        <v>4512.3</v>
      </c>
    </row>
    <row r="1449" spans="1:12" x14ac:dyDescent="0.3">
      <c r="A1449">
        <v>8</v>
      </c>
      <c r="B1449">
        <v>21</v>
      </c>
      <c r="C1449">
        <v>3</v>
      </c>
      <c r="D1449">
        <v>11</v>
      </c>
      <c r="E1449">
        <v>1</v>
      </c>
      <c r="F1449">
        <v>0</v>
      </c>
      <c r="G1449">
        <v>4</v>
      </c>
      <c r="H1449" t="s">
        <v>33</v>
      </c>
      <c r="I1449" t="s">
        <v>90</v>
      </c>
      <c r="J1449">
        <v>391</v>
      </c>
      <c r="K1449">
        <v>9.3000000000000007</v>
      </c>
      <c r="L1449">
        <v>3636.3</v>
      </c>
    </row>
    <row r="1450" spans="1:12" x14ac:dyDescent="0.3">
      <c r="A1450">
        <v>19</v>
      </c>
      <c r="B1450">
        <v>22</v>
      </c>
      <c r="C1450">
        <v>3</v>
      </c>
      <c r="D1450">
        <v>7</v>
      </c>
      <c r="E1450">
        <v>1</v>
      </c>
      <c r="G1450">
        <v>3</v>
      </c>
      <c r="H1450" t="s">
        <v>18</v>
      </c>
      <c r="I1450" t="s">
        <v>97</v>
      </c>
      <c r="J1450">
        <v>426</v>
      </c>
      <c r="K1450">
        <v>7.7</v>
      </c>
      <c r="L1450">
        <v>3280.2</v>
      </c>
    </row>
    <row r="1451" spans="1:12" x14ac:dyDescent="0.3">
      <c r="A1451">
        <v>20</v>
      </c>
      <c r="B1451">
        <v>22</v>
      </c>
      <c r="C1451">
        <v>1</v>
      </c>
      <c r="D1451">
        <v>19</v>
      </c>
      <c r="E1451">
        <v>1</v>
      </c>
      <c r="F1451">
        <v>0</v>
      </c>
      <c r="G1451">
        <v>12</v>
      </c>
      <c r="H1451" t="s">
        <v>23</v>
      </c>
      <c r="I1451" t="s">
        <v>70</v>
      </c>
      <c r="J1451">
        <v>697</v>
      </c>
      <c r="K1451">
        <v>8.4</v>
      </c>
      <c r="L1451">
        <v>5854.8</v>
      </c>
    </row>
    <row r="1452" spans="1:12" x14ac:dyDescent="0.3">
      <c r="A1452">
        <v>5</v>
      </c>
      <c r="B1452">
        <v>17</v>
      </c>
      <c r="C1452">
        <v>1</v>
      </c>
      <c r="D1452">
        <v>3</v>
      </c>
      <c r="E1452">
        <v>1</v>
      </c>
      <c r="F1452">
        <v>0</v>
      </c>
      <c r="G1452">
        <v>2</v>
      </c>
      <c r="H1452" t="s">
        <v>23</v>
      </c>
      <c r="I1452" t="s">
        <v>70</v>
      </c>
      <c r="J1452">
        <v>275</v>
      </c>
      <c r="K1452">
        <v>8.4</v>
      </c>
      <c r="L1452">
        <v>2310</v>
      </c>
    </row>
    <row r="1453" spans="1:12" x14ac:dyDescent="0.3">
      <c r="A1453">
        <v>12</v>
      </c>
      <c r="B1453">
        <v>23</v>
      </c>
      <c r="C1453">
        <v>3</v>
      </c>
      <c r="D1453">
        <v>19</v>
      </c>
      <c r="E1453">
        <v>1</v>
      </c>
      <c r="F1453">
        <v>0</v>
      </c>
      <c r="G1453">
        <v>5</v>
      </c>
      <c r="H1453" t="s">
        <v>22</v>
      </c>
      <c r="I1453" t="s">
        <v>82</v>
      </c>
      <c r="J1453">
        <v>699</v>
      </c>
      <c r="K1453">
        <v>7.8</v>
      </c>
      <c r="L1453">
        <v>5452.2</v>
      </c>
    </row>
    <row r="1454" spans="1:12" x14ac:dyDescent="0.3">
      <c r="A1454">
        <v>16</v>
      </c>
      <c r="B1454">
        <v>23</v>
      </c>
      <c r="C1454">
        <v>2</v>
      </c>
      <c r="D1454">
        <v>13</v>
      </c>
      <c r="E1454">
        <v>1</v>
      </c>
      <c r="F1454">
        <v>0</v>
      </c>
      <c r="G1454">
        <v>4</v>
      </c>
      <c r="H1454" t="s">
        <v>23</v>
      </c>
      <c r="I1454" t="s">
        <v>70</v>
      </c>
      <c r="J1454">
        <v>638</v>
      </c>
      <c r="K1454">
        <v>8.4</v>
      </c>
      <c r="L1454">
        <v>5359.2</v>
      </c>
    </row>
    <row r="1455" spans="1:12" x14ac:dyDescent="0.3">
      <c r="A1455">
        <v>17</v>
      </c>
      <c r="B1455">
        <v>22</v>
      </c>
      <c r="C1455">
        <v>2</v>
      </c>
      <c r="D1455">
        <v>22</v>
      </c>
      <c r="E1455">
        <v>1</v>
      </c>
      <c r="F1455">
        <v>0</v>
      </c>
      <c r="G1455">
        <v>9</v>
      </c>
      <c r="H1455" t="s">
        <v>26</v>
      </c>
      <c r="I1455" t="s">
        <v>78</v>
      </c>
      <c r="J1455">
        <v>612</v>
      </c>
      <c r="K1455">
        <v>8.5</v>
      </c>
      <c r="L1455">
        <v>5202</v>
      </c>
    </row>
    <row r="1456" spans="1:12" x14ac:dyDescent="0.3">
      <c r="A1456">
        <v>23</v>
      </c>
      <c r="B1456">
        <v>22</v>
      </c>
      <c r="C1456">
        <v>1</v>
      </c>
      <c r="D1456">
        <v>8</v>
      </c>
      <c r="E1456">
        <v>1</v>
      </c>
      <c r="F1456">
        <v>0</v>
      </c>
      <c r="G1456">
        <v>12</v>
      </c>
      <c r="H1456" t="s">
        <v>33</v>
      </c>
      <c r="I1456" t="s">
        <v>82</v>
      </c>
      <c r="J1456">
        <v>474</v>
      </c>
      <c r="K1456">
        <v>9.3000000000000007</v>
      </c>
      <c r="L1456">
        <v>4408.2</v>
      </c>
    </row>
    <row r="1457" spans="1:12" x14ac:dyDescent="0.3">
      <c r="A1457">
        <v>17</v>
      </c>
      <c r="B1457">
        <v>22</v>
      </c>
      <c r="C1457">
        <v>2</v>
      </c>
      <c r="D1457">
        <v>13</v>
      </c>
      <c r="E1457">
        <v>1</v>
      </c>
      <c r="F1457">
        <v>0</v>
      </c>
      <c r="G1457">
        <v>6</v>
      </c>
      <c r="H1457" t="s">
        <v>21</v>
      </c>
      <c r="I1457" t="s">
        <v>91</v>
      </c>
      <c r="J1457">
        <v>663</v>
      </c>
      <c r="K1457" t="s">
        <v>242</v>
      </c>
      <c r="L1457">
        <v>5768.0999999999904</v>
      </c>
    </row>
    <row r="1458" spans="1:12" x14ac:dyDescent="0.3">
      <c r="A1458">
        <v>5</v>
      </c>
      <c r="B1458">
        <v>22</v>
      </c>
      <c r="C1458">
        <v>1</v>
      </c>
      <c r="D1458">
        <v>13</v>
      </c>
      <c r="E1458">
        <v>1</v>
      </c>
      <c r="F1458">
        <v>0</v>
      </c>
      <c r="H1458" t="s">
        <v>26</v>
      </c>
      <c r="I1458" t="s">
        <v>121</v>
      </c>
      <c r="J1458" t="s">
        <v>207</v>
      </c>
      <c r="K1458">
        <v>8.5</v>
      </c>
      <c r="L1458">
        <v>2669</v>
      </c>
    </row>
    <row r="1459" spans="1:12" x14ac:dyDescent="0.3">
      <c r="A1459">
        <v>8</v>
      </c>
      <c r="B1459">
        <v>18</v>
      </c>
      <c r="C1459">
        <v>2</v>
      </c>
      <c r="D1459">
        <v>5</v>
      </c>
      <c r="F1459">
        <v>0</v>
      </c>
      <c r="G1459">
        <v>3</v>
      </c>
      <c r="H1459" t="s">
        <v>45</v>
      </c>
      <c r="I1459" t="s">
        <v>96</v>
      </c>
      <c r="J1459">
        <v>290</v>
      </c>
      <c r="K1459">
        <v>7.9</v>
      </c>
      <c r="L1459">
        <v>2291</v>
      </c>
    </row>
    <row r="1460" spans="1:12" x14ac:dyDescent="0.3">
      <c r="A1460">
        <v>22</v>
      </c>
      <c r="B1460">
        <v>23</v>
      </c>
      <c r="C1460">
        <v>2</v>
      </c>
      <c r="D1460">
        <v>3</v>
      </c>
      <c r="E1460">
        <v>1</v>
      </c>
      <c r="F1460">
        <v>0</v>
      </c>
      <c r="G1460">
        <v>12</v>
      </c>
      <c r="H1460" t="s">
        <v>18</v>
      </c>
      <c r="I1460" t="s">
        <v>83</v>
      </c>
      <c r="J1460">
        <v>618</v>
      </c>
      <c r="K1460">
        <v>7.7</v>
      </c>
      <c r="L1460">
        <v>4758.6000000000004</v>
      </c>
    </row>
    <row r="1461" spans="1:12" x14ac:dyDescent="0.3">
      <c r="A1461">
        <v>15</v>
      </c>
      <c r="B1461">
        <v>23</v>
      </c>
      <c r="C1461">
        <v>1</v>
      </c>
      <c r="D1461">
        <v>22</v>
      </c>
      <c r="E1461">
        <v>1</v>
      </c>
      <c r="G1461">
        <v>1</v>
      </c>
      <c r="H1461" t="s">
        <v>42</v>
      </c>
      <c r="I1461" t="s">
        <v>82</v>
      </c>
      <c r="K1461">
        <v>7.8</v>
      </c>
      <c r="L1461">
        <v>3861</v>
      </c>
    </row>
    <row r="1462" spans="1:12" x14ac:dyDescent="0.3">
      <c r="A1462">
        <v>16</v>
      </c>
      <c r="B1462">
        <v>23</v>
      </c>
      <c r="C1462">
        <v>0</v>
      </c>
      <c r="D1462">
        <v>13</v>
      </c>
      <c r="E1462">
        <v>1</v>
      </c>
      <c r="F1462">
        <v>0</v>
      </c>
      <c r="G1462">
        <v>1</v>
      </c>
      <c r="H1462" t="s">
        <v>32</v>
      </c>
      <c r="I1462" t="s">
        <v>83</v>
      </c>
      <c r="J1462">
        <v>523</v>
      </c>
      <c r="K1462">
        <v>7.6</v>
      </c>
      <c r="L1462">
        <v>3974.7999999999902</v>
      </c>
    </row>
    <row r="1463" spans="1:12" x14ac:dyDescent="0.3">
      <c r="A1463">
        <v>16</v>
      </c>
      <c r="B1463">
        <v>23</v>
      </c>
      <c r="C1463">
        <v>3</v>
      </c>
      <c r="D1463">
        <v>14</v>
      </c>
      <c r="E1463">
        <v>12</v>
      </c>
      <c r="F1463">
        <v>0</v>
      </c>
      <c r="G1463">
        <v>11</v>
      </c>
      <c r="H1463" t="s">
        <v>69</v>
      </c>
      <c r="I1463" t="s">
        <v>107</v>
      </c>
      <c r="J1463">
        <v>626</v>
      </c>
      <c r="K1463">
        <v>7.9</v>
      </c>
      <c r="L1463">
        <v>4945.3999999999996</v>
      </c>
    </row>
    <row r="1464" spans="1:12" x14ac:dyDescent="0.3">
      <c r="A1464">
        <v>11</v>
      </c>
      <c r="B1464">
        <v>23</v>
      </c>
      <c r="C1464">
        <v>3</v>
      </c>
      <c r="D1464">
        <v>14</v>
      </c>
      <c r="E1464">
        <v>1</v>
      </c>
      <c r="F1464">
        <v>0</v>
      </c>
      <c r="G1464">
        <v>3</v>
      </c>
      <c r="H1464" t="s">
        <v>15</v>
      </c>
      <c r="I1464" t="s">
        <v>72</v>
      </c>
      <c r="J1464" t="s">
        <v>206</v>
      </c>
      <c r="K1464">
        <v>8.3000000000000007</v>
      </c>
      <c r="L1464">
        <v>4880.3999999999996</v>
      </c>
    </row>
    <row r="1465" spans="1:12" x14ac:dyDescent="0.3">
      <c r="B1465">
        <v>23</v>
      </c>
      <c r="C1465">
        <v>1</v>
      </c>
      <c r="D1465">
        <v>13</v>
      </c>
      <c r="E1465">
        <v>1</v>
      </c>
      <c r="F1465">
        <v>0</v>
      </c>
      <c r="G1465">
        <v>1</v>
      </c>
      <c r="H1465" t="s">
        <v>23</v>
      </c>
      <c r="I1465" t="s">
        <v>107</v>
      </c>
      <c r="J1465">
        <v>691</v>
      </c>
      <c r="K1465">
        <v>8.4</v>
      </c>
    </row>
    <row r="1466" spans="1:12" x14ac:dyDescent="0.3">
      <c r="A1466">
        <v>5</v>
      </c>
      <c r="B1466">
        <v>21</v>
      </c>
      <c r="C1466">
        <v>2</v>
      </c>
      <c r="D1466">
        <v>17</v>
      </c>
      <c r="E1466">
        <v>1</v>
      </c>
      <c r="F1466">
        <v>0</v>
      </c>
      <c r="G1466">
        <v>2</v>
      </c>
      <c r="H1466" t="s">
        <v>23</v>
      </c>
      <c r="I1466" t="s">
        <v>93</v>
      </c>
      <c r="J1466">
        <v>447</v>
      </c>
      <c r="K1466">
        <v>8.4</v>
      </c>
      <c r="L1466">
        <v>3754.8</v>
      </c>
    </row>
    <row r="1467" spans="1:12" x14ac:dyDescent="0.3">
      <c r="A1467">
        <v>6</v>
      </c>
      <c r="C1467">
        <v>2</v>
      </c>
      <c r="D1467">
        <v>7</v>
      </c>
      <c r="E1467">
        <v>7</v>
      </c>
      <c r="F1467">
        <v>0</v>
      </c>
      <c r="G1467">
        <v>9</v>
      </c>
      <c r="H1467" t="s">
        <v>32</v>
      </c>
      <c r="I1467" t="s">
        <v>87</v>
      </c>
      <c r="J1467">
        <v>523</v>
      </c>
      <c r="K1467">
        <v>7.6</v>
      </c>
      <c r="L1467">
        <v>3974.7999999999902</v>
      </c>
    </row>
    <row r="1468" spans="1:12" x14ac:dyDescent="0.3">
      <c r="A1468">
        <v>7</v>
      </c>
      <c r="B1468">
        <v>21</v>
      </c>
      <c r="C1468">
        <v>3</v>
      </c>
      <c r="D1468">
        <v>8</v>
      </c>
      <c r="E1468">
        <v>1</v>
      </c>
      <c r="F1468">
        <v>0</v>
      </c>
      <c r="G1468">
        <v>11</v>
      </c>
      <c r="H1468" t="s">
        <v>18</v>
      </c>
      <c r="I1468" t="s">
        <v>87</v>
      </c>
      <c r="J1468">
        <v>541</v>
      </c>
      <c r="K1468">
        <v>7.7</v>
      </c>
      <c r="L1468">
        <v>4165.7</v>
      </c>
    </row>
    <row r="1469" spans="1:12" x14ac:dyDescent="0.3">
      <c r="A1469">
        <v>7</v>
      </c>
      <c r="B1469">
        <v>18</v>
      </c>
      <c r="D1469">
        <v>22</v>
      </c>
      <c r="E1469">
        <v>1</v>
      </c>
      <c r="F1469">
        <v>0</v>
      </c>
      <c r="G1469">
        <v>6</v>
      </c>
      <c r="H1469" t="s">
        <v>22</v>
      </c>
      <c r="I1469" t="s">
        <v>72</v>
      </c>
      <c r="J1469">
        <v>596</v>
      </c>
      <c r="K1469">
        <v>7.8</v>
      </c>
      <c r="L1469">
        <v>4648.8</v>
      </c>
    </row>
    <row r="1470" spans="1:12" x14ac:dyDescent="0.3">
      <c r="A1470">
        <v>17</v>
      </c>
      <c r="B1470">
        <v>22</v>
      </c>
      <c r="C1470">
        <v>1</v>
      </c>
      <c r="D1470">
        <v>16</v>
      </c>
      <c r="E1470">
        <v>1</v>
      </c>
      <c r="F1470">
        <v>0</v>
      </c>
      <c r="G1470">
        <v>12</v>
      </c>
      <c r="H1470" t="s">
        <v>26</v>
      </c>
      <c r="I1470" t="s">
        <v>82</v>
      </c>
      <c r="J1470">
        <v>441</v>
      </c>
      <c r="K1470">
        <v>8.5</v>
      </c>
      <c r="L1470">
        <v>3748.5</v>
      </c>
    </row>
    <row r="1471" spans="1:12" x14ac:dyDescent="0.3">
      <c r="A1471">
        <v>7</v>
      </c>
      <c r="B1471">
        <v>19</v>
      </c>
      <c r="C1471">
        <v>0</v>
      </c>
      <c r="D1471">
        <v>15</v>
      </c>
      <c r="E1471">
        <v>1</v>
      </c>
      <c r="F1471">
        <v>0</v>
      </c>
      <c r="G1471">
        <v>4</v>
      </c>
      <c r="H1471" t="s">
        <v>24</v>
      </c>
      <c r="I1471" t="s">
        <v>93</v>
      </c>
      <c r="J1471">
        <v>442</v>
      </c>
      <c r="K1471">
        <v>7.9</v>
      </c>
      <c r="L1471">
        <v>3491.8</v>
      </c>
    </row>
    <row r="1472" spans="1:12" x14ac:dyDescent="0.3">
      <c r="A1472">
        <v>21</v>
      </c>
      <c r="B1472">
        <v>23</v>
      </c>
      <c r="C1472">
        <v>0</v>
      </c>
      <c r="D1472">
        <v>20</v>
      </c>
      <c r="E1472">
        <v>1</v>
      </c>
      <c r="F1472">
        <v>0</v>
      </c>
      <c r="G1472">
        <v>2</v>
      </c>
      <c r="H1472" t="s">
        <v>36</v>
      </c>
      <c r="I1472" t="s">
        <v>108</v>
      </c>
      <c r="J1472">
        <v>487</v>
      </c>
      <c r="K1472">
        <v>8.8000000000000007</v>
      </c>
      <c r="L1472">
        <v>4285.6000000000004</v>
      </c>
    </row>
    <row r="1473" spans="1:12" x14ac:dyDescent="0.3">
      <c r="A1473">
        <v>9</v>
      </c>
      <c r="B1473">
        <v>20</v>
      </c>
      <c r="D1473">
        <v>6</v>
      </c>
      <c r="E1473">
        <v>7</v>
      </c>
      <c r="F1473">
        <v>0</v>
      </c>
      <c r="G1473">
        <v>11</v>
      </c>
      <c r="H1473" t="s">
        <v>18</v>
      </c>
      <c r="I1473" t="s">
        <v>79</v>
      </c>
      <c r="J1473">
        <v>343</v>
      </c>
      <c r="K1473">
        <v>7.7</v>
      </c>
      <c r="L1473">
        <v>2641.1</v>
      </c>
    </row>
    <row r="1474" spans="1:12" x14ac:dyDescent="0.3">
      <c r="A1474">
        <v>14</v>
      </c>
      <c r="B1474">
        <v>23</v>
      </c>
      <c r="C1474">
        <v>0</v>
      </c>
      <c r="D1474">
        <v>9</v>
      </c>
      <c r="E1474">
        <v>12</v>
      </c>
      <c r="F1474">
        <v>0</v>
      </c>
      <c r="G1474">
        <v>4</v>
      </c>
      <c r="H1474" t="s">
        <v>23</v>
      </c>
      <c r="I1474" t="s">
        <v>104</v>
      </c>
      <c r="J1474" t="s">
        <v>195</v>
      </c>
      <c r="K1474">
        <v>8.4</v>
      </c>
      <c r="L1474">
        <v>3847.2</v>
      </c>
    </row>
    <row r="1475" spans="1:12" x14ac:dyDescent="0.3">
      <c r="A1475">
        <v>5</v>
      </c>
      <c r="B1475">
        <v>19</v>
      </c>
      <c r="C1475">
        <v>2</v>
      </c>
      <c r="D1475">
        <v>20</v>
      </c>
      <c r="E1475">
        <v>1</v>
      </c>
      <c r="F1475">
        <v>0</v>
      </c>
      <c r="G1475">
        <v>12</v>
      </c>
      <c r="H1475" t="s">
        <v>30</v>
      </c>
      <c r="I1475" t="s">
        <v>85</v>
      </c>
      <c r="J1475">
        <v>493</v>
      </c>
      <c r="K1475">
        <v>9.1999999999999993</v>
      </c>
      <c r="L1475">
        <v>4535.5999999999904</v>
      </c>
    </row>
    <row r="1476" spans="1:12" x14ac:dyDescent="0.3">
      <c r="A1476">
        <v>23</v>
      </c>
      <c r="B1476">
        <v>22</v>
      </c>
      <c r="C1476">
        <v>0</v>
      </c>
      <c r="D1476">
        <v>19</v>
      </c>
      <c r="E1476">
        <v>1</v>
      </c>
      <c r="F1476">
        <v>0</v>
      </c>
      <c r="G1476">
        <v>3</v>
      </c>
      <c r="H1476" t="s">
        <v>61</v>
      </c>
      <c r="I1476" t="s">
        <v>79</v>
      </c>
      <c r="K1476">
        <v>7.4</v>
      </c>
      <c r="L1476">
        <v>4913.6000000000004</v>
      </c>
    </row>
    <row r="1477" spans="1:12" x14ac:dyDescent="0.3">
      <c r="A1477">
        <v>8</v>
      </c>
      <c r="B1477">
        <v>18</v>
      </c>
      <c r="C1477">
        <v>3</v>
      </c>
      <c r="D1477">
        <v>19</v>
      </c>
      <c r="E1477">
        <v>1</v>
      </c>
      <c r="F1477">
        <v>0</v>
      </c>
      <c r="G1477">
        <v>1</v>
      </c>
      <c r="H1477" t="s">
        <v>40</v>
      </c>
      <c r="I1477" t="s">
        <v>83</v>
      </c>
      <c r="J1477">
        <v>424</v>
      </c>
      <c r="K1477">
        <v>7.4</v>
      </c>
      <c r="L1477" t="s">
        <v>336</v>
      </c>
    </row>
    <row r="1478" spans="1:12" x14ac:dyDescent="0.3">
      <c r="A1478">
        <v>16</v>
      </c>
      <c r="B1478">
        <v>23</v>
      </c>
      <c r="C1478">
        <v>3</v>
      </c>
      <c r="D1478">
        <v>15</v>
      </c>
      <c r="E1478">
        <v>12</v>
      </c>
      <c r="F1478">
        <v>0</v>
      </c>
      <c r="G1478">
        <v>3</v>
      </c>
      <c r="H1478" t="s">
        <v>41</v>
      </c>
      <c r="I1478" t="s">
        <v>83</v>
      </c>
      <c r="J1478">
        <v>655</v>
      </c>
      <c r="K1478">
        <v>9.1</v>
      </c>
      <c r="L1478">
        <v>5960.5</v>
      </c>
    </row>
    <row r="1479" spans="1:12" x14ac:dyDescent="0.3">
      <c r="A1479">
        <v>22</v>
      </c>
      <c r="B1479">
        <v>23</v>
      </c>
      <c r="D1479">
        <v>15</v>
      </c>
      <c r="E1479">
        <v>1</v>
      </c>
      <c r="F1479">
        <v>0</v>
      </c>
      <c r="G1479">
        <v>10</v>
      </c>
      <c r="H1479" t="s">
        <v>20</v>
      </c>
      <c r="I1479" t="s">
        <v>89</v>
      </c>
      <c r="J1479">
        <v>612</v>
      </c>
      <c r="K1479">
        <v>9.1</v>
      </c>
      <c r="L1479">
        <v>5569.2</v>
      </c>
    </row>
    <row r="1480" spans="1:12" x14ac:dyDescent="0.3">
      <c r="A1480">
        <v>12</v>
      </c>
      <c r="B1480">
        <v>22</v>
      </c>
      <c r="C1480">
        <v>2</v>
      </c>
      <c r="D1480">
        <v>18</v>
      </c>
      <c r="E1480">
        <v>1</v>
      </c>
      <c r="F1480">
        <v>0</v>
      </c>
      <c r="G1480">
        <v>6</v>
      </c>
      <c r="H1480" t="s">
        <v>35</v>
      </c>
      <c r="I1480" t="s">
        <v>76</v>
      </c>
      <c r="J1480">
        <v>628</v>
      </c>
      <c r="K1480">
        <v>8.1999999999999993</v>
      </c>
      <c r="L1480">
        <v>5149.5999999999904</v>
      </c>
    </row>
    <row r="1481" spans="1:12" x14ac:dyDescent="0.3">
      <c r="A1481">
        <v>13</v>
      </c>
      <c r="B1481">
        <v>22</v>
      </c>
      <c r="C1481">
        <v>1</v>
      </c>
      <c r="D1481">
        <v>13</v>
      </c>
      <c r="F1481">
        <v>0</v>
      </c>
      <c r="G1481">
        <v>9</v>
      </c>
      <c r="H1481" t="s">
        <v>22</v>
      </c>
      <c r="I1481" t="s">
        <v>78</v>
      </c>
      <c r="J1481">
        <v>685</v>
      </c>
      <c r="K1481">
        <v>7.8</v>
      </c>
      <c r="L1481">
        <v>5343</v>
      </c>
    </row>
    <row r="1482" spans="1:12" x14ac:dyDescent="0.3">
      <c r="A1482">
        <v>12</v>
      </c>
      <c r="B1482">
        <v>22</v>
      </c>
      <c r="C1482">
        <v>2</v>
      </c>
      <c r="D1482">
        <v>10</v>
      </c>
      <c r="F1482">
        <v>0</v>
      </c>
      <c r="G1482">
        <v>4</v>
      </c>
      <c r="H1482" t="s">
        <v>58</v>
      </c>
      <c r="I1482" t="s">
        <v>96</v>
      </c>
      <c r="J1482">
        <v>558</v>
      </c>
      <c r="K1482">
        <v>8.4</v>
      </c>
      <c r="L1482">
        <v>4687.2</v>
      </c>
    </row>
    <row r="1483" spans="1:12" x14ac:dyDescent="0.3">
      <c r="A1483">
        <v>20</v>
      </c>
      <c r="C1483">
        <v>2</v>
      </c>
      <c r="D1483">
        <v>11</v>
      </c>
      <c r="E1483">
        <v>12</v>
      </c>
      <c r="F1483">
        <v>0</v>
      </c>
      <c r="G1483">
        <v>10</v>
      </c>
      <c r="H1483" t="s">
        <v>44</v>
      </c>
      <c r="I1483" t="s">
        <v>91</v>
      </c>
      <c r="J1483">
        <v>710</v>
      </c>
      <c r="K1483">
        <v>8.1999999999999993</v>
      </c>
      <c r="L1483">
        <v>5821.99999999999</v>
      </c>
    </row>
    <row r="1484" spans="1:12" x14ac:dyDescent="0.3">
      <c r="A1484">
        <v>23</v>
      </c>
      <c r="B1484">
        <v>22</v>
      </c>
      <c r="C1484">
        <v>0</v>
      </c>
      <c r="D1484">
        <v>18</v>
      </c>
      <c r="F1484">
        <v>0</v>
      </c>
      <c r="G1484">
        <v>6</v>
      </c>
      <c r="H1484" t="s">
        <v>36</v>
      </c>
      <c r="I1484" t="s">
        <v>91</v>
      </c>
      <c r="J1484">
        <v>451</v>
      </c>
      <c r="K1484">
        <v>8.8000000000000007</v>
      </c>
      <c r="L1484">
        <v>3968.8</v>
      </c>
    </row>
    <row r="1485" spans="1:12" x14ac:dyDescent="0.3">
      <c r="A1485">
        <v>9</v>
      </c>
      <c r="B1485">
        <v>20</v>
      </c>
      <c r="C1485">
        <v>0</v>
      </c>
      <c r="D1485">
        <v>20</v>
      </c>
      <c r="E1485">
        <v>1</v>
      </c>
      <c r="F1485">
        <v>0</v>
      </c>
      <c r="G1485">
        <v>9</v>
      </c>
      <c r="H1485" t="s">
        <v>34</v>
      </c>
      <c r="I1485" t="s">
        <v>90</v>
      </c>
      <c r="J1485">
        <v>549</v>
      </c>
      <c r="K1485">
        <v>7.6</v>
      </c>
      <c r="L1485">
        <v>4172.3999999999996</v>
      </c>
    </row>
    <row r="1486" spans="1:12" x14ac:dyDescent="0.3">
      <c r="A1486">
        <v>7</v>
      </c>
      <c r="B1486">
        <v>17</v>
      </c>
      <c r="C1486">
        <v>1</v>
      </c>
      <c r="D1486">
        <v>13</v>
      </c>
      <c r="E1486">
        <v>1</v>
      </c>
      <c r="F1486">
        <v>0</v>
      </c>
      <c r="G1486">
        <v>7</v>
      </c>
      <c r="H1486" t="s">
        <v>30</v>
      </c>
      <c r="I1486" t="s">
        <v>95</v>
      </c>
      <c r="J1486">
        <v>286</v>
      </c>
      <c r="K1486">
        <v>9.1999999999999993</v>
      </c>
      <c r="L1486">
        <v>2631.2</v>
      </c>
    </row>
    <row r="1487" spans="1:12" x14ac:dyDescent="0.3">
      <c r="B1487">
        <v>23</v>
      </c>
      <c r="C1487">
        <v>0</v>
      </c>
      <c r="D1487">
        <v>3</v>
      </c>
      <c r="E1487">
        <v>1</v>
      </c>
      <c r="F1487">
        <v>0</v>
      </c>
      <c r="G1487">
        <v>7</v>
      </c>
      <c r="H1487" t="s">
        <v>45</v>
      </c>
      <c r="I1487" t="s">
        <v>82</v>
      </c>
      <c r="J1487">
        <v>552</v>
      </c>
      <c r="K1487">
        <v>7.9</v>
      </c>
    </row>
    <row r="1488" spans="1:12" x14ac:dyDescent="0.3">
      <c r="A1488">
        <v>12</v>
      </c>
      <c r="B1488">
        <v>23</v>
      </c>
      <c r="C1488">
        <v>1</v>
      </c>
      <c r="D1488">
        <v>20</v>
      </c>
      <c r="E1488">
        <v>1</v>
      </c>
      <c r="F1488">
        <v>0</v>
      </c>
      <c r="G1488">
        <v>4</v>
      </c>
      <c r="H1488" t="s">
        <v>25</v>
      </c>
      <c r="I1488" t="s">
        <v>84</v>
      </c>
      <c r="J1488">
        <v>530</v>
      </c>
      <c r="K1488">
        <v>8.1</v>
      </c>
      <c r="L1488">
        <v>4293</v>
      </c>
    </row>
    <row r="1489" spans="1:12" x14ac:dyDescent="0.3">
      <c r="A1489">
        <v>12</v>
      </c>
      <c r="B1489">
        <v>22</v>
      </c>
      <c r="C1489">
        <v>3</v>
      </c>
      <c r="D1489">
        <v>5</v>
      </c>
      <c r="E1489">
        <v>1</v>
      </c>
      <c r="F1489">
        <v>0</v>
      </c>
      <c r="G1489">
        <v>6</v>
      </c>
      <c r="H1489" t="s">
        <v>13</v>
      </c>
      <c r="I1489" t="s">
        <v>72</v>
      </c>
      <c r="J1489">
        <v>370</v>
      </c>
      <c r="K1489" t="s">
        <v>248</v>
      </c>
      <c r="L1489">
        <v>3071</v>
      </c>
    </row>
    <row r="1490" spans="1:12" x14ac:dyDescent="0.3">
      <c r="A1490">
        <v>14</v>
      </c>
      <c r="B1490">
        <v>22</v>
      </c>
      <c r="C1490">
        <v>3</v>
      </c>
      <c r="D1490">
        <v>20</v>
      </c>
      <c r="E1490">
        <v>1</v>
      </c>
      <c r="F1490">
        <v>0</v>
      </c>
      <c r="G1490">
        <v>7</v>
      </c>
      <c r="H1490" t="s">
        <v>18</v>
      </c>
      <c r="I1490" t="s">
        <v>125</v>
      </c>
      <c r="J1490">
        <v>658</v>
      </c>
      <c r="L1490">
        <v>5066.6000000000004</v>
      </c>
    </row>
    <row r="1491" spans="1:12" x14ac:dyDescent="0.3">
      <c r="A1491">
        <v>14</v>
      </c>
      <c r="B1491">
        <v>23</v>
      </c>
      <c r="C1491">
        <v>1</v>
      </c>
      <c r="D1491">
        <v>13</v>
      </c>
      <c r="E1491">
        <v>12</v>
      </c>
      <c r="F1491">
        <v>0</v>
      </c>
      <c r="G1491">
        <v>7</v>
      </c>
      <c r="H1491" t="s">
        <v>38</v>
      </c>
      <c r="I1491" t="s">
        <v>106</v>
      </c>
      <c r="J1491">
        <v>749</v>
      </c>
      <c r="K1491">
        <v>7.4</v>
      </c>
      <c r="L1491">
        <v>5542.6</v>
      </c>
    </row>
    <row r="1492" spans="1:12" x14ac:dyDescent="0.3">
      <c r="A1492">
        <v>23</v>
      </c>
      <c r="B1492">
        <v>23</v>
      </c>
      <c r="C1492">
        <v>0</v>
      </c>
      <c r="D1492">
        <v>11</v>
      </c>
      <c r="E1492">
        <v>1</v>
      </c>
      <c r="F1492">
        <v>0</v>
      </c>
      <c r="G1492">
        <v>3</v>
      </c>
      <c r="H1492" t="s">
        <v>32</v>
      </c>
      <c r="I1492" t="s">
        <v>74</v>
      </c>
      <c r="J1492">
        <v>485</v>
      </c>
      <c r="K1492">
        <v>7.6</v>
      </c>
      <c r="L1492">
        <v>3686</v>
      </c>
    </row>
    <row r="1493" spans="1:12" x14ac:dyDescent="0.3">
      <c r="A1493">
        <v>22</v>
      </c>
      <c r="B1493">
        <v>22</v>
      </c>
      <c r="C1493">
        <v>3</v>
      </c>
      <c r="D1493">
        <v>5</v>
      </c>
      <c r="E1493">
        <v>1</v>
      </c>
      <c r="F1493">
        <v>0</v>
      </c>
      <c r="G1493">
        <v>3</v>
      </c>
      <c r="H1493" t="s">
        <v>23</v>
      </c>
      <c r="I1493" t="s">
        <v>82</v>
      </c>
      <c r="J1493" t="s">
        <v>136</v>
      </c>
      <c r="K1493">
        <v>8.4</v>
      </c>
      <c r="L1493">
        <v>4914</v>
      </c>
    </row>
    <row r="1494" spans="1:12" x14ac:dyDescent="0.3">
      <c r="A1494">
        <v>8</v>
      </c>
      <c r="B1494">
        <v>21</v>
      </c>
      <c r="C1494">
        <v>3</v>
      </c>
      <c r="D1494">
        <v>9</v>
      </c>
      <c r="E1494">
        <v>7</v>
      </c>
      <c r="F1494">
        <v>0</v>
      </c>
      <c r="G1494">
        <v>10</v>
      </c>
      <c r="H1494" t="s">
        <v>18</v>
      </c>
      <c r="I1494" t="s">
        <v>82</v>
      </c>
      <c r="J1494">
        <v>630</v>
      </c>
      <c r="K1494">
        <v>7.7</v>
      </c>
      <c r="L1494">
        <v>4851</v>
      </c>
    </row>
    <row r="1495" spans="1:12" x14ac:dyDescent="0.3">
      <c r="A1495">
        <v>11</v>
      </c>
      <c r="B1495">
        <v>22</v>
      </c>
      <c r="C1495">
        <v>3</v>
      </c>
      <c r="D1495">
        <v>20</v>
      </c>
      <c r="E1495">
        <v>1</v>
      </c>
      <c r="G1495">
        <v>9</v>
      </c>
      <c r="H1495" t="s">
        <v>37</v>
      </c>
      <c r="I1495" t="s">
        <v>109</v>
      </c>
      <c r="J1495">
        <v>541</v>
      </c>
      <c r="K1495">
        <v>8.3000000000000007</v>
      </c>
      <c r="L1495">
        <v>4490.3</v>
      </c>
    </row>
    <row r="1496" spans="1:12" x14ac:dyDescent="0.3">
      <c r="A1496">
        <v>5</v>
      </c>
      <c r="B1496">
        <v>18</v>
      </c>
      <c r="C1496">
        <v>1</v>
      </c>
      <c r="D1496">
        <v>10</v>
      </c>
      <c r="E1496">
        <v>1</v>
      </c>
      <c r="F1496">
        <v>0</v>
      </c>
      <c r="G1496">
        <v>5</v>
      </c>
      <c r="H1496" t="s">
        <v>14</v>
      </c>
      <c r="I1496" t="s">
        <v>92</v>
      </c>
      <c r="J1496">
        <v>346</v>
      </c>
      <c r="K1496">
        <v>8.9</v>
      </c>
      <c r="L1496">
        <v>3079.4</v>
      </c>
    </row>
    <row r="1497" spans="1:12" x14ac:dyDescent="0.3">
      <c r="A1497">
        <v>16</v>
      </c>
      <c r="B1497">
        <v>22</v>
      </c>
      <c r="C1497">
        <v>1</v>
      </c>
      <c r="D1497">
        <v>5</v>
      </c>
      <c r="E1497">
        <v>12</v>
      </c>
      <c r="F1497">
        <v>0</v>
      </c>
      <c r="G1497">
        <v>10</v>
      </c>
      <c r="H1497" t="s">
        <v>25</v>
      </c>
      <c r="J1497">
        <v>460</v>
      </c>
      <c r="K1497">
        <v>8.1</v>
      </c>
      <c r="L1497">
        <v>3726</v>
      </c>
    </row>
    <row r="1498" spans="1:12" x14ac:dyDescent="0.3">
      <c r="A1498">
        <v>9</v>
      </c>
      <c r="B1498">
        <v>23</v>
      </c>
      <c r="C1498">
        <v>0</v>
      </c>
      <c r="D1498">
        <v>10</v>
      </c>
      <c r="E1498">
        <v>1</v>
      </c>
      <c r="F1498">
        <v>0</v>
      </c>
      <c r="H1498" t="s">
        <v>23</v>
      </c>
      <c r="I1498" t="s">
        <v>89</v>
      </c>
      <c r="J1498">
        <v>490</v>
      </c>
      <c r="K1498">
        <v>8.4</v>
      </c>
      <c r="L1498">
        <v>4116</v>
      </c>
    </row>
    <row r="1499" spans="1:12" x14ac:dyDescent="0.3">
      <c r="A1499">
        <v>15</v>
      </c>
      <c r="B1499">
        <v>23</v>
      </c>
      <c r="C1499">
        <v>0</v>
      </c>
      <c r="D1499">
        <v>3</v>
      </c>
      <c r="E1499">
        <v>1</v>
      </c>
      <c r="F1499">
        <v>0</v>
      </c>
      <c r="G1499">
        <v>6</v>
      </c>
      <c r="H1499" t="s">
        <v>15</v>
      </c>
      <c r="I1499" t="s">
        <v>75</v>
      </c>
      <c r="J1499">
        <v>266</v>
      </c>
      <c r="K1499">
        <v>8.3000000000000007</v>
      </c>
      <c r="L1499">
        <v>2207.8000000000002</v>
      </c>
    </row>
    <row r="1500" spans="1:12" x14ac:dyDescent="0.3">
      <c r="A1500">
        <v>9</v>
      </c>
      <c r="B1500">
        <v>20</v>
      </c>
      <c r="C1500">
        <v>1</v>
      </c>
      <c r="D1500">
        <v>22</v>
      </c>
      <c r="E1500">
        <v>1</v>
      </c>
      <c r="F1500">
        <v>0</v>
      </c>
      <c r="G1500">
        <v>3</v>
      </c>
      <c r="H1500" t="s">
        <v>19</v>
      </c>
      <c r="J1500">
        <v>656</v>
      </c>
      <c r="K1500">
        <v>8.9</v>
      </c>
      <c r="L1500">
        <v>5838.4</v>
      </c>
    </row>
    <row r="1501" spans="1:12" x14ac:dyDescent="0.3">
      <c r="A1501">
        <v>18</v>
      </c>
      <c r="B1501">
        <v>23</v>
      </c>
      <c r="E1501">
        <v>1</v>
      </c>
      <c r="F1501">
        <v>0</v>
      </c>
      <c r="G1501">
        <v>9</v>
      </c>
      <c r="H1501" t="s">
        <v>33</v>
      </c>
      <c r="I1501" t="s">
        <v>71</v>
      </c>
      <c r="J1501">
        <v>582</v>
      </c>
      <c r="K1501">
        <v>9.3000000000000007</v>
      </c>
      <c r="L1501">
        <v>5412.6</v>
      </c>
    </row>
    <row r="1502" spans="1:12" x14ac:dyDescent="0.3">
      <c r="A1502">
        <v>11</v>
      </c>
      <c r="B1502">
        <v>22</v>
      </c>
      <c r="C1502">
        <v>0</v>
      </c>
      <c r="D1502">
        <v>17</v>
      </c>
      <c r="F1502">
        <v>0</v>
      </c>
      <c r="G1502">
        <v>2</v>
      </c>
      <c r="H1502" t="s">
        <v>16</v>
      </c>
      <c r="I1502" t="s">
        <v>92</v>
      </c>
      <c r="J1502">
        <v>386</v>
      </c>
      <c r="K1502">
        <v>8.9</v>
      </c>
      <c r="L1502">
        <v>3435.4</v>
      </c>
    </row>
    <row r="1503" spans="1:12" x14ac:dyDescent="0.3">
      <c r="A1503">
        <v>15</v>
      </c>
      <c r="B1503">
        <v>22</v>
      </c>
      <c r="D1503">
        <v>5</v>
      </c>
      <c r="E1503">
        <v>1</v>
      </c>
      <c r="F1503">
        <v>0</v>
      </c>
      <c r="G1503">
        <v>2</v>
      </c>
      <c r="I1503" t="s">
        <v>70</v>
      </c>
      <c r="J1503">
        <v>416</v>
      </c>
      <c r="K1503">
        <v>9.1999999999999993</v>
      </c>
      <c r="L1503">
        <v>3827.2</v>
      </c>
    </row>
    <row r="1504" spans="1:12" x14ac:dyDescent="0.3">
      <c r="A1504">
        <v>22</v>
      </c>
      <c r="B1504">
        <v>23</v>
      </c>
      <c r="C1504">
        <v>1</v>
      </c>
      <c r="D1504">
        <v>5</v>
      </c>
      <c r="E1504">
        <v>1</v>
      </c>
      <c r="F1504">
        <v>0</v>
      </c>
      <c r="G1504">
        <v>1</v>
      </c>
      <c r="H1504" t="s">
        <v>15</v>
      </c>
      <c r="I1504" t="s">
        <v>105</v>
      </c>
      <c r="J1504" t="s">
        <v>166</v>
      </c>
      <c r="K1504">
        <v>8.3000000000000007</v>
      </c>
      <c r="L1504">
        <v>4955.1000000000004</v>
      </c>
    </row>
    <row r="1505" spans="1:12" x14ac:dyDescent="0.3">
      <c r="A1505">
        <v>14</v>
      </c>
      <c r="B1505">
        <v>22</v>
      </c>
      <c r="C1505">
        <v>1</v>
      </c>
      <c r="D1505">
        <v>5</v>
      </c>
      <c r="E1505">
        <v>1</v>
      </c>
      <c r="F1505">
        <v>0</v>
      </c>
      <c r="G1505">
        <v>10</v>
      </c>
      <c r="H1505" t="s">
        <v>36</v>
      </c>
      <c r="I1505" t="s">
        <v>73</v>
      </c>
      <c r="J1505" t="s">
        <v>208</v>
      </c>
      <c r="K1505">
        <v>8.8000000000000007</v>
      </c>
      <c r="L1505">
        <v>3968.8</v>
      </c>
    </row>
    <row r="1506" spans="1:12" x14ac:dyDescent="0.3">
      <c r="A1506">
        <v>23</v>
      </c>
      <c r="B1506">
        <v>22</v>
      </c>
      <c r="C1506">
        <v>2</v>
      </c>
      <c r="D1506">
        <v>14</v>
      </c>
      <c r="E1506">
        <v>1</v>
      </c>
      <c r="F1506">
        <v>0</v>
      </c>
      <c r="G1506">
        <v>7</v>
      </c>
      <c r="H1506" t="s">
        <v>25</v>
      </c>
      <c r="I1506" t="s">
        <v>93</v>
      </c>
      <c r="J1506">
        <v>631</v>
      </c>
      <c r="K1506">
        <v>8.1</v>
      </c>
      <c r="L1506">
        <v>5111.0999999999904</v>
      </c>
    </row>
    <row r="1507" spans="1:12" x14ac:dyDescent="0.3">
      <c r="A1507">
        <v>10</v>
      </c>
      <c r="B1507">
        <v>19</v>
      </c>
      <c r="C1507">
        <v>1</v>
      </c>
      <c r="D1507">
        <v>9</v>
      </c>
      <c r="E1507">
        <v>1</v>
      </c>
      <c r="F1507">
        <v>0</v>
      </c>
      <c r="G1507">
        <v>8</v>
      </c>
      <c r="H1507" t="s">
        <v>51</v>
      </c>
      <c r="I1507" t="s">
        <v>106</v>
      </c>
      <c r="J1507">
        <v>493</v>
      </c>
      <c r="K1507">
        <v>8.8000000000000007</v>
      </c>
      <c r="L1507">
        <v>4338.3999999999996</v>
      </c>
    </row>
    <row r="1508" spans="1:12" x14ac:dyDescent="0.3">
      <c r="A1508">
        <v>22</v>
      </c>
      <c r="B1508">
        <v>22</v>
      </c>
      <c r="C1508">
        <v>3</v>
      </c>
      <c r="D1508">
        <v>6</v>
      </c>
      <c r="E1508">
        <v>12</v>
      </c>
      <c r="F1508">
        <v>0</v>
      </c>
      <c r="G1508">
        <v>1</v>
      </c>
      <c r="H1508" t="s">
        <v>36</v>
      </c>
      <c r="I1508" t="s">
        <v>95</v>
      </c>
      <c r="J1508">
        <v>680</v>
      </c>
      <c r="K1508">
        <v>8.8000000000000007</v>
      </c>
      <c r="L1508">
        <v>5984</v>
      </c>
    </row>
    <row r="1509" spans="1:12" x14ac:dyDescent="0.3">
      <c r="A1509">
        <v>20</v>
      </c>
      <c r="B1509">
        <v>23</v>
      </c>
      <c r="C1509">
        <v>1</v>
      </c>
      <c r="D1509">
        <v>20</v>
      </c>
      <c r="E1509">
        <v>1</v>
      </c>
      <c r="F1509">
        <v>0</v>
      </c>
      <c r="G1509">
        <v>6</v>
      </c>
      <c r="H1509" t="s">
        <v>43</v>
      </c>
      <c r="I1509" t="s">
        <v>82</v>
      </c>
      <c r="J1509">
        <v>494</v>
      </c>
      <c r="K1509">
        <v>7.6</v>
      </c>
      <c r="L1509" t="s">
        <v>143</v>
      </c>
    </row>
    <row r="1510" spans="1:12" x14ac:dyDescent="0.3">
      <c r="A1510">
        <v>15</v>
      </c>
      <c r="B1510">
        <v>22</v>
      </c>
      <c r="C1510">
        <v>3</v>
      </c>
      <c r="D1510">
        <v>18</v>
      </c>
      <c r="E1510">
        <v>1</v>
      </c>
      <c r="F1510">
        <v>0</v>
      </c>
      <c r="G1510">
        <v>4</v>
      </c>
      <c r="H1510" t="s">
        <v>18</v>
      </c>
      <c r="I1510" t="s">
        <v>80</v>
      </c>
      <c r="J1510">
        <v>668</v>
      </c>
      <c r="K1510">
        <v>7.7</v>
      </c>
      <c r="L1510" t="s">
        <v>337</v>
      </c>
    </row>
    <row r="1511" spans="1:12" x14ac:dyDescent="0.3">
      <c r="A1511">
        <v>23</v>
      </c>
      <c r="B1511">
        <v>23</v>
      </c>
      <c r="C1511">
        <v>3</v>
      </c>
      <c r="D1511">
        <v>8</v>
      </c>
      <c r="E1511">
        <v>1</v>
      </c>
      <c r="F1511">
        <v>0</v>
      </c>
      <c r="G1511">
        <v>6</v>
      </c>
      <c r="I1511" t="s">
        <v>109</v>
      </c>
      <c r="J1511">
        <v>445</v>
      </c>
      <c r="K1511">
        <v>8.9</v>
      </c>
      <c r="L1511">
        <v>3960.5</v>
      </c>
    </row>
    <row r="1512" spans="1:12" x14ac:dyDescent="0.3">
      <c r="A1512">
        <v>22</v>
      </c>
      <c r="B1512">
        <v>22</v>
      </c>
      <c r="C1512">
        <v>2</v>
      </c>
      <c r="D1512">
        <v>21</v>
      </c>
      <c r="E1512">
        <v>1</v>
      </c>
      <c r="F1512">
        <v>0</v>
      </c>
      <c r="G1512">
        <v>6</v>
      </c>
      <c r="H1512" t="s">
        <v>52</v>
      </c>
      <c r="I1512" t="s">
        <v>82</v>
      </c>
      <c r="J1512">
        <v>646</v>
      </c>
      <c r="K1512">
        <v>9.3000000000000007</v>
      </c>
      <c r="L1512">
        <v>6007.8</v>
      </c>
    </row>
    <row r="1513" spans="1:12" x14ac:dyDescent="0.3">
      <c r="A1513">
        <v>12</v>
      </c>
      <c r="B1513">
        <v>22</v>
      </c>
      <c r="C1513">
        <v>0</v>
      </c>
      <c r="D1513">
        <v>16</v>
      </c>
      <c r="E1513">
        <v>1</v>
      </c>
      <c r="F1513">
        <v>0</v>
      </c>
      <c r="G1513">
        <v>7</v>
      </c>
      <c r="H1513" t="s">
        <v>33</v>
      </c>
      <c r="I1513" t="s">
        <v>71</v>
      </c>
      <c r="J1513" t="s">
        <v>170</v>
      </c>
      <c r="K1513">
        <v>9.3000000000000007</v>
      </c>
      <c r="L1513">
        <v>5235.8999999999996</v>
      </c>
    </row>
    <row r="1514" spans="1:12" x14ac:dyDescent="0.3">
      <c r="A1514">
        <v>21</v>
      </c>
      <c r="B1514">
        <v>22</v>
      </c>
      <c r="C1514">
        <v>1</v>
      </c>
      <c r="D1514">
        <v>12</v>
      </c>
      <c r="E1514">
        <v>1</v>
      </c>
      <c r="F1514">
        <v>0</v>
      </c>
      <c r="G1514">
        <v>11</v>
      </c>
      <c r="H1514" t="s">
        <v>24</v>
      </c>
      <c r="I1514" t="s">
        <v>71</v>
      </c>
      <c r="J1514">
        <v>561</v>
      </c>
      <c r="L1514">
        <v>4431.8999999999996</v>
      </c>
    </row>
    <row r="1515" spans="1:12" x14ac:dyDescent="0.3">
      <c r="A1515">
        <v>10</v>
      </c>
      <c r="B1515">
        <v>20</v>
      </c>
      <c r="C1515">
        <v>2</v>
      </c>
      <c r="D1515">
        <v>10</v>
      </c>
      <c r="E1515">
        <v>1</v>
      </c>
      <c r="F1515">
        <v>0</v>
      </c>
      <c r="G1515">
        <v>2</v>
      </c>
      <c r="H1515" t="s">
        <v>42</v>
      </c>
      <c r="I1515" t="s">
        <v>92</v>
      </c>
      <c r="J1515">
        <v>278</v>
      </c>
      <c r="K1515">
        <v>7.8</v>
      </c>
      <c r="L1515" t="s">
        <v>338</v>
      </c>
    </row>
    <row r="1516" spans="1:12" x14ac:dyDescent="0.3">
      <c r="A1516">
        <v>21</v>
      </c>
      <c r="B1516">
        <v>23</v>
      </c>
      <c r="C1516">
        <v>0</v>
      </c>
      <c r="D1516">
        <v>7</v>
      </c>
      <c r="E1516">
        <v>1</v>
      </c>
      <c r="F1516">
        <v>0</v>
      </c>
      <c r="H1516" t="s">
        <v>25</v>
      </c>
      <c r="I1516" t="s">
        <v>92</v>
      </c>
      <c r="J1516">
        <v>471</v>
      </c>
      <c r="K1516">
        <v>8.1</v>
      </c>
      <c r="L1516">
        <v>3815.1</v>
      </c>
    </row>
    <row r="1517" spans="1:12" x14ac:dyDescent="0.3">
      <c r="A1517">
        <v>11</v>
      </c>
      <c r="B1517">
        <v>23</v>
      </c>
      <c r="C1517">
        <v>2</v>
      </c>
      <c r="D1517">
        <v>12</v>
      </c>
      <c r="E1517">
        <v>1</v>
      </c>
      <c r="F1517">
        <v>0</v>
      </c>
      <c r="G1517">
        <v>9</v>
      </c>
      <c r="H1517" t="s">
        <v>34</v>
      </c>
      <c r="I1517" t="s">
        <v>95</v>
      </c>
      <c r="J1517">
        <v>544</v>
      </c>
      <c r="K1517">
        <v>7.6</v>
      </c>
      <c r="L1517">
        <v>4134.3999999999996</v>
      </c>
    </row>
    <row r="1518" spans="1:12" x14ac:dyDescent="0.3">
      <c r="A1518">
        <v>11</v>
      </c>
      <c r="B1518">
        <v>22</v>
      </c>
      <c r="C1518">
        <v>1</v>
      </c>
      <c r="D1518">
        <v>14</v>
      </c>
      <c r="E1518">
        <v>1</v>
      </c>
      <c r="F1518">
        <v>0</v>
      </c>
      <c r="G1518">
        <v>9</v>
      </c>
      <c r="H1518" t="s">
        <v>16</v>
      </c>
      <c r="I1518" t="s">
        <v>73</v>
      </c>
      <c r="J1518">
        <v>583</v>
      </c>
      <c r="K1518">
        <v>8.9</v>
      </c>
      <c r="L1518">
        <v>5188.7</v>
      </c>
    </row>
    <row r="1519" spans="1:12" x14ac:dyDescent="0.3">
      <c r="A1519">
        <v>7</v>
      </c>
      <c r="B1519">
        <v>17</v>
      </c>
      <c r="C1519">
        <v>2</v>
      </c>
      <c r="D1519">
        <v>21</v>
      </c>
      <c r="E1519">
        <v>1</v>
      </c>
      <c r="F1519">
        <v>0</v>
      </c>
      <c r="H1519" t="s">
        <v>18</v>
      </c>
      <c r="I1519" t="s">
        <v>72</v>
      </c>
      <c r="J1519">
        <v>396</v>
      </c>
      <c r="L1519">
        <v>3049.2</v>
      </c>
    </row>
    <row r="1520" spans="1:12" x14ac:dyDescent="0.3">
      <c r="A1520">
        <v>11</v>
      </c>
      <c r="C1520">
        <v>3</v>
      </c>
      <c r="D1520">
        <v>8</v>
      </c>
      <c r="E1520">
        <v>1</v>
      </c>
      <c r="F1520">
        <v>0</v>
      </c>
      <c r="G1520">
        <v>11</v>
      </c>
      <c r="H1520" t="s">
        <v>35</v>
      </c>
      <c r="I1520" t="s">
        <v>71</v>
      </c>
      <c r="J1520">
        <v>560</v>
      </c>
      <c r="K1520">
        <v>8.1999999999999993</v>
      </c>
      <c r="L1520">
        <v>4592</v>
      </c>
    </row>
    <row r="1521" spans="1:12" x14ac:dyDescent="0.3">
      <c r="A1521">
        <v>17</v>
      </c>
      <c r="B1521">
        <v>22</v>
      </c>
      <c r="C1521">
        <v>0</v>
      </c>
      <c r="D1521">
        <v>19</v>
      </c>
      <c r="E1521">
        <v>1</v>
      </c>
      <c r="F1521">
        <v>0</v>
      </c>
      <c r="G1521">
        <v>12</v>
      </c>
      <c r="H1521" t="s">
        <v>33</v>
      </c>
      <c r="I1521" t="s">
        <v>133</v>
      </c>
      <c r="J1521">
        <v>525</v>
      </c>
      <c r="K1521">
        <v>9.3000000000000007</v>
      </c>
      <c r="L1521" t="s">
        <v>339</v>
      </c>
    </row>
    <row r="1522" spans="1:12" x14ac:dyDescent="0.3">
      <c r="A1522">
        <v>23</v>
      </c>
      <c r="B1522">
        <v>22</v>
      </c>
      <c r="C1522">
        <v>1</v>
      </c>
      <c r="D1522">
        <v>6</v>
      </c>
      <c r="E1522">
        <v>1</v>
      </c>
      <c r="F1522">
        <v>0</v>
      </c>
      <c r="G1522">
        <v>7</v>
      </c>
      <c r="I1522" t="s">
        <v>104</v>
      </c>
      <c r="J1522">
        <v>547</v>
      </c>
      <c r="L1522">
        <v>4266.5999999999904</v>
      </c>
    </row>
    <row r="1523" spans="1:12" x14ac:dyDescent="0.3">
      <c r="A1523">
        <v>21</v>
      </c>
      <c r="B1523">
        <v>23</v>
      </c>
      <c r="C1523">
        <v>3</v>
      </c>
      <c r="D1523">
        <v>19</v>
      </c>
      <c r="E1523">
        <v>1</v>
      </c>
      <c r="F1523">
        <v>0</v>
      </c>
      <c r="G1523">
        <v>9</v>
      </c>
      <c r="H1523" t="s">
        <v>48</v>
      </c>
      <c r="I1523" t="s">
        <v>74</v>
      </c>
      <c r="J1523">
        <v>535</v>
      </c>
      <c r="K1523">
        <v>8.6999999999999993</v>
      </c>
      <c r="L1523">
        <v>4654.5</v>
      </c>
    </row>
    <row r="1524" spans="1:12" x14ac:dyDescent="0.3">
      <c r="A1524">
        <v>19</v>
      </c>
      <c r="B1524">
        <v>22</v>
      </c>
      <c r="C1524">
        <v>3</v>
      </c>
      <c r="D1524">
        <v>5</v>
      </c>
      <c r="E1524">
        <v>12</v>
      </c>
      <c r="F1524">
        <v>0</v>
      </c>
      <c r="G1524">
        <v>8</v>
      </c>
      <c r="H1524" t="s">
        <v>38</v>
      </c>
      <c r="I1524" t="s">
        <v>114</v>
      </c>
      <c r="J1524">
        <v>625</v>
      </c>
      <c r="K1524">
        <v>7.4</v>
      </c>
      <c r="L1524">
        <v>4625</v>
      </c>
    </row>
    <row r="1525" spans="1:12" x14ac:dyDescent="0.3">
      <c r="A1525">
        <v>22</v>
      </c>
      <c r="B1525">
        <v>22</v>
      </c>
      <c r="C1525">
        <v>1</v>
      </c>
      <c r="D1525">
        <v>10</v>
      </c>
      <c r="E1525">
        <v>1</v>
      </c>
      <c r="F1525">
        <v>0</v>
      </c>
      <c r="G1525">
        <v>10</v>
      </c>
      <c r="H1525" t="s">
        <v>25</v>
      </c>
      <c r="I1525" t="s">
        <v>73</v>
      </c>
      <c r="J1525">
        <v>551</v>
      </c>
      <c r="K1525">
        <v>8.1</v>
      </c>
      <c r="L1525">
        <v>4463.0999999999904</v>
      </c>
    </row>
    <row r="1526" spans="1:12" x14ac:dyDescent="0.3">
      <c r="A1526">
        <v>13</v>
      </c>
      <c r="B1526">
        <v>23</v>
      </c>
      <c r="C1526">
        <v>2</v>
      </c>
      <c r="D1526">
        <v>13</v>
      </c>
      <c r="E1526">
        <v>1</v>
      </c>
      <c r="F1526">
        <v>0</v>
      </c>
      <c r="G1526">
        <v>11</v>
      </c>
      <c r="H1526" t="s">
        <v>48</v>
      </c>
      <c r="I1526" t="s">
        <v>77</v>
      </c>
      <c r="J1526">
        <v>553</v>
      </c>
      <c r="K1526" t="s">
        <v>242</v>
      </c>
      <c r="L1526">
        <v>4811.0999999999904</v>
      </c>
    </row>
    <row r="1527" spans="1:12" x14ac:dyDescent="0.3">
      <c r="A1527">
        <v>10</v>
      </c>
      <c r="B1527">
        <v>20</v>
      </c>
      <c r="C1527">
        <v>0</v>
      </c>
      <c r="D1527">
        <v>8</v>
      </c>
      <c r="E1527">
        <v>1</v>
      </c>
      <c r="F1527">
        <v>0</v>
      </c>
      <c r="G1527">
        <v>8</v>
      </c>
      <c r="H1527" t="s">
        <v>37</v>
      </c>
      <c r="I1527" t="s">
        <v>81</v>
      </c>
      <c r="J1527">
        <v>293</v>
      </c>
      <c r="K1527">
        <v>8.3000000000000007</v>
      </c>
      <c r="L1527">
        <v>2431.9</v>
      </c>
    </row>
    <row r="1528" spans="1:12" x14ac:dyDescent="0.3">
      <c r="A1528">
        <v>6</v>
      </c>
      <c r="B1528">
        <v>18</v>
      </c>
      <c r="D1528">
        <v>12</v>
      </c>
      <c r="E1528">
        <v>1</v>
      </c>
      <c r="F1528">
        <v>0</v>
      </c>
      <c r="G1528">
        <v>11</v>
      </c>
      <c r="H1528" t="s">
        <v>53</v>
      </c>
      <c r="I1528" t="s">
        <v>92</v>
      </c>
      <c r="J1528">
        <v>344</v>
      </c>
      <c r="K1528" t="s">
        <v>246</v>
      </c>
      <c r="L1528">
        <v>2648.8</v>
      </c>
    </row>
    <row r="1529" spans="1:12" x14ac:dyDescent="0.3">
      <c r="A1529">
        <v>12</v>
      </c>
      <c r="B1529">
        <v>22</v>
      </c>
      <c r="C1529">
        <v>0</v>
      </c>
      <c r="D1529">
        <v>13</v>
      </c>
      <c r="E1529">
        <v>1</v>
      </c>
      <c r="F1529">
        <v>0</v>
      </c>
      <c r="G1529">
        <v>7</v>
      </c>
      <c r="H1529" t="s">
        <v>22</v>
      </c>
      <c r="I1529" t="s">
        <v>90</v>
      </c>
      <c r="J1529">
        <v>497</v>
      </c>
      <c r="K1529">
        <v>7.8</v>
      </c>
      <c r="L1529">
        <v>3876.6</v>
      </c>
    </row>
    <row r="1530" spans="1:12" x14ac:dyDescent="0.3">
      <c r="A1530">
        <v>10</v>
      </c>
      <c r="B1530">
        <v>20</v>
      </c>
      <c r="C1530">
        <v>0</v>
      </c>
      <c r="D1530">
        <v>7</v>
      </c>
      <c r="F1530">
        <v>0</v>
      </c>
      <c r="G1530">
        <v>12</v>
      </c>
      <c r="H1530" t="s">
        <v>22</v>
      </c>
      <c r="I1530" t="s">
        <v>92</v>
      </c>
      <c r="J1530">
        <v>299</v>
      </c>
      <c r="K1530">
        <v>7.8</v>
      </c>
      <c r="L1530">
        <v>2332.1999999999998</v>
      </c>
    </row>
    <row r="1531" spans="1:12" x14ac:dyDescent="0.3">
      <c r="A1531">
        <v>6</v>
      </c>
      <c r="B1531">
        <v>20</v>
      </c>
      <c r="C1531">
        <v>1</v>
      </c>
      <c r="D1531">
        <v>8</v>
      </c>
      <c r="E1531">
        <v>1</v>
      </c>
      <c r="F1531">
        <v>0</v>
      </c>
      <c r="G1531">
        <v>7</v>
      </c>
      <c r="H1531" t="s">
        <v>25</v>
      </c>
      <c r="I1531" t="s">
        <v>72</v>
      </c>
      <c r="J1531">
        <v>255</v>
      </c>
      <c r="K1531">
        <v>8.1</v>
      </c>
      <c r="L1531">
        <v>2065.5</v>
      </c>
    </row>
    <row r="1532" spans="1:12" x14ac:dyDescent="0.3">
      <c r="A1532">
        <v>19</v>
      </c>
      <c r="B1532">
        <v>23</v>
      </c>
      <c r="C1532">
        <v>3</v>
      </c>
      <c r="D1532">
        <v>19</v>
      </c>
      <c r="E1532">
        <v>1</v>
      </c>
      <c r="F1532">
        <v>0</v>
      </c>
      <c r="G1532">
        <v>10</v>
      </c>
      <c r="H1532" t="s">
        <v>23</v>
      </c>
      <c r="I1532" t="s">
        <v>96</v>
      </c>
      <c r="J1532">
        <v>557</v>
      </c>
      <c r="K1532">
        <v>8.4</v>
      </c>
      <c r="L1532">
        <v>4678.8</v>
      </c>
    </row>
    <row r="1533" spans="1:12" x14ac:dyDescent="0.3">
      <c r="A1533">
        <v>11</v>
      </c>
      <c r="B1533">
        <v>22</v>
      </c>
      <c r="C1533">
        <v>3</v>
      </c>
      <c r="D1533">
        <v>16</v>
      </c>
      <c r="E1533">
        <v>12</v>
      </c>
      <c r="F1533">
        <v>0</v>
      </c>
      <c r="G1533">
        <v>12</v>
      </c>
      <c r="H1533" t="s">
        <v>16</v>
      </c>
      <c r="I1533" t="s">
        <v>82</v>
      </c>
      <c r="J1533">
        <v>638</v>
      </c>
      <c r="K1533">
        <v>8.9</v>
      </c>
      <c r="L1533">
        <v>5678.2</v>
      </c>
    </row>
    <row r="1534" spans="1:12" x14ac:dyDescent="0.3">
      <c r="A1534">
        <v>8</v>
      </c>
      <c r="B1534">
        <v>19</v>
      </c>
      <c r="C1534">
        <v>1</v>
      </c>
      <c r="D1534">
        <v>12</v>
      </c>
      <c r="E1534">
        <v>1</v>
      </c>
      <c r="F1534">
        <v>0</v>
      </c>
      <c r="G1534">
        <v>8</v>
      </c>
      <c r="H1534" t="s">
        <v>26</v>
      </c>
      <c r="I1534" t="s">
        <v>80</v>
      </c>
      <c r="J1534">
        <v>365</v>
      </c>
      <c r="K1534">
        <v>8.5</v>
      </c>
      <c r="L1534">
        <v>3102.5</v>
      </c>
    </row>
    <row r="1535" spans="1:12" x14ac:dyDescent="0.3">
      <c r="A1535">
        <v>20</v>
      </c>
      <c r="B1535">
        <v>23</v>
      </c>
      <c r="C1535">
        <v>1</v>
      </c>
      <c r="D1535">
        <v>6</v>
      </c>
      <c r="E1535">
        <v>1</v>
      </c>
      <c r="G1535">
        <v>1</v>
      </c>
      <c r="H1535" t="s">
        <v>62</v>
      </c>
      <c r="I1535" t="s">
        <v>107</v>
      </c>
      <c r="J1535">
        <v>422</v>
      </c>
      <c r="K1535">
        <v>8.5</v>
      </c>
      <c r="L1535">
        <v>3587</v>
      </c>
    </row>
    <row r="1536" spans="1:12" x14ac:dyDescent="0.3">
      <c r="A1536">
        <v>14</v>
      </c>
      <c r="B1536">
        <v>22</v>
      </c>
      <c r="C1536">
        <v>3</v>
      </c>
      <c r="D1536">
        <v>3</v>
      </c>
      <c r="E1536">
        <v>12</v>
      </c>
      <c r="F1536">
        <v>0</v>
      </c>
      <c r="G1536">
        <v>7</v>
      </c>
      <c r="H1536" t="s">
        <v>18</v>
      </c>
      <c r="I1536" t="s">
        <v>91</v>
      </c>
      <c r="J1536">
        <v>639</v>
      </c>
      <c r="K1536">
        <v>7.7</v>
      </c>
      <c r="L1536">
        <v>4920.3</v>
      </c>
    </row>
    <row r="1537" spans="1:12" x14ac:dyDescent="0.3">
      <c r="A1537">
        <v>20</v>
      </c>
      <c r="B1537">
        <v>22</v>
      </c>
      <c r="C1537">
        <v>1</v>
      </c>
      <c r="D1537">
        <v>22</v>
      </c>
      <c r="E1537">
        <v>12</v>
      </c>
      <c r="F1537">
        <v>0</v>
      </c>
      <c r="G1537">
        <v>11</v>
      </c>
      <c r="H1537" t="s">
        <v>21</v>
      </c>
      <c r="I1537" t="s">
        <v>105</v>
      </c>
      <c r="J1537">
        <v>690</v>
      </c>
      <c r="K1537">
        <v>8.6999999999999993</v>
      </c>
      <c r="L1537">
        <v>6002.99999999999</v>
      </c>
    </row>
    <row r="1538" spans="1:12" x14ac:dyDescent="0.3">
      <c r="A1538">
        <v>14</v>
      </c>
      <c r="B1538">
        <v>22</v>
      </c>
      <c r="C1538">
        <v>2</v>
      </c>
      <c r="D1538">
        <v>6</v>
      </c>
      <c r="E1538">
        <v>1</v>
      </c>
      <c r="F1538">
        <v>0</v>
      </c>
      <c r="G1538">
        <v>11</v>
      </c>
      <c r="H1538" t="s">
        <v>20</v>
      </c>
      <c r="I1538" t="s">
        <v>75</v>
      </c>
      <c r="J1538">
        <v>320</v>
      </c>
      <c r="K1538">
        <v>9.1</v>
      </c>
      <c r="L1538">
        <v>2912</v>
      </c>
    </row>
    <row r="1539" spans="1:12" x14ac:dyDescent="0.3">
      <c r="A1539">
        <v>5</v>
      </c>
      <c r="B1539">
        <v>22</v>
      </c>
      <c r="C1539">
        <v>3</v>
      </c>
      <c r="D1539">
        <v>20</v>
      </c>
      <c r="E1539">
        <v>1</v>
      </c>
      <c r="F1539">
        <v>0</v>
      </c>
      <c r="G1539">
        <v>4</v>
      </c>
      <c r="H1539" t="s">
        <v>23</v>
      </c>
      <c r="I1539" t="s">
        <v>92</v>
      </c>
      <c r="J1539">
        <v>438</v>
      </c>
      <c r="K1539">
        <v>8.4</v>
      </c>
      <c r="L1539">
        <v>3679.2</v>
      </c>
    </row>
    <row r="1540" spans="1:12" x14ac:dyDescent="0.3">
      <c r="A1540">
        <v>9</v>
      </c>
      <c r="B1540">
        <v>18</v>
      </c>
      <c r="C1540">
        <v>2</v>
      </c>
      <c r="D1540">
        <v>21</v>
      </c>
      <c r="E1540">
        <v>7</v>
      </c>
      <c r="F1540">
        <v>0</v>
      </c>
      <c r="G1540">
        <v>2</v>
      </c>
      <c r="H1540" t="s">
        <v>26</v>
      </c>
      <c r="I1540" t="s">
        <v>96</v>
      </c>
      <c r="J1540">
        <v>424</v>
      </c>
      <c r="K1540">
        <v>8.5</v>
      </c>
      <c r="L1540" t="s">
        <v>340</v>
      </c>
    </row>
    <row r="1541" spans="1:12" x14ac:dyDescent="0.3">
      <c r="A1541">
        <v>20</v>
      </c>
      <c r="B1541">
        <v>23</v>
      </c>
      <c r="C1541">
        <v>2</v>
      </c>
      <c r="D1541">
        <v>19</v>
      </c>
      <c r="E1541">
        <v>1</v>
      </c>
      <c r="F1541">
        <v>0</v>
      </c>
      <c r="G1541">
        <v>8</v>
      </c>
      <c r="H1541" t="s">
        <v>13</v>
      </c>
      <c r="J1541">
        <v>635</v>
      </c>
      <c r="K1541">
        <v>8.3000000000000007</v>
      </c>
      <c r="L1541">
        <v>5270.5</v>
      </c>
    </row>
    <row r="1542" spans="1:12" x14ac:dyDescent="0.3">
      <c r="A1542">
        <v>10</v>
      </c>
      <c r="B1542">
        <v>17</v>
      </c>
      <c r="C1542">
        <v>0</v>
      </c>
      <c r="D1542">
        <v>18</v>
      </c>
      <c r="E1542">
        <v>7</v>
      </c>
      <c r="F1542">
        <v>0</v>
      </c>
      <c r="G1542">
        <v>11</v>
      </c>
      <c r="H1542" t="s">
        <v>23</v>
      </c>
      <c r="I1542" t="s">
        <v>118</v>
      </c>
      <c r="J1542">
        <v>561</v>
      </c>
      <c r="K1542">
        <v>8.4</v>
      </c>
      <c r="L1542">
        <v>4712.3999999999996</v>
      </c>
    </row>
    <row r="1543" spans="1:12" x14ac:dyDescent="0.3">
      <c r="A1543">
        <v>11</v>
      </c>
      <c r="B1543">
        <v>23</v>
      </c>
      <c r="C1543">
        <v>3</v>
      </c>
      <c r="D1543">
        <v>4</v>
      </c>
      <c r="E1543">
        <v>1</v>
      </c>
      <c r="F1543">
        <v>0</v>
      </c>
      <c r="G1543">
        <v>11</v>
      </c>
      <c r="H1543" t="s">
        <v>30</v>
      </c>
      <c r="I1543" t="s">
        <v>79</v>
      </c>
      <c r="J1543">
        <v>443</v>
      </c>
      <c r="K1543">
        <v>9.1999999999999993</v>
      </c>
    </row>
    <row r="1544" spans="1:12" x14ac:dyDescent="0.3">
      <c r="A1544">
        <v>21</v>
      </c>
      <c r="B1544">
        <v>23</v>
      </c>
      <c r="C1544">
        <v>0</v>
      </c>
      <c r="D1544">
        <v>13</v>
      </c>
      <c r="E1544">
        <v>1</v>
      </c>
      <c r="F1544">
        <v>0</v>
      </c>
      <c r="G1544">
        <v>8</v>
      </c>
      <c r="H1544" t="s">
        <v>24</v>
      </c>
      <c r="I1544" t="s">
        <v>88</v>
      </c>
      <c r="K1544">
        <v>7.9</v>
      </c>
      <c r="L1544">
        <v>4811.1000000000004</v>
      </c>
    </row>
    <row r="1545" spans="1:12" x14ac:dyDescent="0.3">
      <c r="A1545">
        <v>17</v>
      </c>
      <c r="B1545">
        <v>22</v>
      </c>
      <c r="C1545">
        <v>1</v>
      </c>
      <c r="E1545">
        <v>1</v>
      </c>
      <c r="F1545">
        <v>0</v>
      </c>
      <c r="G1545">
        <v>8</v>
      </c>
      <c r="H1545" t="s">
        <v>26</v>
      </c>
      <c r="I1545" t="s">
        <v>71</v>
      </c>
      <c r="J1545">
        <v>471</v>
      </c>
      <c r="K1545">
        <v>8.5</v>
      </c>
      <c r="L1545">
        <v>4003.5</v>
      </c>
    </row>
    <row r="1546" spans="1:12" x14ac:dyDescent="0.3">
      <c r="A1546">
        <v>23</v>
      </c>
      <c r="C1546">
        <v>0</v>
      </c>
      <c r="D1546">
        <v>18</v>
      </c>
      <c r="E1546">
        <v>12</v>
      </c>
      <c r="F1546">
        <v>0</v>
      </c>
      <c r="G1546">
        <v>12</v>
      </c>
      <c r="H1546" t="s">
        <v>18</v>
      </c>
      <c r="I1546" t="s">
        <v>107</v>
      </c>
      <c r="J1546">
        <v>673</v>
      </c>
      <c r="K1546">
        <v>7.7</v>
      </c>
      <c r="L1546">
        <v>5182.1000000000004</v>
      </c>
    </row>
    <row r="1547" spans="1:12" x14ac:dyDescent="0.3">
      <c r="A1547">
        <v>14</v>
      </c>
      <c r="C1547">
        <v>0</v>
      </c>
      <c r="D1547">
        <v>17</v>
      </c>
      <c r="F1547">
        <v>0</v>
      </c>
      <c r="G1547">
        <v>5</v>
      </c>
      <c r="H1547" t="s">
        <v>33</v>
      </c>
      <c r="I1547" t="s">
        <v>79</v>
      </c>
      <c r="J1547">
        <v>580</v>
      </c>
      <c r="K1547">
        <v>9.3000000000000007</v>
      </c>
      <c r="L1547">
        <v>5394</v>
      </c>
    </row>
    <row r="1548" spans="1:12" x14ac:dyDescent="0.3">
      <c r="A1548">
        <v>10</v>
      </c>
      <c r="B1548">
        <v>18</v>
      </c>
      <c r="D1548">
        <v>7</v>
      </c>
      <c r="E1548">
        <v>1</v>
      </c>
      <c r="G1548">
        <v>8</v>
      </c>
      <c r="H1548" t="s">
        <v>20</v>
      </c>
      <c r="I1548" t="s">
        <v>78</v>
      </c>
      <c r="J1548">
        <v>274</v>
      </c>
      <c r="K1548" t="s">
        <v>143</v>
      </c>
      <c r="L1548">
        <v>2493.4</v>
      </c>
    </row>
    <row r="1549" spans="1:12" x14ac:dyDescent="0.3">
      <c r="A1549">
        <v>6</v>
      </c>
      <c r="B1549">
        <v>22</v>
      </c>
      <c r="C1549">
        <v>3</v>
      </c>
      <c r="D1549">
        <v>21</v>
      </c>
      <c r="E1549">
        <v>1</v>
      </c>
      <c r="F1549">
        <v>0</v>
      </c>
      <c r="G1549">
        <v>10</v>
      </c>
      <c r="H1549" t="s">
        <v>65</v>
      </c>
      <c r="I1549" t="s">
        <v>74</v>
      </c>
      <c r="J1549">
        <v>716</v>
      </c>
      <c r="K1549">
        <v>7.4</v>
      </c>
      <c r="L1549">
        <v>5298.4</v>
      </c>
    </row>
    <row r="1550" spans="1:12" x14ac:dyDescent="0.3">
      <c r="A1550">
        <v>10</v>
      </c>
      <c r="B1550">
        <v>20</v>
      </c>
      <c r="C1550">
        <v>2</v>
      </c>
      <c r="D1550">
        <v>22</v>
      </c>
      <c r="E1550">
        <v>1</v>
      </c>
      <c r="F1550">
        <v>0</v>
      </c>
      <c r="G1550">
        <v>2</v>
      </c>
      <c r="H1550" t="s">
        <v>53</v>
      </c>
      <c r="I1550" t="s">
        <v>79</v>
      </c>
      <c r="J1550">
        <v>373</v>
      </c>
      <c r="K1550">
        <v>7.7</v>
      </c>
      <c r="L1550">
        <v>2872.1</v>
      </c>
    </row>
    <row r="1551" spans="1:12" x14ac:dyDescent="0.3">
      <c r="B1551">
        <v>22</v>
      </c>
      <c r="D1551">
        <v>9</v>
      </c>
      <c r="E1551">
        <v>1</v>
      </c>
      <c r="F1551">
        <v>0</v>
      </c>
      <c r="G1551">
        <v>12</v>
      </c>
      <c r="H1551" t="s">
        <v>41</v>
      </c>
      <c r="I1551" t="s">
        <v>109</v>
      </c>
      <c r="J1551">
        <v>485</v>
      </c>
      <c r="K1551">
        <v>8.9</v>
      </c>
      <c r="L1551">
        <v>4316.5</v>
      </c>
    </row>
    <row r="1552" spans="1:12" x14ac:dyDescent="0.3">
      <c r="A1552">
        <v>8</v>
      </c>
      <c r="B1552">
        <v>17</v>
      </c>
      <c r="C1552">
        <v>3</v>
      </c>
      <c r="D1552">
        <v>6</v>
      </c>
      <c r="E1552">
        <v>1</v>
      </c>
      <c r="F1552">
        <v>0</v>
      </c>
      <c r="G1552">
        <v>7</v>
      </c>
      <c r="H1552" t="s">
        <v>18</v>
      </c>
      <c r="I1552" t="s">
        <v>79</v>
      </c>
      <c r="J1552">
        <v>268</v>
      </c>
      <c r="K1552">
        <v>7.7</v>
      </c>
      <c r="L1552" t="s">
        <v>341</v>
      </c>
    </row>
    <row r="1553" spans="1:12" x14ac:dyDescent="0.3">
      <c r="A1553">
        <v>9</v>
      </c>
      <c r="B1553">
        <v>22</v>
      </c>
      <c r="C1553">
        <v>1</v>
      </c>
      <c r="D1553">
        <v>20</v>
      </c>
      <c r="E1553">
        <v>1</v>
      </c>
      <c r="F1553">
        <v>0</v>
      </c>
      <c r="G1553">
        <v>12</v>
      </c>
      <c r="H1553" t="s">
        <v>50</v>
      </c>
      <c r="I1553" t="s">
        <v>109</v>
      </c>
      <c r="J1553">
        <v>649</v>
      </c>
      <c r="K1553">
        <v>9.3000000000000007</v>
      </c>
      <c r="L1553">
        <v>6035.7</v>
      </c>
    </row>
    <row r="1554" spans="1:12" x14ac:dyDescent="0.3">
      <c r="A1554">
        <v>23</v>
      </c>
      <c r="B1554">
        <v>22</v>
      </c>
      <c r="C1554">
        <v>3</v>
      </c>
      <c r="D1554">
        <v>20</v>
      </c>
      <c r="E1554">
        <v>1</v>
      </c>
      <c r="F1554">
        <v>0</v>
      </c>
      <c r="G1554">
        <v>5</v>
      </c>
      <c r="H1554" t="s">
        <v>18</v>
      </c>
      <c r="I1554" t="s">
        <v>90</v>
      </c>
      <c r="J1554">
        <v>675</v>
      </c>
      <c r="K1554">
        <v>7.7</v>
      </c>
      <c r="L1554">
        <v>5197.5</v>
      </c>
    </row>
    <row r="1555" spans="1:12" x14ac:dyDescent="0.3">
      <c r="A1555">
        <v>11</v>
      </c>
      <c r="B1555">
        <v>22</v>
      </c>
      <c r="C1555">
        <v>1</v>
      </c>
      <c r="D1555">
        <v>17</v>
      </c>
      <c r="E1555">
        <v>12</v>
      </c>
      <c r="G1555">
        <v>7</v>
      </c>
      <c r="H1555" t="s">
        <v>36</v>
      </c>
      <c r="I1555" t="s">
        <v>105</v>
      </c>
      <c r="J1555">
        <v>753</v>
      </c>
      <c r="K1555">
        <v>8.8000000000000007</v>
      </c>
      <c r="L1555">
        <v>6626.4</v>
      </c>
    </row>
    <row r="1556" spans="1:12" x14ac:dyDescent="0.3">
      <c r="A1556">
        <v>14</v>
      </c>
      <c r="C1556">
        <v>1</v>
      </c>
      <c r="E1556">
        <v>1</v>
      </c>
      <c r="F1556">
        <v>0</v>
      </c>
      <c r="G1556">
        <v>8</v>
      </c>
      <c r="H1556" t="s">
        <v>21</v>
      </c>
      <c r="I1556" t="s">
        <v>89</v>
      </c>
      <c r="J1556">
        <v>628</v>
      </c>
      <c r="K1556">
        <v>8.6999999999999993</v>
      </c>
      <c r="L1556">
        <v>5463.5999999999904</v>
      </c>
    </row>
    <row r="1557" spans="1:12" x14ac:dyDescent="0.3">
      <c r="A1557">
        <v>15</v>
      </c>
      <c r="B1557">
        <v>22</v>
      </c>
      <c r="C1557">
        <v>1</v>
      </c>
      <c r="D1557">
        <v>11</v>
      </c>
      <c r="E1557">
        <v>1</v>
      </c>
      <c r="F1557">
        <v>0</v>
      </c>
      <c r="G1557">
        <v>6</v>
      </c>
      <c r="H1557" t="s">
        <v>16</v>
      </c>
      <c r="I1557" t="s">
        <v>90</v>
      </c>
      <c r="K1557" t="s">
        <v>236</v>
      </c>
      <c r="L1557">
        <v>3978.3</v>
      </c>
    </row>
    <row r="1558" spans="1:12" x14ac:dyDescent="0.3">
      <c r="A1558">
        <v>19</v>
      </c>
      <c r="B1558">
        <v>23</v>
      </c>
      <c r="C1558">
        <v>2</v>
      </c>
      <c r="D1558">
        <v>8</v>
      </c>
      <c r="E1558">
        <v>1</v>
      </c>
      <c r="F1558">
        <v>0</v>
      </c>
      <c r="G1558">
        <v>12</v>
      </c>
      <c r="H1558" t="s">
        <v>67</v>
      </c>
      <c r="I1558" t="s">
        <v>80</v>
      </c>
      <c r="J1558">
        <v>590</v>
      </c>
      <c r="K1558">
        <v>8.3000000000000007</v>
      </c>
      <c r="L1558">
        <v>4897</v>
      </c>
    </row>
    <row r="1559" spans="1:12" x14ac:dyDescent="0.3">
      <c r="A1559">
        <v>10</v>
      </c>
      <c r="B1559">
        <v>21</v>
      </c>
      <c r="C1559">
        <v>1</v>
      </c>
      <c r="D1559">
        <v>13</v>
      </c>
      <c r="E1559">
        <v>1</v>
      </c>
      <c r="F1559">
        <v>0</v>
      </c>
      <c r="G1559">
        <v>3</v>
      </c>
      <c r="H1559" t="s">
        <v>22</v>
      </c>
      <c r="I1559" t="s">
        <v>73</v>
      </c>
      <c r="J1559">
        <v>479</v>
      </c>
      <c r="K1559" t="s">
        <v>240</v>
      </c>
      <c r="L1559">
        <v>3736.2</v>
      </c>
    </row>
    <row r="1560" spans="1:12" x14ac:dyDescent="0.3">
      <c r="A1560">
        <v>23</v>
      </c>
      <c r="B1560">
        <v>22</v>
      </c>
      <c r="C1560">
        <v>2</v>
      </c>
      <c r="D1560">
        <v>12</v>
      </c>
      <c r="E1560">
        <v>12</v>
      </c>
      <c r="F1560">
        <v>0</v>
      </c>
      <c r="G1560">
        <v>9</v>
      </c>
      <c r="H1560" t="s">
        <v>55</v>
      </c>
      <c r="I1560" t="s">
        <v>70</v>
      </c>
      <c r="J1560">
        <v>735</v>
      </c>
      <c r="K1560">
        <v>7.8</v>
      </c>
      <c r="L1560">
        <v>5733</v>
      </c>
    </row>
    <row r="1561" spans="1:12" x14ac:dyDescent="0.3">
      <c r="A1561">
        <v>17</v>
      </c>
      <c r="B1561">
        <v>22</v>
      </c>
      <c r="C1561">
        <v>0</v>
      </c>
      <c r="D1561">
        <v>20</v>
      </c>
      <c r="E1561">
        <v>1</v>
      </c>
      <c r="F1561">
        <v>0</v>
      </c>
      <c r="G1561">
        <v>5</v>
      </c>
      <c r="H1561" t="s">
        <v>26</v>
      </c>
      <c r="I1561" t="s">
        <v>94</v>
      </c>
      <c r="J1561">
        <v>489</v>
      </c>
      <c r="K1561">
        <v>8.5</v>
      </c>
      <c r="L1561">
        <v>4156.5</v>
      </c>
    </row>
    <row r="1562" spans="1:12" x14ac:dyDescent="0.3">
      <c r="A1562">
        <v>11</v>
      </c>
      <c r="B1562">
        <v>22</v>
      </c>
      <c r="C1562">
        <v>0</v>
      </c>
      <c r="D1562">
        <v>4</v>
      </c>
      <c r="E1562">
        <v>1</v>
      </c>
      <c r="F1562">
        <v>0</v>
      </c>
      <c r="G1562">
        <v>11</v>
      </c>
      <c r="H1562" t="s">
        <v>23</v>
      </c>
      <c r="I1562" t="s">
        <v>95</v>
      </c>
      <c r="J1562">
        <v>321</v>
      </c>
      <c r="L1562">
        <v>2696.4</v>
      </c>
    </row>
    <row r="1563" spans="1:12" x14ac:dyDescent="0.3">
      <c r="A1563">
        <v>10</v>
      </c>
      <c r="B1563">
        <v>17</v>
      </c>
      <c r="C1563">
        <v>1</v>
      </c>
      <c r="D1563">
        <v>6</v>
      </c>
      <c r="E1563">
        <v>1</v>
      </c>
      <c r="F1563">
        <v>0</v>
      </c>
      <c r="G1563">
        <v>1</v>
      </c>
      <c r="H1563" t="s">
        <v>25</v>
      </c>
      <c r="I1563" t="s">
        <v>105</v>
      </c>
      <c r="J1563" t="s">
        <v>209</v>
      </c>
      <c r="K1563">
        <v>8.1</v>
      </c>
      <c r="L1563">
        <v>3272.3999999999901</v>
      </c>
    </row>
    <row r="1564" spans="1:12" x14ac:dyDescent="0.3">
      <c r="A1564">
        <v>16</v>
      </c>
      <c r="B1564">
        <v>23</v>
      </c>
      <c r="C1564">
        <v>2</v>
      </c>
      <c r="D1564">
        <v>16</v>
      </c>
      <c r="E1564">
        <v>1</v>
      </c>
      <c r="F1564">
        <v>0</v>
      </c>
      <c r="G1564">
        <v>4</v>
      </c>
      <c r="H1564" t="s">
        <v>30</v>
      </c>
      <c r="I1564" t="s">
        <v>75</v>
      </c>
      <c r="J1564">
        <v>470</v>
      </c>
      <c r="K1564">
        <v>9.1999999999999993</v>
      </c>
      <c r="L1564">
        <v>4324</v>
      </c>
    </row>
    <row r="1565" spans="1:12" x14ac:dyDescent="0.3">
      <c r="A1565">
        <v>15</v>
      </c>
      <c r="B1565">
        <v>23</v>
      </c>
      <c r="C1565">
        <v>0</v>
      </c>
      <c r="D1565">
        <v>17</v>
      </c>
      <c r="E1565">
        <v>1</v>
      </c>
      <c r="F1565">
        <v>0</v>
      </c>
      <c r="G1565">
        <v>10</v>
      </c>
      <c r="H1565" t="s">
        <v>36</v>
      </c>
      <c r="I1565" t="s">
        <v>92</v>
      </c>
      <c r="J1565">
        <v>528</v>
      </c>
      <c r="K1565">
        <v>8.8000000000000007</v>
      </c>
      <c r="L1565">
        <v>4646.3999999999996</v>
      </c>
    </row>
    <row r="1566" spans="1:12" x14ac:dyDescent="0.3">
      <c r="A1566">
        <v>22</v>
      </c>
      <c r="B1566">
        <v>23</v>
      </c>
      <c r="C1566">
        <v>2</v>
      </c>
      <c r="E1566">
        <v>1</v>
      </c>
      <c r="F1566">
        <v>0</v>
      </c>
      <c r="G1566">
        <v>11</v>
      </c>
      <c r="H1566" t="s">
        <v>24</v>
      </c>
      <c r="I1566" t="s">
        <v>71</v>
      </c>
      <c r="J1566">
        <v>517</v>
      </c>
      <c r="K1566">
        <v>7.9</v>
      </c>
      <c r="L1566">
        <v>4084.3</v>
      </c>
    </row>
    <row r="1567" spans="1:12" x14ac:dyDescent="0.3">
      <c r="A1567">
        <v>22</v>
      </c>
      <c r="C1567">
        <v>1</v>
      </c>
      <c r="D1567">
        <v>5</v>
      </c>
      <c r="E1567">
        <v>1</v>
      </c>
      <c r="F1567">
        <v>0</v>
      </c>
      <c r="G1567">
        <v>10</v>
      </c>
      <c r="H1567" t="s">
        <v>25</v>
      </c>
      <c r="I1567" t="s">
        <v>96</v>
      </c>
      <c r="J1567">
        <v>460</v>
      </c>
      <c r="K1567">
        <v>8.1</v>
      </c>
      <c r="L1567">
        <v>3726</v>
      </c>
    </row>
    <row r="1568" spans="1:12" x14ac:dyDescent="0.3">
      <c r="A1568">
        <v>23</v>
      </c>
      <c r="B1568">
        <v>23</v>
      </c>
      <c r="D1568">
        <v>14</v>
      </c>
      <c r="E1568">
        <v>1</v>
      </c>
      <c r="F1568">
        <v>0</v>
      </c>
      <c r="G1568">
        <v>2</v>
      </c>
      <c r="H1568" t="s">
        <v>38</v>
      </c>
      <c r="I1568" t="s">
        <v>80</v>
      </c>
      <c r="J1568">
        <v>596</v>
      </c>
      <c r="K1568">
        <v>7.4</v>
      </c>
      <c r="L1568">
        <v>4410.3999999999996</v>
      </c>
    </row>
    <row r="1569" spans="1:12" x14ac:dyDescent="0.3">
      <c r="A1569">
        <v>5</v>
      </c>
      <c r="B1569">
        <v>19</v>
      </c>
      <c r="C1569">
        <v>0</v>
      </c>
      <c r="D1569">
        <v>13</v>
      </c>
      <c r="E1569">
        <v>1</v>
      </c>
      <c r="F1569">
        <v>0</v>
      </c>
      <c r="G1569">
        <v>12</v>
      </c>
      <c r="H1569" t="s">
        <v>34</v>
      </c>
      <c r="I1569" t="s">
        <v>85</v>
      </c>
      <c r="J1569">
        <v>257</v>
      </c>
      <c r="K1569">
        <v>7.6</v>
      </c>
      <c r="L1569">
        <v>1953.19999999999</v>
      </c>
    </row>
    <row r="1570" spans="1:12" x14ac:dyDescent="0.3">
      <c r="A1570">
        <v>19</v>
      </c>
      <c r="B1570">
        <v>22</v>
      </c>
      <c r="C1570">
        <v>0</v>
      </c>
      <c r="D1570">
        <v>10</v>
      </c>
      <c r="E1570">
        <v>12</v>
      </c>
      <c r="F1570">
        <v>0</v>
      </c>
      <c r="G1570">
        <v>2</v>
      </c>
      <c r="H1570" t="s">
        <v>21</v>
      </c>
      <c r="I1570" t="s">
        <v>83</v>
      </c>
      <c r="J1570">
        <v>401</v>
      </c>
      <c r="K1570">
        <v>8.6999999999999993</v>
      </c>
      <c r="L1570">
        <v>3488.7</v>
      </c>
    </row>
    <row r="1571" spans="1:12" x14ac:dyDescent="0.3">
      <c r="A1571">
        <v>23</v>
      </c>
      <c r="B1571">
        <v>22</v>
      </c>
      <c r="C1571">
        <v>0</v>
      </c>
      <c r="D1571">
        <v>7</v>
      </c>
      <c r="E1571">
        <v>1</v>
      </c>
      <c r="F1571">
        <v>0</v>
      </c>
      <c r="G1571">
        <v>12</v>
      </c>
      <c r="H1571" t="s">
        <v>21</v>
      </c>
      <c r="I1571" t="s">
        <v>90</v>
      </c>
      <c r="J1571">
        <v>575</v>
      </c>
      <c r="K1571">
        <v>8.6999999999999993</v>
      </c>
    </row>
    <row r="1572" spans="1:12" x14ac:dyDescent="0.3">
      <c r="A1572">
        <v>19</v>
      </c>
      <c r="B1572">
        <v>22</v>
      </c>
      <c r="C1572">
        <v>0</v>
      </c>
      <c r="D1572">
        <v>9</v>
      </c>
      <c r="E1572">
        <v>12</v>
      </c>
      <c r="F1572">
        <v>0</v>
      </c>
      <c r="G1572">
        <v>5</v>
      </c>
      <c r="H1572" t="s">
        <v>16</v>
      </c>
      <c r="I1572" t="s">
        <v>78</v>
      </c>
      <c r="J1572">
        <v>683</v>
      </c>
      <c r="K1572">
        <v>8.9</v>
      </c>
      <c r="L1572">
        <v>6078.7</v>
      </c>
    </row>
    <row r="1573" spans="1:12" x14ac:dyDescent="0.3">
      <c r="A1573">
        <v>21</v>
      </c>
      <c r="B1573">
        <v>23</v>
      </c>
      <c r="C1573">
        <v>3</v>
      </c>
      <c r="D1573">
        <v>8</v>
      </c>
      <c r="E1573">
        <v>1</v>
      </c>
      <c r="F1573">
        <v>0</v>
      </c>
      <c r="G1573">
        <v>12</v>
      </c>
      <c r="H1573" t="s">
        <v>48</v>
      </c>
      <c r="I1573" t="s">
        <v>96</v>
      </c>
      <c r="J1573">
        <v>505</v>
      </c>
      <c r="K1573" t="s">
        <v>242</v>
      </c>
      <c r="L1573">
        <v>4393.5</v>
      </c>
    </row>
    <row r="1574" spans="1:12" x14ac:dyDescent="0.3">
      <c r="A1574">
        <v>14</v>
      </c>
      <c r="B1574">
        <v>23</v>
      </c>
      <c r="C1574">
        <v>2</v>
      </c>
      <c r="D1574">
        <v>16</v>
      </c>
      <c r="E1574">
        <v>1</v>
      </c>
      <c r="F1574">
        <v>0</v>
      </c>
      <c r="G1574">
        <v>5</v>
      </c>
      <c r="H1574" t="s">
        <v>21</v>
      </c>
      <c r="I1574" t="s">
        <v>70</v>
      </c>
      <c r="J1574">
        <v>709</v>
      </c>
      <c r="K1574">
        <v>8.6999999999999993</v>
      </c>
      <c r="L1574">
        <v>6168.2999999999902</v>
      </c>
    </row>
    <row r="1575" spans="1:12" x14ac:dyDescent="0.3">
      <c r="A1575">
        <v>15</v>
      </c>
      <c r="B1575">
        <v>22</v>
      </c>
      <c r="C1575">
        <v>1</v>
      </c>
      <c r="D1575">
        <v>3</v>
      </c>
      <c r="E1575">
        <v>12</v>
      </c>
      <c r="F1575">
        <v>0</v>
      </c>
      <c r="G1575">
        <v>5</v>
      </c>
      <c r="H1575" t="s">
        <v>22</v>
      </c>
      <c r="I1575" t="s">
        <v>106</v>
      </c>
      <c r="J1575">
        <v>501</v>
      </c>
      <c r="K1575">
        <v>7.8</v>
      </c>
      <c r="L1575">
        <v>3907.7999999999902</v>
      </c>
    </row>
    <row r="1576" spans="1:12" x14ac:dyDescent="0.3">
      <c r="A1576">
        <v>9</v>
      </c>
      <c r="B1576">
        <v>20</v>
      </c>
      <c r="C1576">
        <v>2</v>
      </c>
      <c r="E1576">
        <v>7</v>
      </c>
      <c r="F1576">
        <v>0</v>
      </c>
      <c r="G1576">
        <v>9</v>
      </c>
      <c r="H1576" t="s">
        <v>18</v>
      </c>
      <c r="I1576" t="s">
        <v>90</v>
      </c>
      <c r="J1576">
        <v>607</v>
      </c>
      <c r="K1576">
        <v>7.7</v>
      </c>
      <c r="L1576">
        <v>4673.8999999999996</v>
      </c>
    </row>
    <row r="1577" spans="1:12" x14ac:dyDescent="0.3">
      <c r="A1577">
        <v>11</v>
      </c>
      <c r="B1577">
        <v>22</v>
      </c>
      <c r="C1577">
        <v>3</v>
      </c>
      <c r="D1577">
        <v>14</v>
      </c>
      <c r="E1577">
        <v>1</v>
      </c>
      <c r="F1577">
        <v>0</v>
      </c>
      <c r="G1577">
        <v>6</v>
      </c>
      <c r="H1577" t="s">
        <v>23</v>
      </c>
      <c r="I1577" t="s">
        <v>111</v>
      </c>
      <c r="J1577">
        <v>528</v>
      </c>
      <c r="K1577">
        <v>8.4</v>
      </c>
      <c r="L1577">
        <v>4435.2</v>
      </c>
    </row>
    <row r="1578" spans="1:12" x14ac:dyDescent="0.3">
      <c r="A1578">
        <v>11</v>
      </c>
      <c r="B1578">
        <v>23</v>
      </c>
      <c r="C1578">
        <v>2</v>
      </c>
      <c r="D1578">
        <v>11</v>
      </c>
      <c r="E1578">
        <v>1</v>
      </c>
      <c r="F1578">
        <v>0</v>
      </c>
      <c r="G1578">
        <v>2</v>
      </c>
      <c r="H1578" t="s">
        <v>57</v>
      </c>
      <c r="I1578" t="s">
        <v>109</v>
      </c>
      <c r="J1578">
        <v>457</v>
      </c>
      <c r="K1578">
        <v>9.1999999999999993</v>
      </c>
      <c r="L1578">
        <v>4204.3999999999996</v>
      </c>
    </row>
    <row r="1579" spans="1:12" x14ac:dyDescent="0.3">
      <c r="A1579">
        <v>16</v>
      </c>
      <c r="B1579">
        <v>23</v>
      </c>
      <c r="C1579">
        <v>2</v>
      </c>
      <c r="D1579">
        <v>4</v>
      </c>
      <c r="E1579">
        <v>1</v>
      </c>
      <c r="F1579">
        <v>0</v>
      </c>
      <c r="G1579">
        <v>1</v>
      </c>
      <c r="H1579" t="s">
        <v>22</v>
      </c>
      <c r="J1579">
        <v>459</v>
      </c>
      <c r="K1579">
        <v>7.8</v>
      </c>
      <c r="L1579">
        <v>3580.2</v>
      </c>
    </row>
    <row r="1580" spans="1:12" x14ac:dyDescent="0.3">
      <c r="A1580">
        <v>9</v>
      </c>
      <c r="B1580">
        <v>19</v>
      </c>
      <c r="C1580">
        <v>3</v>
      </c>
      <c r="D1580">
        <v>17</v>
      </c>
      <c r="E1580">
        <v>1</v>
      </c>
      <c r="F1580">
        <v>0</v>
      </c>
      <c r="G1580">
        <v>7</v>
      </c>
      <c r="H1580" t="s">
        <v>20</v>
      </c>
      <c r="I1580" t="s">
        <v>97</v>
      </c>
      <c r="J1580">
        <v>396</v>
      </c>
      <c r="K1580">
        <v>9.1</v>
      </c>
    </row>
    <row r="1581" spans="1:12" x14ac:dyDescent="0.3">
      <c r="A1581">
        <v>23</v>
      </c>
      <c r="B1581">
        <v>23</v>
      </c>
      <c r="C1581">
        <v>3</v>
      </c>
      <c r="D1581">
        <v>13</v>
      </c>
      <c r="E1581">
        <v>1</v>
      </c>
      <c r="F1581">
        <v>0</v>
      </c>
      <c r="G1581">
        <v>3</v>
      </c>
      <c r="H1581" t="s">
        <v>43</v>
      </c>
      <c r="I1581" t="s">
        <v>97</v>
      </c>
      <c r="J1581">
        <v>689</v>
      </c>
      <c r="K1581" t="s">
        <v>250</v>
      </c>
      <c r="L1581">
        <v>5236.3999999999996</v>
      </c>
    </row>
    <row r="1582" spans="1:12" x14ac:dyDescent="0.3">
      <c r="A1582">
        <v>11</v>
      </c>
      <c r="C1582">
        <v>3</v>
      </c>
      <c r="D1582">
        <v>7</v>
      </c>
      <c r="E1582">
        <v>1</v>
      </c>
      <c r="G1582">
        <v>5</v>
      </c>
      <c r="H1582" t="s">
        <v>15</v>
      </c>
      <c r="I1582" t="s">
        <v>93</v>
      </c>
      <c r="J1582" t="s">
        <v>210</v>
      </c>
      <c r="K1582">
        <v>8.3000000000000007</v>
      </c>
      <c r="L1582">
        <v>5170.8999999999996</v>
      </c>
    </row>
    <row r="1583" spans="1:12" x14ac:dyDescent="0.3">
      <c r="A1583">
        <v>16</v>
      </c>
      <c r="B1583">
        <v>23</v>
      </c>
      <c r="C1583">
        <v>1</v>
      </c>
      <c r="D1583">
        <v>3</v>
      </c>
      <c r="F1583">
        <v>0</v>
      </c>
      <c r="G1583">
        <v>6</v>
      </c>
      <c r="H1583" t="s">
        <v>24</v>
      </c>
      <c r="I1583" t="s">
        <v>94</v>
      </c>
      <c r="J1583">
        <v>626</v>
      </c>
      <c r="K1583">
        <v>7.9</v>
      </c>
      <c r="L1583">
        <v>4945.3999999999996</v>
      </c>
    </row>
    <row r="1584" spans="1:12" x14ac:dyDescent="0.3">
      <c r="A1584">
        <v>20</v>
      </c>
      <c r="B1584">
        <v>23</v>
      </c>
      <c r="C1584">
        <v>2</v>
      </c>
      <c r="D1584">
        <v>22</v>
      </c>
      <c r="E1584">
        <v>1</v>
      </c>
      <c r="G1584">
        <v>11</v>
      </c>
      <c r="H1584" t="s">
        <v>32</v>
      </c>
      <c r="I1584" t="s">
        <v>112</v>
      </c>
      <c r="J1584">
        <v>528</v>
      </c>
      <c r="K1584">
        <v>7.6</v>
      </c>
    </row>
    <row r="1585" spans="1:12" x14ac:dyDescent="0.3">
      <c r="A1585">
        <v>11</v>
      </c>
      <c r="B1585">
        <v>22</v>
      </c>
      <c r="C1585">
        <v>0</v>
      </c>
      <c r="D1585">
        <v>5</v>
      </c>
      <c r="E1585">
        <v>12</v>
      </c>
      <c r="F1585">
        <v>0</v>
      </c>
      <c r="G1585">
        <v>5</v>
      </c>
      <c r="H1585" t="s">
        <v>24</v>
      </c>
      <c r="I1585" t="s">
        <v>82</v>
      </c>
      <c r="J1585">
        <v>611</v>
      </c>
      <c r="K1585">
        <v>7.9</v>
      </c>
      <c r="L1585">
        <v>4826.8999999999996</v>
      </c>
    </row>
    <row r="1586" spans="1:12" x14ac:dyDescent="0.3">
      <c r="A1586">
        <v>6</v>
      </c>
      <c r="B1586">
        <v>23</v>
      </c>
      <c r="C1586">
        <v>1</v>
      </c>
      <c r="D1586">
        <v>18</v>
      </c>
      <c r="E1586">
        <v>1</v>
      </c>
      <c r="F1586">
        <v>0</v>
      </c>
      <c r="G1586">
        <v>4</v>
      </c>
      <c r="H1586" t="s">
        <v>32</v>
      </c>
      <c r="I1586" t="s">
        <v>105</v>
      </c>
      <c r="J1586">
        <v>432</v>
      </c>
      <c r="K1586">
        <v>7.6</v>
      </c>
      <c r="L1586">
        <v>3283.2</v>
      </c>
    </row>
    <row r="1587" spans="1:12" x14ac:dyDescent="0.3">
      <c r="A1587">
        <v>11</v>
      </c>
      <c r="B1587">
        <v>23</v>
      </c>
      <c r="C1587">
        <v>0</v>
      </c>
      <c r="D1587">
        <v>7</v>
      </c>
      <c r="E1587">
        <v>1</v>
      </c>
      <c r="F1587">
        <v>0</v>
      </c>
      <c r="G1587">
        <v>6</v>
      </c>
      <c r="H1587" t="s">
        <v>23</v>
      </c>
      <c r="I1587" t="s">
        <v>72</v>
      </c>
      <c r="J1587">
        <v>394</v>
      </c>
      <c r="K1587">
        <v>8.4</v>
      </c>
      <c r="L1587">
        <v>3309.6</v>
      </c>
    </row>
    <row r="1588" spans="1:12" x14ac:dyDescent="0.3">
      <c r="A1588">
        <v>21</v>
      </c>
      <c r="B1588">
        <v>23</v>
      </c>
      <c r="C1588">
        <v>2</v>
      </c>
      <c r="D1588">
        <v>18</v>
      </c>
      <c r="E1588">
        <v>1</v>
      </c>
      <c r="F1588">
        <v>0</v>
      </c>
      <c r="G1588">
        <v>7</v>
      </c>
      <c r="H1588" t="s">
        <v>51</v>
      </c>
      <c r="I1588" t="s">
        <v>114</v>
      </c>
      <c r="K1588">
        <v>8.8000000000000007</v>
      </c>
      <c r="L1588">
        <v>6468</v>
      </c>
    </row>
    <row r="1589" spans="1:12" x14ac:dyDescent="0.3">
      <c r="A1589">
        <v>7</v>
      </c>
      <c r="B1589">
        <v>19</v>
      </c>
      <c r="C1589">
        <v>3</v>
      </c>
      <c r="D1589">
        <v>5</v>
      </c>
      <c r="E1589">
        <v>1</v>
      </c>
      <c r="F1589">
        <v>0</v>
      </c>
      <c r="G1589">
        <v>8</v>
      </c>
      <c r="H1589" t="s">
        <v>61</v>
      </c>
      <c r="I1589" t="s">
        <v>110</v>
      </c>
      <c r="J1589">
        <v>470</v>
      </c>
      <c r="K1589">
        <v>7.4</v>
      </c>
      <c r="L1589">
        <v>3478</v>
      </c>
    </row>
    <row r="1590" spans="1:12" x14ac:dyDescent="0.3">
      <c r="A1590">
        <v>21</v>
      </c>
      <c r="B1590">
        <v>22</v>
      </c>
      <c r="C1590">
        <v>0</v>
      </c>
      <c r="D1590">
        <v>4</v>
      </c>
      <c r="E1590">
        <v>1</v>
      </c>
      <c r="F1590">
        <v>0</v>
      </c>
      <c r="G1590">
        <v>7</v>
      </c>
      <c r="H1590" t="s">
        <v>36</v>
      </c>
      <c r="I1590" t="s">
        <v>77</v>
      </c>
      <c r="J1590">
        <v>452</v>
      </c>
      <c r="K1590" t="s">
        <v>244</v>
      </c>
      <c r="L1590">
        <v>3977.6</v>
      </c>
    </row>
    <row r="1591" spans="1:12" x14ac:dyDescent="0.3">
      <c r="A1591">
        <v>18</v>
      </c>
      <c r="B1591">
        <v>22</v>
      </c>
      <c r="C1591">
        <v>3</v>
      </c>
      <c r="D1591">
        <v>11</v>
      </c>
      <c r="E1591">
        <v>1</v>
      </c>
      <c r="F1591">
        <v>0</v>
      </c>
      <c r="G1591">
        <v>1</v>
      </c>
      <c r="H1591" t="s">
        <v>18</v>
      </c>
      <c r="I1591" t="s">
        <v>71</v>
      </c>
      <c r="J1591">
        <v>538</v>
      </c>
      <c r="K1591">
        <v>7.7</v>
      </c>
      <c r="L1591">
        <v>4142.6000000000004</v>
      </c>
    </row>
    <row r="1592" spans="1:12" x14ac:dyDescent="0.3">
      <c r="A1592">
        <v>12</v>
      </c>
      <c r="B1592">
        <v>22</v>
      </c>
      <c r="C1592">
        <v>1</v>
      </c>
      <c r="D1592">
        <v>19</v>
      </c>
      <c r="E1592">
        <v>12</v>
      </c>
      <c r="F1592">
        <v>0</v>
      </c>
      <c r="G1592">
        <v>10</v>
      </c>
      <c r="H1592" t="s">
        <v>36</v>
      </c>
      <c r="I1592" t="s">
        <v>71</v>
      </c>
      <c r="J1592">
        <v>706</v>
      </c>
      <c r="L1592">
        <v>6212.8</v>
      </c>
    </row>
    <row r="1593" spans="1:12" x14ac:dyDescent="0.3">
      <c r="A1593">
        <v>23</v>
      </c>
      <c r="B1593">
        <v>22</v>
      </c>
      <c r="C1593">
        <v>2</v>
      </c>
      <c r="D1593">
        <v>11</v>
      </c>
      <c r="F1593">
        <v>0</v>
      </c>
      <c r="G1593">
        <v>4</v>
      </c>
      <c r="H1593" t="s">
        <v>20</v>
      </c>
      <c r="I1593" t="s">
        <v>70</v>
      </c>
      <c r="J1593">
        <v>419</v>
      </c>
      <c r="K1593">
        <v>9.1</v>
      </c>
      <c r="L1593">
        <v>3812.8999999999901</v>
      </c>
    </row>
    <row r="1594" spans="1:12" x14ac:dyDescent="0.3">
      <c r="A1594">
        <v>6</v>
      </c>
      <c r="B1594">
        <v>22</v>
      </c>
      <c r="C1594">
        <v>1</v>
      </c>
      <c r="D1594">
        <v>16</v>
      </c>
      <c r="E1594">
        <v>1</v>
      </c>
      <c r="F1594">
        <v>0</v>
      </c>
      <c r="G1594">
        <v>8</v>
      </c>
      <c r="H1594" t="s">
        <v>33</v>
      </c>
      <c r="I1594" t="s">
        <v>94</v>
      </c>
      <c r="J1594">
        <v>437</v>
      </c>
      <c r="K1594">
        <v>9.3000000000000007</v>
      </c>
      <c r="L1594">
        <v>4064.1</v>
      </c>
    </row>
    <row r="1595" spans="1:12" x14ac:dyDescent="0.3">
      <c r="A1595">
        <v>23</v>
      </c>
      <c r="B1595">
        <v>23</v>
      </c>
      <c r="C1595">
        <v>3</v>
      </c>
      <c r="D1595">
        <v>10</v>
      </c>
      <c r="E1595">
        <v>1</v>
      </c>
      <c r="F1595">
        <v>0</v>
      </c>
      <c r="G1595">
        <v>11</v>
      </c>
      <c r="H1595" t="s">
        <v>15</v>
      </c>
      <c r="I1595" t="s">
        <v>70</v>
      </c>
      <c r="J1595">
        <v>530</v>
      </c>
      <c r="K1595">
        <v>8.3000000000000007</v>
      </c>
      <c r="L1595">
        <v>4399</v>
      </c>
    </row>
    <row r="1596" spans="1:12" x14ac:dyDescent="0.3">
      <c r="A1596">
        <v>14</v>
      </c>
      <c r="B1596">
        <v>22</v>
      </c>
      <c r="C1596">
        <v>3</v>
      </c>
      <c r="D1596">
        <v>22</v>
      </c>
      <c r="E1596">
        <v>1</v>
      </c>
      <c r="F1596">
        <v>0</v>
      </c>
      <c r="G1596">
        <v>3</v>
      </c>
      <c r="H1596" t="s">
        <v>22</v>
      </c>
      <c r="I1596" t="s">
        <v>73</v>
      </c>
      <c r="J1596">
        <v>733</v>
      </c>
      <c r="K1596">
        <v>7.8</v>
      </c>
      <c r="L1596">
        <v>5717.4</v>
      </c>
    </row>
    <row r="1597" spans="1:12" x14ac:dyDescent="0.3">
      <c r="A1597">
        <v>5</v>
      </c>
      <c r="B1597">
        <v>23</v>
      </c>
      <c r="C1597">
        <v>3</v>
      </c>
      <c r="D1597">
        <v>15</v>
      </c>
      <c r="E1597">
        <v>1</v>
      </c>
      <c r="F1597">
        <v>0</v>
      </c>
      <c r="G1597">
        <v>5</v>
      </c>
      <c r="H1597" t="s">
        <v>26</v>
      </c>
      <c r="I1597" t="s">
        <v>106</v>
      </c>
      <c r="J1597">
        <v>673</v>
      </c>
      <c r="K1597">
        <v>8.5</v>
      </c>
      <c r="L1597">
        <v>5720.5</v>
      </c>
    </row>
    <row r="1598" spans="1:12" x14ac:dyDescent="0.3">
      <c r="A1598">
        <v>9</v>
      </c>
      <c r="B1598">
        <v>22</v>
      </c>
      <c r="C1598">
        <v>3</v>
      </c>
      <c r="D1598">
        <v>14</v>
      </c>
      <c r="E1598">
        <v>1</v>
      </c>
      <c r="F1598">
        <v>0</v>
      </c>
      <c r="H1598" t="s">
        <v>32</v>
      </c>
      <c r="I1598" t="s">
        <v>76</v>
      </c>
      <c r="J1598">
        <v>671</v>
      </c>
      <c r="K1598">
        <v>7.6</v>
      </c>
      <c r="L1598">
        <v>5099.5999999999904</v>
      </c>
    </row>
    <row r="1599" spans="1:12" x14ac:dyDescent="0.3">
      <c r="A1599">
        <v>23</v>
      </c>
      <c r="B1599">
        <v>23</v>
      </c>
      <c r="C1599">
        <v>3</v>
      </c>
      <c r="D1599">
        <v>7</v>
      </c>
      <c r="E1599">
        <v>1</v>
      </c>
      <c r="F1599">
        <v>0</v>
      </c>
      <c r="G1599">
        <v>11</v>
      </c>
      <c r="H1599" t="s">
        <v>28</v>
      </c>
      <c r="I1599" t="s">
        <v>74</v>
      </c>
      <c r="J1599">
        <v>500</v>
      </c>
      <c r="K1599">
        <v>7.7</v>
      </c>
      <c r="L1599">
        <v>3850</v>
      </c>
    </row>
    <row r="1600" spans="1:12" x14ac:dyDescent="0.3">
      <c r="A1600">
        <v>7</v>
      </c>
      <c r="B1600">
        <v>20</v>
      </c>
      <c r="C1600">
        <v>3</v>
      </c>
      <c r="D1600">
        <v>16</v>
      </c>
      <c r="E1600">
        <v>1</v>
      </c>
      <c r="F1600">
        <v>0</v>
      </c>
      <c r="G1600">
        <v>12</v>
      </c>
      <c r="H1600" t="s">
        <v>25</v>
      </c>
      <c r="I1600" t="s">
        <v>119</v>
      </c>
      <c r="J1600">
        <v>578</v>
      </c>
      <c r="K1600">
        <v>8.1</v>
      </c>
      <c r="L1600">
        <v>4681.8</v>
      </c>
    </row>
    <row r="1601" spans="1:12" x14ac:dyDescent="0.3">
      <c r="A1601">
        <v>13</v>
      </c>
      <c r="B1601">
        <v>22</v>
      </c>
      <c r="C1601">
        <v>2</v>
      </c>
      <c r="D1601">
        <v>9</v>
      </c>
      <c r="E1601">
        <v>12</v>
      </c>
      <c r="F1601">
        <v>0</v>
      </c>
      <c r="G1601">
        <v>7</v>
      </c>
      <c r="H1601" t="s">
        <v>30</v>
      </c>
      <c r="I1601" t="s">
        <v>105</v>
      </c>
      <c r="J1601">
        <v>534</v>
      </c>
      <c r="K1601">
        <v>9.1999999999999993</v>
      </c>
      <c r="L1601">
        <v>4912.7999999999902</v>
      </c>
    </row>
    <row r="1602" spans="1:12" x14ac:dyDescent="0.3">
      <c r="A1602">
        <v>19</v>
      </c>
      <c r="B1602">
        <v>22</v>
      </c>
      <c r="C1602">
        <v>1</v>
      </c>
      <c r="D1602">
        <v>5</v>
      </c>
      <c r="E1602">
        <v>12</v>
      </c>
      <c r="F1602">
        <v>0</v>
      </c>
      <c r="G1602">
        <v>2</v>
      </c>
      <c r="H1602" t="s">
        <v>33</v>
      </c>
      <c r="I1602" t="s">
        <v>105</v>
      </c>
      <c r="K1602">
        <v>9.3000000000000007</v>
      </c>
      <c r="L1602">
        <v>3729.3</v>
      </c>
    </row>
    <row r="1603" spans="1:12" x14ac:dyDescent="0.3">
      <c r="A1603">
        <v>16</v>
      </c>
      <c r="B1603">
        <v>22</v>
      </c>
      <c r="C1603">
        <v>2</v>
      </c>
      <c r="D1603">
        <v>21</v>
      </c>
      <c r="E1603">
        <v>12</v>
      </c>
      <c r="F1603">
        <v>0</v>
      </c>
      <c r="G1603">
        <v>7</v>
      </c>
      <c r="H1603" t="s">
        <v>30</v>
      </c>
      <c r="I1603" t="s">
        <v>70</v>
      </c>
      <c r="J1603">
        <v>814</v>
      </c>
      <c r="K1603">
        <v>9.1999999999999993</v>
      </c>
      <c r="L1603">
        <v>7488.7999999999902</v>
      </c>
    </row>
    <row r="1604" spans="1:12" x14ac:dyDescent="0.3">
      <c r="A1604">
        <v>13</v>
      </c>
      <c r="B1604">
        <v>23</v>
      </c>
      <c r="C1604">
        <v>0</v>
      </c>
      <c r="D1604">
        <v>16</v>
      </c>
      <c r="E1604">
        <v>1</v>
      </c>
      <c r="F1604">
        <v>0</v>
      </c>
      <c r="G1604">
        <v>12</v>
      </c>
      <c r="H1604" t="s">
        <v>51</v>
      </c>
      <c r="I1604" t="s">
        <v>73</v>
      </c>
      <c r="J1604">
        <v>567</v>
      </c>
      <c r="K1604">
        <v>8.8000000000000007</v>
      </c>
      <c r="L1604">
        <v>4989.6000000000004</v>
      </c>
    </row>
    <row r="1605" spans="1:12" x14ac:dyDescent="0.3">
      <c r="A1605">
        <v>13</v>
      </c>
      <c r="B1605">
        <v>23</v>
      </c>
      <c r="C1605">
        <v>3</v>
      </c>
      <c r="D1605">
        <v>16</v>
      </c>
      <c r="E1605">
        <v>1</v>
      </c>
      <c r="F1605">
        <v>0</v>
      </c>
      <c r="G1605">
        <v>12</v>
      </c>
      <c r="H1605" t="s">
        <v>20</v>
      </c>
      <c r="I1605" t="s">
        <v>110</v>
      </c>
      <c r="J1605">
        <v>699</v>
      </c>
      <c r="K1605">
        <v>9.1</v>
      </c>
      <c r="L1605">
        <v>6360.9</v>
      </c>
    </row>
    <row r="1606" spans="1:12" x14ac:dyDescent="0.3">
      <c r="A1606">
        <v>19</v>
      </c>
      <c r="B1606">
        <v>22</v>
      </c>
      <c r="C1606">
        <v>2</v>
      </c>
      <c r="D1606">
        <v>3</v>
      </c>
      <c r="E1606">
        <v>1</v>
      </c>
      <c r="F1606">
        <v>0</v>
      </c>
      <c r="G1606">
        <v>12</v>
      </c>
      <c r="H1606" t="s">
        <v>64</v>
      </c>
      <c r="J1606">
        <v>489</v>
      </c>
      <c r="K1606">
        <v>8.1999999999999993</v>
      </c>
      <c r="L1606">
        <v>4009.7999999999902</v>
      </c>
    </row>
    <row r="1607" spans="1:12" x14ac:dyDescent="0.3">
      <c r="A1607">
        <v>13</v>
      </c>
      <c r="B1607">
        <v>22</v>
      </c>
      <c r="C1607">
        <v>0</v>
      </c>
      <c r="D1607">
        <v>9</v>
      </c>
      <c r="E1607">
        <v>1</v>
      </c>
      <c r="F1607">
        <v>0</v>
      </c>
      <c r="G1607">
        <v>8</v>
      </c>
      <c r="H1607" t="s">
        <v>32</v>
      </c>
      <c r="I1607" t="s">
        <v>73</v>
      </c>
      <c r="J1607">
        <v>363</v>
      </c>
      <c r="K1607">
        <v>7.6</v>
      </c>
      <c r="L1607">
        <v>2758.7999999999902</v>
      </c>
    </row>
    <row r="1608" spans="1:12" x14ac:dyDescent="0.3">
      <c r="A1608">
        <v>16</v>
      </c>
      <c r="B1608">
        <v>22</v>
      </c>
      <c r="C1608">
        <v>2</v>
      </c>
      <c r="D1608">
        <v>7</v>
      </c>
      <c r="E1608">
        <v>1</v>
      </c>
      <c r="F1608">
        <v>0</v>
      </c>
      <c r="G1608">
        <v>9</v>
      </c>
      <c r="H1608" t="s">
        <v>23</v>
      </c>
      <c r="I1608" t="s">
        <v>85</v>
      </c>
      <c r="J1608">
        <v>482</v>
      </c>
      <c r="K1608">
        <v>8.4</v>
      </c>
      <c r="L1608">
        <v>4048.8</v>
      </c>
    </row>
    <row r="1609" spans="1:12" x14ac:dyDescent="0.3">
      <c r="A1609">
        <v>10</v>
      </c>
      <c r="B1609">
        <v>19</v>
      </c>
      <c r="C1609">
        <v>2</v>
      </c>
      <c r="D1609">
        <v>10</v>
      </c>
      <c r="E1609">
        <v>1</v>
      </c>
      <c r="G1609">
        <v>1</v>
      </c>
      <c r="H1609" t="s">
        <v>18</v>
      </c>
      <c r="I1609" t="s">
        <v>70</v>
      </c>
      <c r="J1609">
        <v>542</v>
      </c>
      <c r="K1609">
        <v>7.7</v>
      </c>
      <c r="L1609">
        <v>4173.3999999999996</v>
      </c>
    </row>
    <row r="1610" spans="1:12" x14ac:dyDescent="0.3">
      <c r="A1610">
        <v>13</v>
      </c>
      <c r="B1610">
        <v>22</v>
      </c>
      <c r="C1610">
        <v>1</v>
      </c>
      <c r="D1610">
        <v>21</v>
      </c>
      <c r="E1610">
        <v>12</v>
      </c>
      <c r="F1610">
        <v>0</v>
      </c>
      <c r="G1610">
        <v>11</v>
      </c>
      <c r="H1610" t="s">
        <v>26</v>
      </c>
      <c r="I1610" t="s">
        <v>70</v>
      </c>
      <c r="J1610">
        <v>646</v>
      </c>
      <c r="K1610">
        <v>8.5</v>
      </c>
      <c r="L1610" t="s">
        <v>342</v>
      </c>
    </row>
    <row r="1611" spans="1:12" x14ac:dyDescent="0.3">
      <c r="A1611">
        <v>11</v>
      </c>
      <c r="B1611">
        <v>22</v>
      </c>
      <c r="C1611">
        <v>0</v>
      </c>
      <c r="D1611">
        <v>12</v>
      </c>
      <c r="E1611">
        <v>1</v>
      </c>
      <c r="F1611">
        <v>0</v>
      </c>
      <c r="G1611">
        <v>11</v>
      </c>
      <c r="H1611" t="s">
        <v>26</v>
      </c>
      <c r="I1611" t="s">
        <v>87</v>
      </c>
      <c r="J1611">
        <v>479</v>
      </c>
      <c r="K1611">
        <v>8.5</v>
      </c>
      <c r="L1611" t="s">
        <v>343</v>
      </c>
    </row>
    <row r="1612" spans="1:12" x14ac:dyDescent="0.3">
      <c r="A1612">
        <v>13</v>
      </c>
      <c r="B1612">
        <v>22</v>
      </c>
      <c r="D1612">
        <v>6</v>
      </c>
      <c r="E1612">
        <v>1</v>
      </c>
      <c r="F1612">
        <v>0</v>
      </c>
      <c r="G1612">
        <v>10</v>
      </c>
      <c r="H1612" t="s">
        <v>26</v>
      </c>
      <c r="I1612" t="s">
        <v>85</v>
      </c>
      <c r="J1612">
        <v>361</v>
      </c>
      <c r="L1612">
        <v>3068.5</v>
      </c>
    </row>
    <row r="1613" spans="1:12" x14ac:dyDescent="0.3">
      <c r="A1613">
        <v>19</v>
      </c>
      <c r="B1613">
        <v>22</v>
      </c>
      <c r="C1613">
        <v>0</v>
      </c>
      <c r="D1613">
        <v>7</v>
      </c>
      <c r="E1613">
        <v>12</v>
      </c>
      <c r="F1613">
        <v>0</v>
      </c>
      <c r="G1613">
        <v>5</v>
      </c>
      <c r="H1613" t="s">
        <v>34</v>
      </c>
      <c r="I1613" t="s">
        <v>70</v>
      </c>
      <c r="J1613" t="s">
        <v>211</v>
      </c>
      <c r="K1613">
        <v>7.6</v>
      </c>
      <c r="L1613">
        <v>4833.5999999999904</v>
      </c>
    </row>
    <row r="1614" spans="1:12" x14ac:dyDescent="0.3">
      <c r="A1614">
        <v>10</v>
      </c>
      <c r="B1614">
        <v>23</v>
      </c>
      <c r="C1614">
        <v>2</v>
      </c>
      <c r="D1614">
        <v>19</v>
      </c>
      <c r="E1614">
        <v>1</v>
      </c>
      <c r="F1614">
        <v>0</v>
      </c>
      <c r="G1614">
        <v>4</v>
      </c>
      <c r="H1614" t="s">
        <v>18</v>
      </c>
      <c r="I1614" t="s">
        <v>101</v>
      </c>
      <c r="J1614">
        <v>472</v>
      </c>
      <c r="K1614">
        <v>7.7</v>
      </c>
      <c r="L1614">
        <v>3634.4</v>
      </c>
    </row>
    <row r="1615" spans="1:12" x14ac:dyDescent="0.3">
      <c r="A1615">
        <v>17</v>
      </c>
      <c r="B1615">
        <v>23</v>
      </c>
      <c r="C1615">
        <v>3</v>
      </c>
      <c r="D1615">
        <v>3</v>
      </c>
      <c r="E1615">
        <v>1</v>
      </c>
      <c r="F1615">
        <v>0</v>
      </c>
      <c r="G1615">
        <v>1</v>
      </c>
      <c r="H1615" t="s">
        <v>36</v>
      </c>
      <c r="I1615" t="s">
        <v>73</v>
      </c>
      <c r="J1615">
        <v>513</v>
      </c>
      <c r="K1615">
        <v>8.8000000000000007</v>
      </c>
      <c r="L1615">
        <v>4514.3999999999996</v>
      </c>
    </row>
    <row r="1616" spans="1:12" x14ac:dyDescent="0.3">
      <c r="B1616">
        <v>22</v>
      </c>
      <c r="C1616">
        <v>2</v>
      </c>
      <c r="D1616">
        <v>9</v>
      </c>
      <c r="E1616">
        <v>1</v>
      </c>
      <c r="F1616">
        <v>0</v>
      </c>
      <c r="G1616">
        <v>2</v>
      </c>
      <c r="H1616" t="s">
        <v>16</v>
      </c>
      <c r="I1616" t="s">
        <v>71</v>
      </c>
      <c r="J1616">
        <v>531</v>
      </c>
      <c r="K1616">
        <v>8.9</v>
      </c>
      <c r="L1616">
        <v>4725.8999999999996</v>
      </c>
    </row>
    <row r="1617" spans="1:12" x14ac:dyDescent="0.3">
      <c r="A1617">
        <v>23</v>
      </c>
      <c r="B1617">
        <v>22</v>
      </c>
      <c r="C1617">
        <v>1</v>
      </c>
      <c r="D1617">
        <v>18</v>
      </c>
      <c r="E1617">
        <v>1</v>
      </c>
      <c r="F1617">
        <v>0</v>
      </c>
      <c r="H1617" t="s">
        <v>15</v>
      </c>
      <c r="I1617" t="s">
        <v>90</v>
      </c>
      <c r="J1617" t="s">
        <v>212</v>
      </c>
      <c r="K1617">
        <v>8.3000000000000007</v>
      </c>
      <c r="L1617">
        <v>3768.2</v>
      </c>
    </row>
    <row r="1618" spans="1:12" x14ac:dyDescent="0.3">
      <c r="A1618">
        <v>19</v>
      </c>
      <c r="B1618">
        <v>22</v>
      </c>
      <c r="C1618">
        <v>2</v>
      </c>
      <c r="D1618">
        <v>12</v>
      </c>
      <c r="E1618">
        <v>1</v>
      </c>
      <c r="F1618">
        <v>0</v>
      </c>
      <c r="G1618">
        <v>8</v>
      </c>
      <c r="H1618" t="s">
        <v>18</v>
      </c>
      <c r="I1618" t="s">
        <v>104</v>
      </c>
      <c r="J1618">
        <v>524</v>
      </c>
      <c r="L1618">
        <v>4034.8</v>
      </c>
    </row>
    <row r="1619" spans="1:12" x14ac:dyDescent="0.3">
      <c r="A1619">
        <v>5</v>
      </c>
      <c r="B1619">
        <v>23</v>
      </c>
      <c r="C1619">
        <v>1</v>
      </c>
      <c r="D1619">
        <v>10</v>
      </c>
      <c r="E1619">
        <v>1</v>
      </c>
      <c r="F1619">
        <v>0</v>
      </c>
      <c r="G1619">
        <v>3</v>
      </c>
      <c r="H1619" t="s">
        <v>23</v>
      </c>
      <c r="I1619" t="s">
        <v>72</v>
      </c>
      <c r="J1619">
        <v>389</v>
      </c>
      <c r="K1619">
        <v>8.4</v>
      </c>
      <c r="L1619">
        <v>3267.6</v>
      </c>
    </row>
    <row r="1620" spans="1:12" x14ac:dyDescent="0.3">
      <c r="A1620">
        <v>19</v>
      </c>
      <c r="B1620">
        <v>23</v>
      </c>
      <c r="C1620">
        <v>1</v>
      </c>
      <c r="D1620">
        <v>17</v>
      </c>
      <c r="E1620">
        <v>1</v>
      </c>
      <c r="F1620">
        <v>0</v>
      </c>
      <c r="G1620">
        <v>12</v>
      </c>
      <c r="H1620" t="s">
        <v>24</v>
      </c>
      <c r="I1620" t="s">
        <v>70</v>
      </c>
      <c r="J1620">
        <v>560</v>
      </c>
      <c r="K1620">
        <v>7.9</v>
      </c>
      <c r="L1620">
        <v>4424</v>
      </c>
    </row>
    <row r="1621" spans="1:12" x14ac:dyDescent="0.3">
      <c r="A1621">
        <v>23</v>
      </c>
      <c r="B1621">
        <v>22</v>
      </c>
      <c r="C1621">
        <v>0</v>
      </c>
      <c r="D1621">
        <v>6</v>
      </c>
      <c r="E1621">
        <v>1</v>
      </c>
      <c r="F1621">
        <v>0</v>
      </c>
      <c r="H1621" t="s">
        <v>64</v>
      </c>
      <c r="I1621" t="s">
        <v>74</v>
      </c>
      <c r="J1621">
        <v>584</v>
      </c>
      <c r="K1621">
        <v>8.1999999999999993</v>
      </c>
      <c r="L1621">
        <v>4788.7999999999902</v>
      </c>
    </row>
    <row r="1622" spans="1:12" x14ac:dyDescent="0.3">
      <c r="A1622">
        <v>5</v>
      </c>
      <c r="B1622">
        <v>18</v>
      </c>
      <c r="C1622">
        <v>2</v>
      </c>
      <c r="D1622">
        <v>22</v>
      </c>
      <c r="E1622">
        <v>1</v>
      </c>
      <c r="F1622">
        <v>0</v>
      </c>
      <c r="G1622">
        <v>1</v>
      </c>
      <c r="H1622" t="s">
        <v>35</v>
      </c>
      <c r="I1622" t="s">
        <v>76</v>
      </c>
      <c r="J1622">
        <v>363</v>
      </c>
      <c r="K1622">
        <v>8.1999999999999993</v>
      </c>
      <c r="L1622">
        <v>2976.6</v>
      </c>
    </row>
    <row r="1623" spans="1:12" x14ac:dyDescent="0.3">
      <c r="A1623">
        <v>6</v>
      </c>
      <c r="B1623">
        <v>17</v>
      </c>
      <c r="C1623">
        <v>1</v>
      </c>
      <c r="D1623">
        <v>5</v>
      </c>
      <c r="E1623">
        <v>7</v>
      </c>
      <c r="F1623">
        <v>0</v>
      </c>
      <c r="G1623">
        <v>1</v>
      </c>
      <c r="H1623" t="s">
        <v>38</v>
      </c>
      <c r="I1623" t="s">
        <v>84</v>
      </c>
      <c r="J1623">
        <v>364</v>
      </c>
      <c r="K1623">
        <v>7.4</v>
      </c>
      <c r="L1623">
        <v>2693.6</v>
      </c>
    </row>
    <row r="1624" spans="1:12" x14ac:dyDescent="0.3">
      <c r="A1624">
        <v>15</v>
      </c>
      <c r="B1624">
        <v>22</v>
      </c>
      <c r="C1624">
        <v>2</v>
      </c>
      <c r="D1624">
        <v>10</v>
      </c>
      <c r="E1624">
        <v>12</v>
      </c>
      <c r="F1624">
        <v>0</v>
      </c>
      <c r="G1624">
        <v>4</v>
      </c>
      <c r="H1624" t="s">
        <v>26</v>
      </c>
      <c r="I1624" t="s">
        <v>82</v>
      </c>
      <c r="J1624">
        <v>514</v>
      </c>
      <c r="K1624">
        <v>8.5</v>
      </c>
      <c r="L1624">
        <v>4369</v>
      </c>
    </row>
    <row r="1625" spans="1:12" x14ac:dyDescent="0.3">
      <c r="A1625">
        <v>22</v>
      </c>
      <c r="B1625">
        <v>22</v>
      </c>
      <c r="C1625">
        <v>2</v>
      </c>
      <c r="D1625">
        <v>18</v>
      </c>
      <c r="E1625">
        <v>1</v>
      </c>
      <c r="F1625">
        <v>0</v>
      </c>
      <c r="G1625">
        <v>4</v>
      </c>
      <c r="I1625" t="s">
        <v>93</v>
      </c>
      <c r="J1625">
        <v>660</v>
      </c>
      <c r="K1625">
        <v>8.9</v>
      </c>
      <c r="L1625">
        <v>5874</v>
      </c>
    </row>
    <row r="1626" spans="1:12" x14ac:dyDescent="0.3">
      <c r="A1626">
        <v>12</v>
      </c>
      <c r="B1626">
        <v>23</v>
      </c>
      <c r="C1626">
        <v>2</v>
      </c>
      <c r="D1626">
        <v>18</v>
      </c>
      <c r="E1626">
        <v>12</v>
      </c>
      <c r="F1626">
        <v>0</v>
      </c>
      <c r="G1626">
        <v>8</v>
      </c>
      <c r="H1626" t="s">
        <v>18</v>
      </c>
      <c r="I1626" t="s">
        <v>87</v>
      </c>
      <c r="J1626">
        <v>746</v>
      </c>
      <c r="K1626">
        <v>7.7</v>
      </c>
      <c r="L1626" t="s">
        <v>344</v>
      </c>
    </row>
    <row r="1627" spans="1:12" x14ac:dyDescent="0.3">
      <c r="A1627">
        <v>9</v>
      </c>
      <c r="B1627">
        <v>19</v>
      </c>
      <c r="C1627">
        <v>1</v>
      </c>
      <c r="D1627">
        <v>21</v>
      </c>
      <c r="E1627">
        <v>1</v>
      </c>
      <c r="F1627">
        <v>0</v>
      </c>
      <c r="G1627">
        <v>5</v>
      </c>
      <c r="H1627" t="s">
        <v>26</v>
      </c>
      <c r="I1627" t="s">
        <v>81</v>
      </c>
      <c r="J1627">
        <v>490</v>
      </c>
      <c r="K1627">
        <v>8.5</v>
      </c>
      <c r="L1627">
        <v>4165</v>
      </c>
    </row>
    <row r="1628" spans="1:12" x14ac:dyDescent="0.3">
      <c r="A1628">
        <v>19</v>
      </c>
      <c r="B1628">
        <v>22</v>
      </c>
      <c r="C1628">
        <v>3</v>
      </c>
      <c r="D1628">
        <v>16</v>
      </c>
      <c r="E1628">
        <v>1</v>
      </c>
      <c r="F1628">
        <v>0</v>
      </c>
      <c r="G1628">
        <v>11</v>
      </c>
      <c r="H1628" t="s">
        <v>18</v>
      </c>
      <c r="I1628" t="s">
        <v>95</v>
      </c>
      <c r="J1628">
        <v>710</v>
      </c>
      <c r="K1628">
        <v>7.7</v>
      </c>
      <c r="L1628">
        <v>5467</v>
      </c>
    </row>
    <row r="1629" spans="1:12" x14ac:dyDescent="0.3">
      <c r="C1629">
        <v>2</v>
      </c>
      <c r="D1629">
        <v>9</v>
      </c>
      <c r="E1629">
        <v>1</v>
      </c>
      <c r="F1629">
        <v>0</v>
      </c>
      <c r="G1629">
        <v>4</v>
      </c>
      <c r="H1629" t="s">
        <v>24</v>
      </c>
      <c r="I1629" t="s">
        <v>84</v>
      </c>
      <c r="J1629">
        <v>501</v>
      </c>
      <c r="K1629">
        <v>7.9</v>
      </c>
      <c r="L1629">
        <v>3957.9</v>
      </c>
    </row>
    <row r="1630" spans="1:12" x14ac:dyDescent="0.3">
      <c r="A1630">
        <v>17</v>
      </c>
      <c r="B1630">
        <v>22</v>
      </c>
      <c r="C1630">
        <v>3</v>
      </c>
      <c r="D1630">
        <v>18</v>
      </c>
      <c r="E1630">
        <v>1</v>
      </c>
      <c r="F1630">
        <v>0</v>
      </c>
      <c r="G1630">
        <v>7</v>
      </c>
      <c r="H1630" t="s">
        <v>35</v>
      </c>
      <c r="I1630" t="s">
        <v>130</v>
      </c>
      <c r="J1630">
        <v>537</v>
      </c>
      <c r="K1630">
        <v>8.1999999999999993</v>
      </c>
      <c r="L1630">
        <v>4403.3999999999996</v>
      </c>
    </row>
    <row r="1631" spans="1:12" x14ac:dyDescent="0.3">
      <c r="A1631">
        <v>14</v>
      </c>
      <c r="B1631">
        <v>23</v>
      </c>
      <c r="C1631">
        <v>0</v>
      </c>
      <c r="D1631">
        <v>17</v>
      </c>
      <c r="E1631">
        <v>1</v>
      </c>
      <c r="F1631">
        <v>0</v>
      </c>
      <c r="G1631">
        <v>7</v>
      </c>
      <c r="H1631" t="s">
        <v>55</v>
      </c>
      <c r="I1631" t="s">
        <v>104</v>
      </c>
      <c r="J1631">
        <v>553</v>
      </c>
      <c r="K1631">
        <v>7.8</v>
      </c>
      <c r="L1631">
        <v>4313.3999999999996</v>
      </c>
    </row>
    <row r="1632" spans="1:12" x14ac:dyDescent="0.3">
      <c r="A1632">
        <v>15</v>
      </c>
      <c r="B1632">
        <v>23</v>
      </c>
      <c r="C1632">
        <v>1</v>
      </c>
      <c r="D1632">
        <v>17</v>
      </c>
      <c r="F1632">
        <v>0</v>
      </c>
      <c r="G1632">
        <v>5</v>
      </c>
      <c r="H1632" t="s">
        <v>14</v>
      </c>
      <c r="I1632" t="s">
        <v>70</v>
      </c>
      <c r="J1632">
        <v>537</v>
      </c>
      <c r="K1632">
        <v>8.9</v>
      </c>
      <c r="L1632">
        <v>4779.3</v>
      </c>
    </row>
    <row r="1633" spans="1:12" x14ac:dyDescent="0.3">
      <c r="A1633">
        <v>8</v>
      </c>
      <c r="B1633">
        <v>20</v>
      </c>
      <c r="C1633">
        <v>1</v>
      </c>
      <c r="D1633">
        <v>7</v>
      </c>
      <c r="E1633">
        <v>7</v>
      </c>
      <c r="F1633">
        <v>0</v>
      </c>
      <c r="G1633">
        <v>6</v>
      </c>
      <c r="H1633" t="s">
        <v>26</v>
      </c>
      <c r="I1633" t="s">
        <v>71</v>
      </c>
      <c r="J1633">
        <v>495</v>
      </c>
      <c r="K1633">
        <v>8.5</v>
      </c>
      <c r="L1633">
        <v>4207.5</v>
      </c>
    </row>
    <row r="1634" spans="1:12" x14ac:dyDescent="0.3">
      <c r="A1634">
        <v>16</v>
      </c>
      <c r="B1634">
        <v>23</v>
      </c>
      <c r="D1634">
        <v>9</v>
      </c>
      <c r="E1634">
        <v>1</v>
      </c>
      <c r="F1634">
        <v>0</v>
      </c>
      <c r="G1634">
        <v>12</v>
      </c>
      <c r="H1634" t="s">
        <v>21</v>
      </c>
      <c r="I1634" t="s">
        <v>73</v>
      </c>
      <c r="J1634">
        <v>640</v>
      </c>
      <c r="K1634">
        <v>8.6999999999999993</v>
      </c>
      <c r="L1634">
        <v>5568</v>
      </c>
    </row>
    <row r="1635" spans="1:12" x14ac:dyDescent="0.3">
      <c r="A1635">
        <v>20</v>
      </c>
      <c r="B1635">
        <v>23</v>
      </c>
      <c r="C1635">
        <v>3</v>
      </c>
      <c r="D1635">
        <v>4</v>
      </c>
      <c r="E1635">
        <v>1</v>
      </c>
      <c r="F1635">
        <v>0</v>
      </c>
      <c r="G1635">
        <v>11</v>
      </c>
      <c r="H1635" t="s">
        <v>33</v>
      </c>
      <c r="I1635" t="s">
        <v>132</v>
      </c>
      <c r="J1635">
        <v>523</v>
      </c>
      <c r="K1635">
        <v>9.3000000000000007</v>
      </c>
      <c r="L1635">
        <v>4863.8999999999996</v>
      </c>
    </row>
    <row r="1636" spans="1:12" x14ac:dyDescent="0.3">
      <c r="A1636">
        <v>10</v>
      </c>
      <c r="B1636">
        <v>23</v>
      </c>
      <c r="C1636">
        <v>0</v>
      </c>
      <c r="D1636">
        <v>22</v>
      </c>
      <c r="E1636">
        <v>1</v>
      </c>
      <c r="F1636">
        <v>0</v>
      </c>
      <c r="G1636">
        <v>10</v>
      </c>
      <c r="H1636" t="s">
        <v>31</v>
      </c>
      <c r="I1636" t="s">
        <v>78</v>
      </c>
      <c r="J1636">
        <v>657</v>
      </c>
      <c r="K1636">
        <v>7.9</v>
      </c>
      <c r="L1636">
        <v>5190.3</v>
      </c>
    </row>
    <row r="1637" spans="1:12" x14ac:dyDescent="0.3">
      <c r="A1637">
        <v>21</v>
      </c>
      <c r="B1637">
        <v>23</v>
      </c>
      <c r="C1637">
        <v>3</v>
      </c>
      <c r="D1637">
        <v>12</v>
      </c>
      <c r="E1637">
        <v>1</v>
      </c>
      <c r="F1637">
        <v>0</v>
      </c>
      <c r="G1637">
        <v>11</v>
      </c>
      <c r="H1637" t="s">
        <v>38</v>
      </c>
      <c r="I1637" t="s">
        <v>80</v>
      </c>
      <c r="J1637">
        <v>511</v>
      </c>
      <c r="K1637">
        <v>7.4</v>
      </c>
      <c r="L1637">
        <v>3781.4</v>
      </c>
    </row>
    <row r="1638" spans="1:12" x14ac:dyDescent="0.3">
      <c r="A1638">
        <v>11</v>
      </c>
      <c r="B1638">
        <v>22</v>
      </c>
      <c r="C1638">
        <v>3</v>
      </c>
      <c r="D1638">
        <v>8</v>
      </c>
      <c r="E1638">
        <v>1</v>
      </c>
      <c r="F1638">
        <v>0</v>
      </c>
      <c r="G1638">
        <v>7</v>
      </c>
      <c r="H1638" t="s">
        <v>16</v>
      </c>
      <c r="I1638" t="s">
        <v>82</v>
      </c>
      <c r="J1638">
        <v>529</v>
      </c>
      <c r="K1638">
        <v>8.9</v>
      </c>
      <c r="L1638">
        <v>4708.1000000000004</v>
      </c>
    </row>
    <row r="1639" spans="1:12" x14ac:dyDescent="0.3">
      <c r="A1639">
        <v>17</v>
      </c>
      <c r="B1639">
        <v>22</v>
      </c>
      <c r="D1639">
        <v>3</v>
      </c>
      <c r="E1639">
        <v>1</v>
      </c>
      <c r="F1639">
        <v>0</v>
      </c>
      <c r="G1639">
        <v>4</v>
      </c>
      <c r="H1639" t="s">
        <v>32</v>
      </c>
      <c r="I1639" t="s">
        <v>76</v>
      </c>
      <c r="J1639">
        <v>355</v>
      </c>
      <c r="K1639">
        <v>7.6</v>
      </c>
      <c r="L1639">
        <v>2698</v>
      </c>
    </row>
    <row r="1640" spans="1:12" x14ac:dyDescent="0.3">
      <c r="A1640">
        <v>6</v>
      </c>
      <c r="B1640">
        <v>22</v>
      </c>
      <c r="C1640">
        <v>1</v>
      </c>
      <c r="D1640">
        <v>20</v>
      </c>
      <c r="E1640">
        <v>1</v>
      </c>
      <c r="F1640">
        <v>0</v>
      </c>
      <c r="G1640">
        <v>4</v>
      </c>
      <c r="H1640" t="s">
        <v>36</v>
      </c>
      <c r="I1640" t="s">
        <v>97</v>
      </c>
      <c r="J1640">
        <v>407</v>
      </c>
      <c r="K1640">
        <v>8.8000000000000007</v>
      </c>
      <c r="L1640">
        <v>3581.6</v>
      </c>
    </row>
    <row r="1641" spans="1:12" x14ac:dyDescent="0.3">
      <c r="A1641">
        <v>10</v>
      </c>
      <c r="B1641">
        <v>21</v>
      </c>
      <c r="C1641">
        <v>0</v>
      </c>
      <c r="D1641">
        <v>20</v>
      </c>
      <c r="E1641">
        <v>1</v>
      </c>
      <c r="F1641">
        <v>0</v>
      </c>
      <c r="G1641">
        <v>3</v>
      </c>
      <c r="H1641" t="s">
        <v>44</v>
      </c>
      <c r="I1641" t="s">
        <v>96</v>
      </c>
      <c r="J1641">
        <v>425</v>
      </c>
      <c r="K1641">
        <v>8.1999999999999993</v>
      </c>
      <c r="L1641">
        <v>3484.99999999999</v>
      </c>
    </row>
    <row r="1642" spans="1:12" x14ac:dyDescent="0.3">
      <c r="A1642">
        <v>21</v>
      </c>
      <c r="B1642">
        <v>22</v>
      </c>
      <c r="C1642">
        <v>3</v>
      </c>
      <c r="D1642">
        <v>20</v>
      </c>
      <c r="E1642">
        <v>1</v>
      </c>
      <c r="F1642">
        <v>0</v>
      </c>
      <c r="G1642">
        <v>9</v>
      </c>
      <c r="H1642" t="s">
        <v>31</v>
      </c>
      <c r="I1642" t="s">
        <v>71</v>
      </c>
      <c r="J1642">
        <v>522</v>
      </c>
      <c r="K1642">
        <v>7.9</v>
      </c>
      <c r="L1642">
        <v>4123.8</v>
      </c>
    </row>
    <row r="1643" spans="1:12" x14ac:dyDescent="0.3">
      <c r="A1643">
        <v>23</v>
      </c>
      <c r="B1643">
        <v>22</v>
      </c>
      <c r="C1643">
        <v>0</v>
      </c>
      <c r="D1643">
        <v>17</v>
      </c>
      <c r="E1643">
        <v>1</v>
      </c>
      <c r="F1643">
        <v>0</v>
      </c>
      <c r="G1643">
        <v>9</v>
      </c>
      <c r="H1643" t="s">
        <v>25</v>
      </c>
      <c r="I1643" t="s">
        <v>97</v>
      </c>
      <c r="J1643">
        <v>679</v>
      </c>
      <c r="K1643">
        <v>8.1</v>
      </c>
      <c r="L1643">
        <v>5499.9</v>
      </c>
    </row>
    <row r="1644" spans="1:12" x14ac:dyDescent="0.3">
      <c r="A1644">
        <v>11</v>
      </c>
      <c r="B1644">
        <v>23</v>
      </c>
      <c r="C1644">
        <v>2</v>
      </c>
      <c r="E1644">
        <v>1</v>
      </c>
      <c r="F1644">
        <v>0</v>
      </c>
      <c r="G1644">
        <v>2</v>
      </c>
      <c r="H1644" t="s">
        <v>58</v>
      </c>
      <c r="I1644" t="s">
        <v>87</v>
      </c>
      <c r="J1644">
        <v>397</v>
      </c>
      <c r="K1644">
        <v>8.4</v>
      </c>
      <c r="L1644">
        <v>3334.8</v>
      </c>
    </row>
    <row r="1645" spans="1:12" x14ac:dyDescent="0.3">
      <c r="A1645">
        <v>21</v>
      </c>
      <c r="B1645">
        <v>23</v>
      </c>
      <c r="C1645">
        <v>3</v>
      </c>
      <c r="D1645">
        <v>21</v>
      </c>
      <c r="E1645">
        <v>1</v>
      </c>
      <c r="G1645">
        <v>4</v>
      </c>
      <c r="H1645" t="s">
        <v>23</v>
      </c>
      <c r="I1645" t="s">
        <v>97</v>
      </c>
      <c r="J1645">
        <v>671</v>
      </c>
      <c r="K1645">
        <v>8.4</v>
      </c>
      <c r="L1645">
        <v>5636.4</v>
      </c>
    </row>
    <row r="1646" spans="1:12" x14ac:dyDescent="0.3">
      <c r="A1646">
        <v>13</v>
      </c>
      <c r="B1646">
        <v>23</v>
      </c>
      <c r="C1646">
        <v>2</v>
      </c>
      <c r="D1646">
        <v>21</v>
      </c>
      <c r="F1646">
        <v>0</v>
      </c>
      <c r="G1646">
        <v>11</v>
      </c>
      <c r="H1646" t="s">
        <v>20</v>
      </c>
      <c r="J1646">
        <v>577</v>
      </c>
      <c r="K1646">
        <v>9.1</v>
      </c>
      <c r="L1646" t="s">
        <v>345</v>
      </c>
    </row>
    <row r="1647" spans="1:12" x14ac:dyDescent="0.3">
      <c r="A1647">
        <v>13</v>
      </c>
      <c r="B1647">
        <v>22</v>
      </c>
      <c r="C1647">
        <v>0</v>
      </c>
      <c r="D1647">
        <v>21</v>
      </c>
      <c r="E1647">
        <v>12</v>
      </c>
      <c r="F1647">
        <v>0</v>
      </c>
      <c r="G1647">
        <v>10</v>
      </c>
      <c r="H1647" t="s">
        <v>32</v>
      </c>
      <c r="I1647" t="s">
        <v>88</v>
      </c>
      <c r="J1647">
        <v>744</v>
      </c>
      <c r="K1647">
        <v>7.6</v>
      </c>
      <c r="L1647">
        <v>5654.4</v>
      </c>
    </row>
    <row r="1648" spans="1:12" x14ac:dyDescent="0.3">
      <c r="A1648">
        <v>17</v>
      </c>
      <c r="B1648">
        <v>22</v>
      </c>
      <c r="C1648">
        <v>1</v>
      </c>
      <c r="D1648">
        <v>20</v>
      </c>
      <c r="E1648">
        <v>1</v>
      </c>
      <c r="F1648">
        <v>0</v>
      </c>
      <c r="G1648">
        <v>9</v>
      </c>
      <c r="H1648" t="s">
        <v>32</v>
      </c>
      <c r="I1648" t="s">
        <v>82</v>
      </c>
      <c r="J1648">
        <v>568</v>
      </c>
      <c r="K1648">
        <v>7.6</v>
      </c>
      <c r="L1648">
        <v>4316.8</v>
      </c>
    </row>
    <row r="1649" spans="1:12" x14ac:dyDescent="0.3">
      <c r="A1649">
        <v>9</v>
      </c>
      <c r="B1649">
        <v>21</v>
      </c>
      <c r="C1649">
        <v>0</v>
      </c>
      <c r="D1649">
        <v>20</v>
      </c>
      <c r="E1649">
        <v>1</v>
      </c>
      <c r="F1649">
        <v>0</v>
      </c>
      <c r="G1649">
        <v>7</v>
      </c>
      <c r="H1649" t="s">
        <v>23</v>
      </c>
      <c r="I1649" t="s">
        <v>83</v>
      </c>
      <c r="J1649">
        <v>627</v>
      </c>
      <c r="K1649">
        <v>8.4</v>
      </c>
      <c r="L1649">
        <v>5266.8</v>
      </c>
    </row>
    <row r="1650" spans="1:12" x14ac:dyDescent="0.3">
      <c r="A1650">
        <v>10</v>
      </c>
      <c r="B1650">
        <v>23</v>
      </c>
      <c r="C1650">
        <v>3</v>
      </c>
      <c r="D1650">
        <v>14</v>
      </c>
      <c r="E1650">
        <v>1</v>
      </c>
      <c r="F1650">
        <v>0</v>
      </c>
      <c r="G1650">
        <v>5</v>
      </c>
      <c r="H1650" t="s">
        <v>16</v>
      </c>
      <c r="I1650" t="s">
        <v>88</v>
      </c>
      <c r="J1650">
        <v>494</v>
      </c>
      <c r="K1650">
        <v>8.9</v>
      </c>
      <c r="L1650">
        <v>4396.6000000000004</v>
      </c>
    </row>
    <row r="1651" spans="1:12" x14ac:dyDescent="0.3">
      <c r="A1651">
        <v>21</v>
      </c>
      <c r="C1651">
        <v>2</v>
      </c>
      <c r="D1651">
        <v>4</v>
      </c>
      <c r="E1651">
        <v>1</v>
      </c>
      <c r="F1651">
        <v>0</v>
      </c>
      <c r="G1651">
        <v>2</v>
      </c>
      <c r="H1651" t="s">
        <v>26</v>
      </c>
      <c r="I1651" t="s">
        <v>121</v>
      </c>
      <c r="J1651">
        <v>430</v>
      </c>
      <c r="K1651">
        <v>8.5</v>
      </c>
      <c r="L1651">
        <v>3655</v>
      </c>
    </row>
    <row r="1652" spans="1:12" x14ac:dyDescent="0.3">
      <c r="A1652">
        <v>16</v>
      </c>
      <c r="B1652">
        <v>22</v>
      </c>
      <c r="C1652">
        <v>0</v>
      </c>
      <c r="D1652">
        <v>14</v>
      </c>
      <c r="E1652">
        <v>12</v>
      </c>
      <c r="F1652">
        <v>0</v>
      </c>
      <c r="G1652">
        <v>7</v>
      </c>
      <c r="I1652" t="s">
        <v>72</v>
      </c>
      <c r="J1652">
        <v>603</v>
      </c>
      <c r="K1652">
        <v>8.9</v>
      </c>
      <c r="L1652">
        <v>5366.7</v>
      </c>
    </row>
    <row r="1653" spans="1:12" x14ac:dyDescent="0.3">
      <c r="A1653">
        <v>9</v>
      </c>
      <c r="B1653">
        <v>23</v>
      </c>
      <c r="C1653">
        <v>2</v>
      </c>
      <c r="D1653">
        <v>7</v>
      </c>
      <c r="E1653">
        <v>1</v>
      </c>
      <c r="F1653">
        <v>0</v>
      </c>
      <c r="G1653">
        <v>3</v>
      </c>
      <c r="H1653" t="s">
        <v>45</v>
      </c>
      <c r="I1653" t="s">
        <v>105</v>
      </c>
      <c r="J1653">
        <v>601</v>
      </c>
      <c r="K1653">
        <v>7.9</v>
      </c>
      <c r="L1653">
        <v>4747.8999999999996</v>
      </c>
    </row>
    <row r="1654" spans="1:12" x14ac:dyDescent="0.3">
      <c r="A1654">
        <v>14</v>
      </c>
      <c r="B1654">
        <v>23</v>
      </c>
      <c r="C1654">
        <v>0</v>
      </c>
      <c r="F1654">
        <v>0</v>
      </c>
      <c r="G1654">
        <v>7</v>
      </c>
      <c r="H1654" t="s">
        <v>35</v>
      </c>
      <c r="I1654" t="s">
        <v>95</v>
      </c>
      <c r="J1654">
        <v>585</v>
      </c>
      <c r="K1654">
        <v>8.1999999999999993</v>
      </c>
      <c r="L1654">
        <v>4797</v>
      </c>
    </row>
    <row r="1655" spans="1:12" x14ac:dyDescent="0.3">
      <c r="A1655">
        <v>8</v>
      </c>
      <c r="B1655">
        <v>20</v>
      </c>
      <c r="C1655">
        <v>3</v>
      </c>
      <c r="D1655">
        <v>22</v>
      </c>
      <c r="E1655">
        <v>1</v>
      </c>
      <c r="F1655">
        <v>0</v>
      </c>
      <c r="H1655" t="s">
        <v>32</v>
      </c>
      <c r="I1655" t="s">
        <v>74</v>
      </c>
      <c r="J1655">
        <v>715</v>
      </c>
      <c r="K1655">
        <v>7.6</v>
      </c>
      <c r="L1655">
        <v>5434</v>
      </c>
    </row>
    <row r="1656" spans="1:12" x14ac:dyDescent="0.3">
      <c r="A1656">
        <v>5</v>
      </c>
      <c r="B1656">
        <v>17</v>
      </c>
      <c r="D1656">
        <v>10</v>
      </c>
      <c r="E1656">
        <v>1</v>
      </c>
      <c r="F1656">
        <v>0</v>
      </c>
      <c r="G1656">
        <v>4</v>
      </c>
      <c r="H1656" t="s">
        <v>49</v>
      </c>
      <c r="I1656" t="s">
        <v>87</v>
      </c>
      <c r="J1656">
        <v>404</v>
      </c>
      <c r="K1656">
        <v>8.5</v>
      </c>
      <c r="L1656">
        <v>3434</v>
      </c>
    </row>
    <row r="1657" spans="1:12" x14ac:dyDescent="0.3">
      <c r="A1657">
        <v>23</v>
      </c>
      <c r="B1657">
        <v>22</v>
      </c>
      <c r="C1657">
        <v>0</v>
      </c>
      <c r="D1657">
        <v>19</v>
      </c>
      <c r="E1657">
        <v>1</v>
      </c>
      <c r="F1657">
        <v>0</v>
      </c>
      <c r="G1657">
        <v>5</v>
      </c>
      <c r="H1657" t="s">
        <v>20</v>
      </c>
      <c r="I1657" t="s">
        <v>83</v>
      </c>
      <c r="J1657">
        <v>640</v>
      </c>
      <c r="K1657">
        <v>9.1</v>
      </c>
      <c r="L1657">
        <v>5824</v>
      </c>
    </row>
    <row r="1658" spans="1:12" x14ac:dyDescent="0.3">
      <c r="B1658">
        <v>23</v>
      </c>
      <c r="C1658">
        <v>3</v>
      </c>
      <c r="D1658">
        <v>17</v>
      </c>
      <c r="E1658">
        <v>1</v>
      </c>
      <c r="F1658">
        <v>0</v>
      </c>
      <c r="G1658">
        <v>4</v>
      </c>
      <c r="H1658" t="s">
        <v>24</v>
      </c>
      <c r="I1658" t="s">
        <v>109</v>
      </c>
      <c r="J1658">
        <v>592</v>
      </c>
      <c r="K1658">
        <v>7.9</v>
      </c>
      <c r="L1658">
        <v>4676.8</v>
      </c>
    </row>
    <row r="1659" spans="1:12" x14ac:dyDescent="0.3">
      <c r="A1659">
        <v>21</v>
      </c>
      <c r="B1659">
        <v>23</v>
      </c>
      <c r="C1659">
        <v>1</v>
      </c>
      <c r="D1659">
        <v>9</v>
      </c>
      <c r="E1659">
        <v>1</v>
      </c>
      <c r="F1659">
        <v>0</v>
      </c>
      <c r="G1659">
        <v>11</v>
      </c>
      <c r="H1659" t="s">
        <v>20</v>
      </c>
      <c r="I1659" t="s">
        <v>85</v>
      </c>
      <c r="J1659">
        <v>418</v>
      </c>
      <c r="K1659">
        <v>9.1</v>
      </c>
      <c r="L1659">
        <v>3803.7999999999902</v>
      </c>
    </row>
    <row r="1660" spans="1:12" x14ac:dyDescent="0.3">
      <c r="A1660">
        <v>9</v>
      </c>
      <c r="B1660">
        <v>22</v>
      </c>
      <c r="C1660">
        <v>0</v>
      </c>
      <c r="D1660">
        <v>8</v>
      </c>
      <c r="E1660">
        <v>1</v>
      </c>
      <c r="F1660">
        <v>0</v>
      </c>
      <c r="G1660">
        <v>9</v>
      </c>
      <c r="H1660" t="s">
        <v>24</v>
      </c>
      <c r="I1660" t="s">
        <v>84</v>
      </c>
      <c r="J1660">
        <v>493</v>
      </c>
      <c r="K1660">
        <v>7.9</v>
      </c>
      <c r="L1660">
        <v>3894.7</v>
      </c>
    </row>
    <row r="1661" spans="1:12" x14ac:dyDescent="0.3">
      <c r="A1661">
        <v>12</v>
      </c>
      <c r="B1661">
        <v>23</v>
      </c>
      <c r="C1661">
        <v>3</v>
      </c>
      <c r="D1661">
        <v>9</v>
      </c>
      <c r="E1661">
        <v>1</v>
      </c>
      <c r="F1661">
        <v>0</v>
      </c>
      <c r="G1661">
        <v>12</v>
      </c>
      <c r="H1661" t="s">
        <v>39</v>
      </c>
      <c r="I1661" t="s">
        <v>78</v>
      </c>
      <c r="J1661">
        <v>404</v>
      </c>
      <c r="K1661">
        <v>8.8000000000000007</v>
      </c>
      <c r="L1661">
        <v>3555.2</v>
      </c>
    </row>
    <row r="1662" spans="1:12" x14ac:dyDescent="0.3">
      <c r="A1662">
        <v>21</v>
      </c>
      <c r="B1662">
        <v>23</v>
      </c>
      <c r="C1662">
        <v>3</v>
      </c>
      <c r="D1662">
        <v>5</v>
      </c>
      <c r="E1662">
        <v>1</v>
      </c>
      <c r="F1662">
        <v>0</v>
      </c>
      <c r="G1662">
        <v>7</v>
      </c>
      <c r="H1662" t="s">
        <v>35</v>
      </c>
      <c r="I1662" t="s">
        <v>88</v>
      </c>
      <c r="J1662">
        <v>546</v>
      </c>
      <c r="K1662">
        <v>8.1999999999999993</v>
      </c>
      <c r="L1662">
        <v>4477.2</v>
      </c>
    </row>
    <row r="1663" spans="1:12" x14ac:dyDescent="0.3">
      <c r="A1663">
        <v>20</v>
      </c>
      <c r="B1663">
        <v>22</v>
      </c>
      <c r="C1663">
        <v>2</v>
      </c>
      <c r="D1663">
        <v>4</v>
      </c>
      <c r="E1663">
        <v>1</v>
      </c>
      <c r="F1663">
        <v>0</v>
      </c>
      <c r="G1663">
        <v>8</v>
      </c>
      <c r="H1663" t="s">
        <v>59</v>
      </c>
      <c r="I1663" t="s">
        <v>91</v>
      </c>
      <c r="J1663">
        <v>508</v>
      </c>
      <c r="K1663">
        <v>8.1</v>
      </c>
      <c r="L1663">
        <v>4114.8</v>
      </c>
    </row>
    <row r="1664" spans="1:12" x14ac:dyDescent="0.3">
      <c r="A1664">
        <v>13</v>
      </c>
      <c r="B1664">
        <v>23</v>
      </c>
      <c r="C1664">
        <v>3</v>
      </c>
      <c r="D1664">
        <v>21</v>
      </c>
      <c r="E1664">
        <v>1</v>
      </c>
      <c r="F1664">
        <v>0</v>
      </c>
      <c r="G1664">
        <v>1</v>
      </c>
      <c r="H1664" t="s">
        <v>18</v>
      </c>
      <c r="I1664" t="s">
        <v>74</v>
      </c>
      <c r="J1664">
        <v>618</v>
      </c>
      <c r="K1664">
        <v>7.7</v>
      </c>
      <c r="L1664">
        <v>4758.6000000000004</v>
      </c>
    </row>
    <row r="1665" spans="1:12" x14ac:dyDescent="0.3">
      <c r="A1665">
        <v>9</v>
      </c>
      <c r="C1665">
        <v>2</v>
      </c>
      <c r="D1665">
        <v>4</v>
      </c>
      <c r="E1665">
        <v>1</v>
      </c>
      <c r="F1665">
        <v>0</v>
      </c>
      <c r="G1665">
        <v>5</v>
      </c>
      <c r="H1665" t="s">
        <v>21</v>
      </c>
      <c r="J1665">
        <v>403</v>
      </c>
      <c r="K1665">
        <v>8.6999999999999993</v>
      </c>
      <c r="L1665">
        <v>3506.1</v>
      </c>
    </row>
    <row r="1666" spans="1:12" x14ac:dyDescent="0.3">
      <c r="A1666">
        <v>19</v>
      </c>
      <c r="B1666">
        <v>22</v>
      </c>
      <c r="C1666">
        <v>3</v>
      </c>
      <c r="D1666">
        <v>15</v>
      </c>
      <c r="E1666">
        <v>1</v>
      </c>
      <c r="F1666">
        <v>0</v>
      </c>
      <c r="G1666">
        <v>9</v>
      </c>
      <c r="H1666" t="s">
        <v>62</v>
      </c>
      <c r="I1666" t="s">
        <v>81</v>
      </c>
      <c r="J1666">
        <v>661</v>
      </c>
      <c r="K1666">
        <v>8.5</v>
      </c>
    </row>
    <row r="1667" spans="1:12" x14ac:dyDescent="0.3">
      <c r="A1667">
        <v>9</v>
      </c>
      <c r="B1667">
        <v>21</v>
      </c>
      <c r="C1667">
        <v>3</v>
      </c>
      <c r="D1667">
        <v>6</v>
      </c>
      <c r="E1667">
        <v>1</v>
      </c>
      <c r="F1667">
        <v>0</v>
      </c>
      <c r="G1667">
        <v>2</v>
      </c>
      <c r="H1667" t="s">
        <v>36</v>
      </c>
      <c r="I1667" t="s">
        <v>81</v>
      </c>
      <c r="J1667">
        <v>349</v>
      </c>
      <c r="K1667">
        <v>8.8000000000000007</v>
      </c>
      <c r="L1667">
        <v>3071.2</v>
      </c>
    </row>
    <row r="1668" spans="1:12" x14ac:dyDescent="0.3">
      <c r="A1668">
        <v>19</v>
      </c>
      <c r="B1668">
        <v>22</v>
      </c>
      <c r="C1668">
        <v>2</v>
      </c>
      <c r="D1668">
        <v>5</v>
      </c>
      <c r="E1668">
        <v>1</v>
      </c>
      <c r="F1668">
        <v>0</v>
      </c>
      <c r="G1668">
        <v>2</v>
      </c>
      <c r="H1668" t="s">
        <v>23</v>
      </c>
      <c r="I1668" t="s">
        <v>83</v>
      </c>
      <c r="J1668">
        <v>564</v>
      </c>
      <c r="L1668">
        <v>4737.6000000000004</v>
      </c>
    </row>
    <row r="1669" spans="1:12" x14ac:dyDescent="0.3">
      <c r="A1669">
        <v>21</v>
      </c>
      <c r="B1669">
        <v>22</v>
      </c>
      <c r="C1669">
        <v>0</v>
      </c>
      <c r="D1669">
        <v>5</v>
      </c>
      <c r="E1669">
        <v>12</v>
      </c>
      <c r="F1669">
        <v>0</v>
      </c>
      <c r="G1669">
        <v>5</v>
      </c>
      <c r="H1669" t="s">
        <v>24</v>
      </c>
      <c r="I1669" t="s">
        <v>118</v>
      </c>
      <c r="J1669">
        <v>593</v>
      </c>
      <c r="K1669">
        <v>7.9</v>
      </c>
      <c r="L1669">
        <v>4684.7</v>
      </c>
    </row>
    <row r="1670" spans="1:12" x14ac:dyDescent="0.3">
      <c r="A1670">
        <v>17</v>
      </c>
      <c r="B1670">
        <v>22</v>
      </c>
      <c r="C1670">
        <v>3</v>
      </c>
      <c r="D1670">
        <v>4</v>
      </c>
      <c r="E1670">
        <v>1</v>
      </c>
      <c r="F1670">
        <v>0</v>
      </c>
      <c r="G1670">
        <v>7</v>
      </c>
      <c r="H1670" t="s">
        <v>20</v>
      </c>
      <c r="I1670" t="s">
        <v>75</v>
      </c>
      <c r="J1670" t="s">
        <v>213</v>
      </c>
      <c r="K1670">
        <v>9.1</v>
      </c>
      <c r="L1670">
        <v>3385.2</v>
      </c>
    </row>
    <row r="1671" spans="1:12" x14ac:dyDescent="0.3">
      <c r="A1671">
        <v>16</v>
      </c>
      <c r="B1671">
        <v>22</v>
      </c>
      <c r="C1671">
        <v>0</v>
      </c>
      <c r="D1671">
        <v>4</v>
      </c>
      <c r="E1671">
        <v>1</v>
      </c>
      <c r="F1671">
        <v>0</v>
      </c>
      <c r="G1671">
        <v>8</v>
      </c>
      <c r="H1671" t="s">
        <v>12</v>
      </c>
      <c r="I1671" t="s">
        <v>72</v>
      </c>
      <c r="J1671">
        <v>388</v>
      </c>
      <c r="K1671">
        <v>8.1</v>
      </c>
      <c r="L1671">
        <v>3142.7999999999902</v>
      </c>
    </row>
    <row r="1672" spans="1:12" x14ac:dyDescent="0.3">
      <c r="A1672">
        <v>18</v>
      </c>
      <c r="B1672">
        <v>23</v>
      </c>
      <c r="D1672">
        <v>14</v>
      </c>
      <c r="E1672">
        <v>1</v>
      </c>
      <c r="F1672">
        <v>0</v>
      </c>
      <c r="G1672">
        <v>8</v>
      </c>
      <c r="H1672" t="s">
        <v>24</v>
      </c>
      <c r="I1672" t="s">
        <v>80</v>
      </c>
      <c r="J1672">
        <v>652</v>
      </c>
      <c r="K1672">
        <v>7.9</v>
      </c>
      <c r="L1672">
        <v>5150.8</v>
      </c>
    </row>
    <row r="1673" spans="1:12" x14ac:dyDescent="0.3">
      <c r="A1673">
        <v>13</v>
      </c>
      <c r="B1673">
        <v>22</v>
      </c>
      <c r="C1673">
        <v>0</v>
      </c>
      <c r="D1673">
        <v>13</v>
      </c>
      <c r="E1673">
        <v>12</v>
      </c>
      <c r="F1673">
        <v>0</v>
      </c>
      <c r="G1673">
        <v>12</v>
      </c>
      <c r="H1673" t="s">
        <v>21</v>
      </c>
      <c r="I1673" t="s">
        <v>88</v>
      </c>
      <c r="J1673">
        <v>505</v>
      </c>
      <c r="K1673">
        <v>8.6999999999999993</v>
      </c>
      <c r="L1673">
        <v>4393.5</v>
      </c>
    </row>
    <row r="1674" spans="1:12" x14ac:dyDescent="0.3">
      <c r="A1674">
        <v>16</v>
      </c>
      <c r="B1674">
        <v>23</v>
      </c>
      <c r="C1674">
        <v>3</v>
      </c>
      <c r="D1674">
        <v>6</v>
      </c>
      <c r="E1674">
        <v>1</v>
      </c>
      <c r="F1674">
        <v>0</v>
      </c>
      <c r="G1674">
        <v>10</v>
      </c>
      <c r="H1674" t="s">
        <v>16</v>
      </c>
      <c r="I1674" t="s">
        <v>107</v>
      </c>
      <c r="J1674">
        <v>412</v>
      </c>
      <c r="K1674">
        <v>8.9</v>
      </c>
      <c r="L1674">
        <v>3666.8</v>
      </c>
    </row>
    <row r="1675" spans="1:12" x14ac:dyDescent="0.3">
      <c r="A1675">
        <v>13</v>
      </c>
      <c r="B1675">
        <v>22</v>
      </c>
      <c r="C1675">
        <v>0</v>
      </c>
      <c r="D1675">
        <v>8</v>
      </c>
      <c r="E1675">
        <v>1</v>
      </c>
      <c r="F1675">
        <v>0</v>
      </c>
      <c r="G1675">
        <v>7</v>
      </c>
      <c r="I1675" t="s">
        <v>104</v>
      </c>
      <c r="J1675">
        <v>459</v>
      </c>
      <c r="K1675">
        <v>7.4</v>
      </c>
      <c r="L1675">
        <v>3396.6</v>
      </c>
    </row>
    <row r="1676" spans="1:12" x14ac:dyDescent="0.3">
      <c r="B1676">
        <v>23</v>
      </c>
      <c r="C1676">
        <v>0</v>
      </c>
      <c r="D1676">
        <v>21</v>
      </c>
      <c r="E1676">
        <v>1</v>
      </c>
      <c r="F1676">
        <v>0</v>
      </c>
      <c r="G1676">
        <v>6</v>
      </c>
      <c r="H1676" t="s">
        <v>22</v>
      </c>
      <c r="I1676" t="s">
        <v>109</v>
      </c>
      <c r="J1676">
        <v>545</v>
      </c>
      <c r="K1676">
        <v>7.8</v>
      </c>
      <c r="L1676">
        <v>4251</v>
      </c>
    </row>
    <row r="1677" spans="1:12" x14ac:dyDescent="0.3">
      <c r="A1677">
        <v>23</v>
      </c>
      <c r="C1677">
        <v>2</v>
      </c>
      <c r="D1677">
        <v>7</v>
      </c>
      <c r="E1677">
        <v>1</v>
      </c>
      <c r="F1677">
        <v>0</v>
      </c>
      <c r="G1677">
        <v>6</v>
      </c>
      <c r="H1677" t="s">
        <v>57</v>
      </c>
      <c r="I1677" t="s">
        <v>77</v>
      </c>
      <c r="J1677">
        <v>520</v>
      </c>
      <c r="K1677">
        <v>9.1999999999999993</v>
      </c>
      <c r="L1677">
        <v>4784</v>
      </c>
    </row>
    <row r="1678" spans="1:12" x14ac:dyDescent="0.3">
      <c r="A1678">
        <v>11</v>
      </c>
      <c r="B1678">
        <v>23</v>
      </c>
      <c r="C1678">
        <v>1</v>
      </c>
      <c r="D1678">
        <v>3</v>
      </c>
      <c r="E1678">
        <v>1</v>
      </c>
      <c r="F1678">
        <v>0</v>
      </c>
      <c r="G1678">
        <v>3</v>
      </c>
      <c r="H1678" t="s">
        <v>17</v>
      </c>
      <c r="I1678" t="s">
        <v>104</v>
      </c>
      <c r="J1678">
        <v>345</v>
      </c>
      <c r="K1678">
        <v>8.6999999999999993</v>
      </c>
      <c r="L1678">
        <v>3001.49999999999</v>
      </c>
    </row>
    <row r="1679" spans="1:12" x14ac:dyDescent="0.3">
      <c r="A1679">
        <v>21</v>
      </c>
      <c r="C1679">
        <v>3</v>
      </c>
      <c r="D1679">
        <v>7</v>
      </c>
      <c r="E1679">
        <v>1</v>
      </c>
      <c r="F1679">
        <v>0</v>
      </c>
      <c r="G1679">
        <v>7</v>
      </c>
      <c r="H1679" t="s">
        <v>41</v>
      </c>
      <c r="I1679" t="s">
        <v>97</v>
      </c>
      <c r="J1679">
        <v>668</v>
      </c>
      <c r="K1679">
        <v>8.5</v>
      </c>
    </row>
    <row r="1680" spans="1:12" x14ac:dyDescent="0.3">
      <c r="A1680">
        <v>15</v>
      </c>
      <c r="B1680">
        <v>23</v>
      </c>
      <c r="C1680">
        <v>3</v>
      </c>
      <c r="D1680">
        <v>19</v>
      </c>
      <c r="E1680">
        <v>1</v>
      </c>
      <c r="F1680">
        <v>0</v>
      </c>
      <c r="G1680">
        <v>8</v>
      </c>
      <c r="H1680" t="s">
        <v>20</v>
      </c>
      <c r="I1680" t="s">
        <v>97</v>
      </c>
      <c r="J1680">
        <v>515</v>
      </c>
      <c r="K1680">
        <v>9.1</v>
      </c>
      <c r="L1680">
        <v>4686.5</v>
      </c>
    </row>
    <row r="1681" spans="1:12" x14ac:dyDescent="0.3">
      <c r="A1681">
        <v>21</v>
      </c>
      <c r="C1681">
        <v>2</v>
      </c>
      <c r="D1681">
        <v>14</v>
      </c>
      <c r="F1681">
        <v>0</v>
      </c>
      <c r="G1681">
        <v>6</v>
      </c>
      <c r="H1681" t="s">
        <v>55</v>
      </c>
      <c r="J1681">
        <v>643</v>
      </c>
      <c r="L1681" t="s">
        <v>346</v>
      </c>
    </row>
    <row r="1682" spans="1:12" x14ac:dyDescent="0.3">
      <c r="A1682">
        <v>13</v>
      </c>
      <c r="B1682">
        <v>22</v>
      </c>
      <c r="C1682">
        <v>0</v>
      </c>
      <c r="D1682">
        <v>19</v>
      </c>
      <c r="E1682">
        <v>1</v>
      </c>
      <c r="F1682">
        <v>0</v>
      </c>
      <c r="G1682">
        <v>6</v>
      </c>
      <c r="H1682" t="s">
        <v>33</v>
      </c>
      <c r="I1682" t="s">
        <v>87</v>
      </c>
      <c r="J1682">
        <v>588</v>
      </c>
      <c r="K1682">
        <v>9.3000000000000007</v>
      </c>
      <c r="L1682">
        <v>5468.4</v>
      </c>
    </row>
    <row r="1683" spans="1:12" x14ac:dyDescent="0.3">
      <c r="A1683">
        <v>16</v>
      </c>
      <c r="B1683">
        <v>22</v>
      </c>
      <c r="C1683">
        <v>2</v>
      </c>
      <c r="D1683">
        <v>8</v>
      </c>
      <c r="E1683">
        <v>12</v>
      </c>
      <c r="F1683">
        <v>0</v>
      </c>
      <c r="G1683">
        <v>4</v>
      </c>
      <c r="H1683" t="s">
        <v>36</v>
      </c>
      <c r="I1683" t="s">
        <v>79</v>
      </c>
      <c r="J1683">
        <v>488</v>
      </c>
      <c r="K1683">
        <v>8.8000000000000007</v>
      </c>
      <c r="L1683">
        <v>4294.3999999999996</v>
      </c>
    </row>
    <row r="1684" spans="1:12" x14ac:dyDescent="0.3">
      <c r="A1684">
        <v>7</v>
      </c>
      <c r="B1684">
        <v>23</v>
      </c>
      <c r="C1684">
        <v>0</v>
      </c>
      <c r="D1684">
        <v>19</v>
      </c>
      <c r="E1684">
        <v>1</v>
      </c>
      <c r="F1684">
        <v>0</v>
      </c>
      <c r="G1684">
        <v>8</v>
      </c>
      <c r="H1684" t="s">
        <v>18</v>
      </c>
      <c r="I1684" t="s">
        <v>87</v>
      </c>
      <c r="K1684">
        <v>7.7</v>
      </c>
    </row>
    <row r="1685" spans="1:12" x14ac:dyDescent="0.3">
      <c r="A1685">
        <v>22</v>
      </c>
      <c r="B1685">
        <v>23</v>
      </c>
      <c r="C1685">
        <v>2</v>
      </c>
      <c r="D1685">
        <v>11</v>
      </c>
      <c r="E1685">
        <v>1</v>
      </c>
      <c r="F1685">
        <v>0</v>
      </c>
      <c r="G1685">
        <v>8</v>
      </c>
      <c r="H1685" t="s">
        <v>25</v>
      </c>
      <c r="I1685" t="s">
        <v>95</v>
      </c>
      <c r="J1685">
        <v>664</v>
      </c>
      <c r="K1685">
        <v>8.1</v>
      </c>
      <c r="L1685">
        <v>5378.4</v>
      </c>
    </row>
    <row r="1686" spans="1:12" x14ac:dyDescent="0.3">
      <c r="B1686">
        <v>23</v>
      </c>
      <c r="C1686">
        <v>0</v>
      </c>
      <c r="D1686">
        <v>21</v>
      </c>
      <c r="E1686">
        <v>1</v>
      </c>
      <c r="F1686">
        <v>0</v>
      </c>
      <c r="G1686">
        <v>11</v>
      </c>
      <c r="H1686" t="s">
        <v>30</v>
      </c>
      <c r="I1686" t="s">
        <v>80</v>
      </c>
      <c r="J1686">
        <v>607</v>
      </c>
      <c r="K1686">
        <v>9.1999999999999993</v>
      </c>
      <c r="L1686">
        <v>5584.4</v>
      </c>
    </row>
    <row r="1687" spans="1:12" x14ac:dyDescent="0.3">
      <c r="A1687">
        <v>16</v>
      </c>
      <c r="B1687">
        <v>22</v>
      </c>
      <c r="C1687">
        <v>2</v>
      </c>
      <c r="D1687">
        <v>16</v>
      </c>
      <c r="E1687">
        <v>1</v>
      </c>
      <c r="F1687">
        <v>0</v>
      </c>
      <c r="G1687">
        <v>5</v>
      </c>
      <c r="H1687" t="s">
        <v>18</v>
      </c>
      <c r="I1687" t="s">
        <v>105</v>
      </c>
      <c r="J1687">
        <v>465</v>
      </c>
      <c r="K1687">
        <v>7.7</v>
      </c>
      <c r="L1687">
        <v>3580.5</v>
      </c>
    </row>
    <row r="1688" spans="1:12" x14ac:dyDescent="0.3">
      <c r="A1688">
        <v>21</v>
      </c>
      <c r="B1688">
        <v>22</v>
      </c>
      <c r="C1688">
        <v>2</v>
      </c>
      <c r="D1688">
        <v>19</v>
      </c>
      <c r="E1688">
        <v>12</v>
      </c>
      <c r="F1688">
        <v>0</v>
      </c>
      <c r="H1688" t="s">
        <v>51</v>
      </c>
      <c r="I1688" t="s">
        <v>124</v>
      </c>
      <c r="J1688">
        <v>756</v>
      </c>
      <c r="K1688">
        <v>8.8000000000000007</v>
      </c>
      <c r="L1688">
        <v>6652.8</v>
      </c>
    </row>
    <row r="1689" spans="1:12" x14ac:dyDescent="0.3">
      <c r="A1689">
        <v>6</v>
      </c>
      <c r="B1689">
        <v>23</v>
      </c>
      <c r="C1689">
        <v>2</v>
      </c>
      <c r="D1689">
        <v>3</v>
      </c>
      <c r="E1689">
        <v>1</v>
      </c>
      <c r="G1689">
        <v>7</v>
      </c>
      <c r="H1689" t="s">
        <v>15</v>
      </c>
      <c r="I1689" t="s">
        <v>87</v>
      </c>
      <c r="J1689">
        <v>316</v>
      </c>
      <c r="K1689">
        <v>8.3000000000000007</v>
      </c>
      <c r="L1689">
        <v>2622.8</v>
      </c>
    </row>
    <row r="1690" spans="1:12" x14ac:dyDescent="0.3">
      <c r="A1690">
        <v>22</v>
      </c>
      <c r="B1690">
        <v>22</v>
      </c>
      <c r="C1690">
        <v>2</v>
      </c>
      <c r="D1690">
        <v>20</v>
      </c>
      <c r="E1690">
        <v>1</v>
      </c>
      <c r="F1690">
        <v>0</v>
      </c>
      <c r="G1690">
        <v>12</v>
      </c>
      <c r="H1690" t="s">
        <v>24</v>
      </c>
      <c r="I1690" t="s">
        <v>131</v>
      </c>
      <c r="J1690">
        <v>614</v>
      </c>
      <c r="K1690">
        <v>7.9</v>
      </c>
      <c r="L1690">
        <v>4850.6000000000004</v>
      </c>
    </row>
    <row r="1691" spans="1:12" x14ac:dyDescent="0.3">
      <c r="A1691">
        <v>7</v>
      </c>
      <c r="B1691">
        <v>20</v>
      </c>
      <c r="C1691">
        <v>0</v>
      </c>
      <c r="D1691">
        <v>18</v>
      </c>
      <c r="E1691">
        <v>1</v>
      </c>
      <c r="F1691">
        <v>0</v>
      </c>
      <c r="G1691">
        <v>1</v>
      </c>
      <c r="H1691" t="s">
        <v>35</v>
      </c>
      <c r="I1691" t="s">
        <v>73</v>
      </c>
      <c r="J1691">
        <v>307</v>
      </c>
      <c r="K1691">
        <v>8.1999999999999993</v>
      </c>
      <c r="L1691">
        <v>2517.3999999999901</v>
      </c>
    </row>
    <row r="1692" spans="1:12" x14ac:dyDescent="0.3">
      <c r="A1692">
        <v>5</v>
      </c>
      <c r="B1692">
        <v>23</v>
      </c>
      <c r="C1692">
        <v>2</v>
      </c>
      <c r="D1692">
        <v>20</v>
      </c>
      <c r="E1692">
        <v>1</v>
      </c>
      <c r="F1692">
        <v>0</v>
      </c>
      <c r="G1692">
        <v>5</v>
      </c>
      <c r="H1692" t="s">
        <v>55</v>
      </c>
      <c r="I1692" t="s">
        <v>106</v>
      </c>
      <c r="J1692">
        <v>575</v>
      </c>
      <c r="K1692">
        <v>7.8</v>
      </c>
      <c r="L1692">
        <v>4485</v>
      </c>
    </row>
    <row r="1693" spans="1:12" x14ac:dyDescent="0.3">
      <c r="A1693">
        <v>18</v>
      </c>
      <c r="B1693">
        <v>22</v>
      </c>
      <c r="C1693">
        <v>0</v>
      </c>
      <c r="D1693">
        <v>3</v>
      </c>
      <c r="E1693">
        <v>12</v>
      </c>
      <c r="F1693">
        <v>0</v>
      </c>
      <c r="G1693">
        <v>4</v>
      </c>
      <c r="H1693" t="s">
        <v>61</v>
      </c>
      <c r="I1693" t="s">
        <v>91</v>
      </c>
      <c r="J1693">
        <v>524</v>
      </c>
      <c r="K1693">
        <v>7.4</v>
      </c>
      <c r="L1693">
        <v>3877.6</v>
      </c>
    </row>
    <row r="1694" spans="1:12" x14ac:dyDescent="0.3">
      <c r="A1694">
        <v>18</v>
      </c>
      <c r="B1694">
        <v>22</v>
      </c>
      <c r="C1694">
        <v>0</v>
      </c>
      <c r="D1694">
        <v>3</v>
      </c>
      <c r="E1694">
        <v>1</v>
      </c>
      <c r="F1694">
        <v>0</v>
      </c>
      <c r="G1694">
        <v>1</v>
      </c>
      <c r="H1694" t="s">
        <v>38</v>
      </c>
      <c r="I1694" t="s">
        <v>94</v>
      </c>
      <c r="J1694">
        <v>306</v>
      </c>
      <c r="K1694">
        <v>7.4</v>
      </c>
      <c r="L1694">
        <v>2264.4</v>
      </c>
    </row>
    <row r="1695" spans="1:12" x14ac:dyDescent="0.3">
      <c r="A1695">
        <v>16</v>
      </c>
      <c r="B1695">
        <v>23</v>
      </c>
      <c r="D1695">
        <v>15</v>
      </c>
      <c r="E1695">
        <v>1</v>
      </c>
      <c r="F1695">
        <v>0</v>
      </c>
      <c r="G1695">
        <v>12</v>
      </c>
      <c r="H1695" t="s">
        <v>23</v>
      </c>
      <c r="I1695" t="s">
        <v>81</v>
      </c>
      <c r="J1695">
        <v>684</v>
      </c>
      <c r="K1695">
        <v>8.4</v>
      </c>
      <c r="L1695">
        <v>5745.6</v>
      </c>
    </row>
    <row r="1696" spans="1:12" x14ac:dyDescent="0.3">
      <c r="A1696">
        <v>11</v>
      </c>
      <c r="B1696">
        <v>23</v>
      </c>
      <c r="C1696">
        <v>0</v>
      </c>
      <c r="D1696">
        <v>9</v>
      </c>
      <c r="E1696">
        <v>1</v>
      </c>
      <c r="F1696">
        <v>0</v>
      </c>
      <c r="G1696">
        <v>9</v>
      </c>
      <c r="H1696" t="s">
        <v>15</v>
      </c>
      <c r="I1696" t="s">
        <v>80</v>
      </c>
      <c r="J1696">
        <v>442</v>
      </c>
      <c r="K1696">
        <v>8.3000000000000007</v>
      </c>
      <c r="L1696">
        <v>3668.6</v>
      </c>
    </row>
    <row r="1697" spans="1:12" x14ac:dyDescent="0.3">
      <c r="A1697">
        <v>19</v>
      </c>
      <c r="B1697">
        <v>22</v>
      </c>
      <c r="C1697">
        <v>3</v>
      </c>
      <c r="D1697">
        <v>14</v>
      </c>
      <c r="E1697">
        <v>12</v>
      </c>
      <c r="F1697">
        <v>0</v>
      </c>
      <c r="G1697">
        <v>10</v>
      </c>
      <c r="H1697" t="s">
        <v>52</v>
      </c>
      <c r="I1697" t="s">
        <v>72</v>
      </c>
      <c r="J1697">
        <v>692</v>
      </c>
      <c r="K1697">
        <v>9.3000000000000007</v>
      </c>
      <c r="L1697">
        <v>6435.6</v>
      </c>
    </row>
    <row r="1698" spans="1:12" x14ac:dyDescent="0.3">
      <c r="A1698">
        <v>14</v>
      </c>
      <c r="B1698">
        <v>22</v>
      </c>
      <c r="C1698">
        <v>0</v>
      </c>
      <c r="D1698">
        <v>4</v>
      </c>
      <c r="E1698">
        <v>1</v>
      </c>
      <c r="F1698">
        <v>0</v>
      </c>
      <c r="G1698">
        <v>4</v>
      </c>
      <c r="H1698" t="s">
        <v>33</v>
      </c>
      <c r="I1698" t="s">
        <v>75</v>
      </c>
      <c r="K1698">
        <v>9.3000000000000007</v>
      </c>
      <c r="L1698">
        <v>2538.9</v>
      </c>
    </row>
    <row r="1699" spans="1:12" x14ac:dyDescent="0.3">
      <c r="A1699">
        <v>16</v>
      </c>
      <c r="B1699">
        <v>22</v>
      </c>
      <c r="C1699">
        <v>3</v>
      </c>
      <c r="D1699">
        <v>20</v>
      </c>
      <c r="E1699">
        <v>1</v>
      </c>
      <c r="F1699">
        <v>0</v>
      </c>
      <c r="G1699">
        <v>4</v>
      </c>
      <c r="H1699" t="s">
        <v>21</v>
      </c>
      <c r="I1699" t="s">
        <v>96</v>
      </c>
      <c r="J1699" t="s">
        <v>214</v>
      </c>
      <c r="K1699">
        <v>8.6999999999999993</v>
      </c>
      <c r="L1699">
        <v>5446.2</v>
      </c>
    </row>
    <row r="1700" spans="1:12" x14ac:dyDescent="0.3">
      <c r="A1700">
        <v>22</v>
      </c>
      <c r="B1700">
        <v>23</v>
      </c>
      <c r="C1700">
        <v>2</v>
      </c>
      <c r="D1700">
        <v>13</v>
      </c>
      <c r="E1700">
        <v>1</v>
      </c>
      <c r="F1700">
        <v>0</v>
      </c>
      <c r="G1700">
        <v>12</v>
      </c>
      <c r="H1700" t="s">
        <v>21</v>
      </c>
      <c r="I1700" t="s">
        <v>109</v>
      </c>
      <c r="J1700">
        <v>727</v>
      </c>
      <c r="K1700">
        <v>8.6999999999999993</v>
      </c>
      <c r="L1700">
        <v>6324.9</v>
      </c>
    </row>
    <row r="1701" spans="1:12" x14ac:dyDescent="0.3">
      <c r="A1701">
        <v>22</v>
      </c>
      <c r="B1701">
        <v>22</v>
      </c>
      <c r="C1701">
        <v>0</v>
      </c>
      <c r="D1701">
        <v>11</v>
      </c>
      <c r="E1701">
        <v>1</v>
      </c>
      <c r="F1701">
        <v>0</v>
      </c>
      <c r="G1701">
        <v>10</v>
      </c>
      <c r="H1701" t="s">
        <v>26</v>
      </c>
      <c r="I1701" t="s">
        <v>84</v>
      </c>
      <c r="J1701">
        <v>607</v>
      </c>
      <c r="K1701">
        <v>8.5</v>
      </c>
      <c r="L1701">
        <v>5159.5</v>
      </c>
    </row>
    <row r="1702" spans="1:12" x14ac:dyDescent="0.3">
      <c r="A1702">
        <v>13</v>
      </c>
      <c r="B1702">
        <v>22</v>
      </c>
      <c r="C1702">
        <v>2</v>
      </c>
      <c r="E1702">
        <v>1</v>
      </c>
      <c r="F1702">
        <v>0</v>
      </c>
      <c r="G1702">
        <v>9</v>
      </c>
      <c r="H1702" t="s">
        <v>16</v>
      </c>
      <c r="I1702" t="s">
        <v>92</v>
      </c>
      <c r="J1702">
        <v>680</v>
      </c>
      <c r="K1702">
        <v>8.9</v>
      </c>
      <c r="L1702">
        <v>6052</v>
      </c>
    </row>
    <row r="1703" spans="1:12" x14ac:dyDescent="0.3">
      <c r="A1703">
        <v>5</v>
      </c>
      <c r="B1703">
        <v>22</v>
      </c>
      <c r="D1703">
        <v>19</v>
      </c>
      <c r="E1703">
        <v>1</v>
      </c>
      <c r="F1703">
        <v>0</v>
      </c>
      <c r="G1703">
        <v>1</v>
      </c>
      <c r="H1703" t="s">
        <v>16</v>
      </c>
      <c r="I1703" t="s">
        <v>80</v>
      </c>
      <c r="J1703">
        <v>651</v>
      </c>
      <c r="K1703">
        <v>8.9</v>
      </c>
    </row>
    <row r="1704" spans="1:12" x14ac:dyDescent="0.3">
      <c r="A1704">
        <v>11</v>
      </c>
      <c r="B1704">
        <v>22</v>
      </c>
      <c r="C1704">
        <v>3</v>
      </c>
      <c r="D1704">
        <v>4</v>
      </c>
      <c r="E1704">
        <v>1</v>
      </c>
      <c r="F1704">
        <v>0</v>
      </c>
      <c r="G1704">
        <v>6</v>
      </c>
      <c r="H1704" t="s">
        <v>20</v>
      </c>
      <c r="I1704" t="s">
        <v>96</v>
      </c>
      <c r="J1704">
        <v>340</v>
      </c>
      <c r="K1704">
        <v>9.1</v>
      </c>
      <c r="L1704">
        <v>3094</v>
      </c>
    </row>
    <row r="1705" spans="1:12" x14ac:dyDescent="0.3">
      <c r="A1705">
        <v>14</v>
      </c>
      <c r="B1705">
        <v>22</v>
      </c>
      <c r="C1705">
        <v>1</v>
      </c>
      <c r="E1705">
        <v>12</v>
      </c>
      <c r="F1705">
        <v>0</v>
      </c>
      <c r="G1705">
        <v>2</v>
      </c>
      <c r="H1705" t="s">
        <v>21</v>
      </c>
      <c r="I1705" t="s">
        <v>94</v>
      </c>
      <c r="J1705" t="s">
        <v>169</v>
      </c>
      <c r="K1705">
        <v>8.6999999999999993</v>
      </c>
      <c r="L1705">
        <v>5507.0999999999904</v>
      </c>
    </row>
    <row r="1706" spans="1:12" x14ac:dyDescent="0.3">
      <c r="A1706">
        <v>8</v>
      </c>
      <c r="B1706">
        <v>20</v>
      </c>
      <c r="C1706">
        <v>3</v>
      </c>
      <c r="D1706">
        <v>16</v>
      </c>
      <c r="E1706">
        <v>1</v>
      </c>
      <c r="F1706">
        <v>0</v>
      </c>
      <c r="G1706">
        <v>10</v>
      </c>
      <c r="H1706" t="s">
        <v>45</v>
      </c>
      <c r="I1706" t="s">
        <v>105</v>
      </c>
      <c r="J1706" t="s">
        <v>215</v>
      </c>
      <c r="K1706">
        <v>7.9</v>
      </c>
      <c r="L1706">
        <v>4226.5</v>
      </c>
    </row>
    <row r="1707" spans="1:12" x14ac:dyDescent="0.3">
      <c r="A1707">
        <v>6</v>
      </c>
      <c r="B1707">
        <v>17</v>
      </c>
      <c r="C1707">
        <v>0</v>
      </c>
      <c r="D1707">
        <v>21</v>
      </c>
      <c r="E1707">
        <v>1</v>
      </c>
      <c r="F1707">
        <v>0</v>
      </c>
      <c r="G1707">
        <v>10</v>
      </c>
      <c r="H1707" t="s">
        <v>15</v>
      </c>
      <c r="I1707" t="s">
        <v>77</v>
      </c>
      <c r="K1707">
        <v>8.3000000000000007</v>
      </c>
      <c r="L1707">
        <v>4374.1000000000004</v>
      </c>
    </row>
    <row r="1708" spans="1:12" x14ac:dyDescent="0.3">
      <c r="A1708">
        <v>5</v>
      </c>
      <c r="C1708">
        <v>2</v>
      </c>
      <c r="D1708">
        <v>6</v>
      </c>
      <c r="E1708">
        <v>1</v>
      </c>
      <c r="G1708">
        <v>10</v>
      </c>
      <c r="H1708" t="s">
        <v>23</v>
      </c>
      <c r="I1708" t="s">
        <v>92</v>
      </c>
      <c r="J1708">
        <v>419</v>
      </c>
      <c r="K1708">
        <v>8.4</v>
      </c>
      <c r="L1708" t="s">
        <v>347</v>
      </c>
    </row>
    <row r="1709" spans="1:12" x14ac:dyDescent="0.3">
      <c r="A1709">
        <v>6</v>
      </c>
      <c r="B1709">
        <v>21</v>
      </c>
      <c r="C1709">
        <v>0</v>
      </c>
      <c r="D1709">
        <v>3</v>
      </c>
      <c r="E1709">
        <v>7</v>
      </c>
      <c r="F1709">
        <v>0</v>
      </c>
      <c r="G1709">
        <v>8</v>
      </c>
      <c r="H1709" t="s">
        <v>24</v>
      </c>
      <c r="I1709" t="s">
        <v>70</v>
      </c>
      <c r="J1709">
        <v>298</v>
      </c>
      <c r="K1709">
        <v>7.9</v>
      </c>
      <c r="L1709">
        <v>2354.1999999999998</v>
      </c>
    </row>
    <row r="1710" spans="1:12" x14ac:dyDescent="0.3">
      <c r="A1710">
        <v>15</v>
      </c>
      <c r="B1710">
        <v>22</v>
      </c>
      <c r="C1710">
        <v>2</v>
      </c>
      <c r="D1710">
        <v>6</v>
      </c>
      <c r="E1710">
        <v>1</v>
      </c>
      <c r="F1710">
        <v>0</v>
      </c>
      <c r="G1710">
        <v>7</v>
      </c>
      <c r="H1710" t="s">
        <v>58</v>
      </c>
      <c r="I1710" t="s">
        <v>87</v>
      </c>
      <c r="J1710">
        <v>569</v>
      </c>
      <c r="K1710">
        <v>8.4</v>
      </c>
      <c r="L1710">
        <v>4779.6000000000004</v>
      </c>
    </row>
    <row r="1711" spans="1:12" x14ac:dyDescent="0.3">
      <c r="A1711">
        <v>19</v>
      </c>
      <c r="B1711">
        <v>23</v>
      </c>
      <c r="C1711">
        <v>2</v>
      </c>
      <c r="D1711">
        <v>6</v>
      </c>
      <c r="E1711">
        <v>1</v>
      </c>
      <c r="F1711">
        <v>0</v>
      </c>
      <c r="G1711">
        <v>3</v>
      </c>
      <c r="H1711" t="s">
        <v>36</v>
      </c>
      <c r="I1711" t="s">
        <v>80</v>
      </c>
      <c r="J1711">
        <v>578</v>
      </c>
      <c r="K1711">
        <v>8.8000000000000007</v>
      </c>
      <c r="L1711">
        <v>5086.3999999999996</v>
      </c>
    </row>
    <row r="1712" spans="1:12" x14ac:dyDescent="0.3">
      <c r="A1712">
        <v>18</v>
      </c>
      <c r="B1712">
        <v>23</v>
      </c>
      <c r="C1712">
        <v>0</v>
      </c>
      <c r="D1712">
        <v>6</v>
      </c>
      <c r="E1712">
        <v>12</v>
      </c>
      <c r="F1712">
        <v>0</v>
      </c>
      <c r="G1712">
        <v>12</v>
      </c>
      <c r="H1712" t="s">
        <v>38</v>
      </c>
      <c r="I1712" t="s">
        <v>105</v>
      </c>
      <c r="J1712">
        <v>682</v>
      </c>
      <c r="K1712">
        <v>7.4</v>
      </c>
      <c r="L1712">
        <v>5046.8</v>
      </c>
    </row>
    <row r="1713" spans="1:12" x14ac:dyDescent="0.3">
      <c r="A1713">
        <v>16</v>
      </c>
      <c r="B1713">
        <v>23</v>
      </c>
      <c r="D1713">
        <v>10</v>
      </c>
      <c r="E1713">
        <v>1</v>
      </c>
      <c r="F1713">
        <v>0</v>
      </c>
      <c r="G1713">
        <v>9</v>
      </c>
      <c r="H1713" t="s">
        <v>32</v>
      </c>
      <c r="I1713" t="s">
        <v>87</v>
      </c>
      <c r="J1713" t="s">
        <v>216</v>
      </c>
      <c r="K1713">
        <v>7.6</v>
      </c>
      <c r="L1713">
        <v>2781.6</v>
      </c>
    </row>
    <row r="1714" spans="1:12" x14ac:dyDescent="0.3">
      <c r="A1714">
        <v>16</v>
      </c>
      <c r="C1714">
        <v>2</v>
      </c>
      <c r="D1714">
        <v>13</v>
      </c>
      <c r="E1714">
        <v>12</v>
      </c>
      <c r="F1714">
        <v>0</v>
      </c>
      <c r="G1714">
        <v>4</v>
      </c>
      <c r="H1714" t="s">
        <v>25</v>
      </c>
      <c r="I1714" t="s">
        <v>80</v>
      </c>
      <c r="J1714">
        <v>556</v>
      </c>
      <c r="K1714">
        <v>8.1</v>
      </c>
    </row>
    <row r="1715" spans="1:12" x14ac:dyDescent="0.3">
      <c r="A1715">
        <v>18</v>
      </c>
      <c r="B1715">
        <v>22</v>
      </c>
      <c r="C1715">
        <v>3</v>
      </c>
      <c r="D1715">
        <v>14</v>
      </c>
      <c r="E1715">
        <v>1</v>
      </c>
      <c r="F1715">
        <v>0</v>
      </c>
      <c r="H1715" t="s">
        <v>61</v>
      </c>
      <c r="I1715" t="s">
        <v>96</v>
      </c>
      <c r="K1715">
        <v>7.4</v>
      </c>
      <c r="L1715" t="s">
        <v>348</v>
      </c>
    </row>
    <row r="1716" spans="1:12" x14ac:dyDescent="0.3">
      <c r="A1716">
        <v>7</v>
      </c>
      <c r="B1716">
        <v>18</v>
      </c>
      <c r="C1716">
        <v>0</v>
      </c>
      <c r="D1716">
        <v>8</v>
      </c>
      <c r="E1716">
        <v>1</v>
      </c>
      <c r="F1716">
        <v>0</v>
      </c>
      <c r="G1716">
        <v>4</v>
      </c>
      <c r="H1716" t="s">
        <v>36</v>
      </c>
      <c r="I1716" t="s">
        <v>77</v>
      </c>
      <c r="J1716" t="s">
        <v>217</v>
      </c>
      <c r="K1716">
        <v>8.8000000000000007</v>
      </c>
    </row>
    <row r="1717" spans="1:12" x14ac:dyDescent="0.3">
      <c r="A1717">
        <v>18</v>
      </c>
      <c r="B1717">
        <v>23</v>
      </c>
      <c r="C1717">
        <v>3</v>
      </c>
      <c r="E1717">
        <v>1</v>
      </c>
      <c r="F1717">
        <v>0</v>
      </c>
      <c r="G1717">
        <v>9</v>
      </c>
      <c r="H1717" t="s">
        <v>61</v>
      </c>
      <c r="I1717" t="s">
        <v>85</v>
      </c>
      <c r="J1717" t="s">
        <v>218</v>
      </c>
      <c r="K1717">
        <v>7.4</v>
      </c>
      <c r="L1717">
        <v>4810</v>
      </c>
    </row>
    <row r="1718" spans="1:12" x14ac:dyDescent="0.3">
      <c r="A1718">
        <v>20</v>
      </c>
      <c r="B1718">
        <v>22</v>
      </c>
      <c r="C1718">
        <v>3</v>
      </c>
      <c r="D1718">
        <v>9</v>
      </c>
      <c r="E1718">
        <v>1</v>
      </c>
      <c r="F1718">
        <v>0</v>
      </c>
      <c r="G1718">
        <v>7</v>
      </c>
      <c r="H1718" t="s">
        <v>38</v>
      </c>
      <c r="I1718" t="s">
        <v>89</v>
      </c>
      <c r="J1718">
        <v>584</v>
      </c>
      <c r="L1718">
        <v>4321.6000000000004</v>
      </c>
    </row>
    <row r="1719" spans="1:12" x14ac:dyDescent="0.3">
      <c r="B1719">
        <v>23</v>
      </c>
      <c r="C1719">
        <v>3</v>
      </c>
      <c r="D1719">
        <v>3</v>
      </c>
      <c r="E1719">
        <v>1</v>
      </c>
      <c r="F1719">
        <v>0</v>
      </c>
      <c r="G1719">
        <v>4</v>
      </c>
      <c r="H1719" t="s">
        <v>21</v>
      </c>
      <c r="I1719" t="s">
        <v>97</v>
      </c>
      <c r="J1719">
        <v>508</v>
      </c>
      <c r="K1719">
        <v>8.6999999999999993</v>
      </c>
      <c r="L1719">
        <v>4419.5999999999904</v>
      </c>
    </row>
    <row r="1720" spans="1:12" x14ac:dyDescent="0.3">
      <c r="A1720">
        <v>8</v>
      </c>
      <c r="C1720">
        <v>0</v>
      </c>
      <c r="D1720">
        <v>20</v>
      </c>
      <c r="E1720">
        <v>7</v>
      </c>
      <c r="F1720">
        <v>0</v>
      </c>
      <c r="G1720">
        <v>8</v>
      </c>
      <c r="H1720" t="s">
        <v>43</v>
      </c>
      <c r="I1720" t="s">
        <v>79</v>
      </c>
      <c r="J1720">
        <v>395</v>
      </c>
      <c r="K1720">
        <v>7.6</v>
      </c>
      <c r="L1720">
        <v>3002</v>
      </c>
    </row>
    <row r="1721" spans="1:12" x14ac:dyDescent="0.3">
      <c r="A1721">
        <v>19</v>
      </c>
      <c r="B1721">
        <v>23</v>
      </c>
      <c r="D1721">
        <v>15</v>
      </c>
      <c r="E1721">
        <v>12</v>
      </c>
      <c r="F1721">
        <v>0</v>
      </c>
      <c r="G1721">
        <v>11</v>
      </c>
      <c r="H1721" t="s">
        <v>22</v>
      </c>
      <c r="I1721" t="s">
        <v>76</v>
      </c>
      <c r="J1721">
        <v>657</v>
      </c>
      <c r="K1721">
        <v>7.8</v>
      </c>
      <c r="L1721">
        <v>5124.5999999999904</v>
      </c>
    </row>
    <row r="1722" spans="1:12" x14ac:dyDescent="0.3">
      <c r="A1722">
        <v>9</v>
      </c>
      <c r="B1722">
        <v>17</v>
      </c>
      <c r="C1722">
        <v>0</v>
      </c>
      <c r="D1722">
        <v>16</v>
      </c>
      <c r="E1722">
        <v>1</v>
      </c>
      <c r="F1722">
        <v>0</v>
      </c>
      <c r="G1722">
        <v>6</v>
      </c>
      <c r="H1722" t="s">
        <v>18</v>
      </c>
      <c r="I1722" t="s">
        <v>109</v>
      </c>
      <c r="J1722">
        <v>398</v>
      </c>
      <c r="K1722">
        <v>7.7</v>
      </c>
      <c r="L1722">
        <v>3064.6</v>
      </c>
    </row>
    <row r="1723" spans="1:12" x14ac:dyDescent="0.3">
      <c r="A1723">
        <v>19</v>
      </c>
      <c r="B1723">
        <v>22</v>
      </c>
      <c r="C1723">
        <v>2</v>
      </c>
      <c r="D1723">
        <v>21</v>
      </c>
      <c r="E1723">
        <v>12</v>
      </c>
      <c r="F1723">
        <v>0</v>
      </c>
      <c r="G1723">
        <v>3</v>
      </c>
      <c r="H1723" t="s">
        <v>18</v>
      </c>
      <c r="I1723" t="s">
        <v>82</v>
      </c>
      <c r="J1723">
        <v>829</v>
      </c>
      <c r="K1723">
        <v>7.7</v>
      </c>
      <c r="L1723" t="s">
        <v>349</v>
      </c>
    </row>
    <row r="1724" spans="1:12" x14ac:dyDescent="0.3">
      <c r="A1724">
        <v>9</v>
      </c>
      <c r="B1724">
        <v>20</v>
      </c>
      <c r="C1724">
        <v>2</v>
      </c>
      <c r="D1724">
        <v>16</v>
      </c>
      <c r="E1724">
        <v>1</v>
      </c>
      <c r="F1724">
        <v>0</v>
      </c>
      <c r="G1724">
        <v>11</v>
      </c>
      <c r="H1724" t="s">
        <v>58</v>
      </c>
      <c r="I1724" t="s">
        <v>72</v>
      </c>
      <c r="J1724" t="s">
        <v>219</v>
      </c>
      <c r="K1724">
        <v>8.4</v>
      </c>
      <c r="L1724">
        <v>4443.6000000000004</v>
      </c>
    </row>
    <row r="1725" spans="1:12" x14ac:dyDescent="0.3">
      <c r="A1725">
        <v>22</v>
      </c>
      <c r="B1725">
        <v>22</v>
      </c>
      <c r="C1725">
        <v>0</v>
      </c>
      <c r="D1725">
        <v>7</v>
      </c>
      <c r="E1725">
        <v>12</v>
      </c>
      <c r="F1725">
        <v>0</v>
      </c>
      <c r="G1725">
        <v>4</v>
      </c>
      <c r="H1725" t="s">
        <v>23</v>
      </c>
      <c r="I1725" t="s">
        <v>92</v>
      </c>
      <c r="J1725">
        <v>673</v>
      </c>
      <c r="K1725">
        <v>8.4</v>
      </c>
      <c r="L1725">
        <v>5653.2</v>
      </c>
    </row>
    <row r="1726" spans="1:12" x14ac:dyDescent="0.3">
      <c r="A1726">
        <v>18</v>
      </c>
      <c r="B1726">
        <v>23</v>
      </c>
      <c r="C1726">
        <v>2</v>
      </c>
      <c r="D1726">
        <v>13</v>
      </c>
      <c r="E1726">
        <v>1</v>
      </c>
      <c r="F1726">
        <v>0</v>
      </c>
      <c r="G1726">
        <v>8</v>
      </c>
      <c r="H1726" t="s">
        <v>33</v>
      </c>
      <c r="I1726" t="s">
        <v>115</v>
      </c>
      <c r="K1726">
        <v>9.3000000000000007</v>
      </c>
      <c r="L1726">
        <v>5468.4</v>
      </c>
    </row>
    <row r="1727" spans="1:12" x14ac:dyDescent="0.3">
      <c r="A1727">
        <v>18</v>
      </c>
      <c r="B1727">
        <v>23</v>
      </c>
      <c r="C1727">
        <v>1</v>
      </c>
      <c r="D1727">
        <v>18</v>
      </c>
      <c r="E1727">
        <v>12</v>
      </c>
      <c r="F1727">
        <v>0</v>
      </c>
      <c r="I1727" t="s">
        <v>78</v>
      </c>
      <c r="K1727">
        <v>7.6</v>
      </c>
      <c r="L1727">
        <v>5700</v>
      </c>
    </row>
    <row r="1728" spans="1:12" x14ac:dyDescent="0.3">
      <c r="A1728">
        <v>11</v>
      </c>
      <c r="B1728">
        <v>23</v>
      </c>
      <c r="C1728">
        <v>0</v>
      </c>
      <c r="D1728">
        <v>21</v>
      </c>
      <c r="E1728">
        <v>12</v>
      </c>
      <c r="F1728">
        <v>0</v>
      </c>
      <c r="G1728">
        <v>11</v>
      </c>
      <c r="H1728" t="s">
        <v>48</v>
      </c>
      <c r="I1728" t="s">
        <v>78</v>
      </c>
      <c r="J1728">
        <v>574</v>
      </c>
      <c r="K1728" t="s">
        <v>242</v>
      </c>
      <c r="L1728">
        <v>4993.7999999999902</v>
      </c>
    </row>
    <row r="1729" spans="1:12" x14ac:dyDescent="0.3">
      <c r="A1729">
        <v>9</v>
      </c>
      <c r="B1729">
        <v>18</v>
      </c>
      <c r="C1729">
        <v>0</v>
      </c>
      <c r="E1729">
        <v>1</v>
      </c>
      <c r="F1729">
        <v>0</v>
      </c>
      <c r="G1729">
        <v>8</v>
      </c>
      <c r="H1729" t="s">
        <v>35</v>
      </c>
      <c r="I1729" t="s">
        <v>83</v>
      </c>
      <c r="J1729">
        <v>327</v>
      </c>
      <c r="K1729">
        <v>8.1999999999999993</v>
      </c>
      <c r="L1729">
        <v>2681.3999999999901</v>
      </c>
    </row>
    <row r="1730" spans="1:12" x14ac:dyDescent="0.3">
      <c r="A1730">
        <v>13</v>
      </c>
      <c r="B1730">
        <v>22</v>
      </c>
      <c r="C1730">
        <v>0</v>
      </c>
      <c r="D1730">
        <v>10</v>
      </c>
      <c r="E1730">
        <v>12</v>
      </c>
      <c r="F1730">
        <v>0</v>
      </c>
      <c r="G1730">
        <v>12</v>
      </c>
      <c r="H1730" t="s">
        <v>18</v>
      </c>
      <c r="I1730" t="s">
        <v>107</v>
      </c>
      <c r="J1730">
        <v>547</v>
      </c>
      <c r="K1730">
        <v>7.7</v>
      </c>
      <c r="L1730">
        <v>4211.8999999999996</v>
      </c>
    </row>
    <row r="1731" spans="1:12" x14ac:dyDescent="0.3">
      <c r="A1731">
        <v>17</v>
      </c>
      <c r="B1731">
        <v>22</v>
      </c>
      <c r="D1731">
        <v>15</v>
      </c>
      <c r="E1731">
        <v>1</v>
      </c>
      <c r="F1731">
        <v>0</v>
      </c>
      <c r="G1731">
        <v>2</v>
      </c>
      <c r="H1731" t="s">
        <v>38</v>
      </c>
      <c r="I1731" t="s">
        <v>109</v>
      </c>
      <c r="K1731">
        <v>7.4</v>
      </c>
      <c r="L1731">
        <v>4551</v>
      </c>
    </row>
    <row r="1732" spans="1:12" x14ac:dyDescent="0.3">
      <c r="A1732">
        <v>6</v>
      </c>
      <c r="B1732">
        <v>23</v>
      </c>
      <c r="C1732">
        <v>1</v>
      </c>
      <c r="D1732">
        <v>5</v>
      </c>
      <c r="E1732">
        <v>1</v>
      </c>
      <c r="F1732">
        <v>0</v>
      </c>
      <c r="G1732">
        <v>6</v>
      </c>
      <c r="H1732" t="s">
        <v>52</v>
      </c>
      <c r="I1732" t="s">
        <v>76</v>
      </c>
      <c r="J1732">
        <v>327</v>
      </c>
      <c r="K1732" t="s">
        <v>247</v>
      </c>
      <c r="L1732">
        <v>3041.1</v>
      </c>
    </row>
    <row r="1733" spans="1:12" x14ac:dyDescent="0.3">
      <c r="A1733">
        <v>20</v>
      </c>
      <c r="B1733">
        <v>23</v>
      </c>
      <c r="C1733">
        <v>3</v>
      </c>
      <c r="D1733">
        <v>6</v>
      </c>
      <c r="E1733">
        <v>1</v>
      </c>
      <c r="F1733">
        <v>0</v>
      </c>
      <c r="G1733">
        <v>3</v>
      </c>
      <c r="H1733" t="s">
        <v>33</v>
      </c>
      <c r="I1733" t="s">
        <v>91</v>
      </c>
      <c r="J1733" t="s">
        <v>220</v>
      </c>
      <c r="K1733">
        <v>9.3000000000000007</v>
      </c>
      <c r="L1733">
        <v>5068.5</v>
      </c>
    </row>
    <row r="1734" spans="1:12" x14ac:dyDescent="0.3">
      <c r="A1734">
        <v>13</v>
      </c>
      <c r="B1734">
        <v>22</v>
      </c>
      <c r="D1734">
        <v>4</v>
      </c>
      <c r="E1734">
        <v>12</v>
      </c>
      <c r="F1734">
        <v>0</v>
      </c>
      <c r="G1734">
        <v>1</v>
      </c>
      <c r="H1734" t="s">
        <v>33</v>
      </c>
      <c r="I1734" t="s">
        <v>80</v>
      </c>
      <c r="J1734">
        <v>653</v>
      </c>
      <c r="K1734">
        <v>9.3000000000000007</v>
      </c>
      <c r="L1734">
        <v>6072.9</v>
      </c>
    </row>
    <row r="1735" spans="1:12" x14ac:dyDescent="0.3">
      <c r="A1735">
        <v>12</v>
      </c>
      <c r="B1735">
        <v>23</v>
      </c>
      <c r="C1735">
        <v>3</v>
      </c>
      <c r="D1735">
        <v>16</v>
      </c>
      <c r="E1735">
        <v>1</v>
      </c>
      <c r="F1735">
        <v>0</v>
      </c>
      <c r="G1735">
        <v>7</v>
      </c>
      <c r="H1735" t="s">
        <v>32</v>
      </c>
      <c r="I1735" t="s">
        <v>109</v>
      </c>
      <c r="K1735">
        <v>7.6</v>
      </c>
      <c r="L1735">
        <v>4164.8</v>
      </c>
    </row>
    <row r="1736" spans="1:12" x14ac:dyDescent="0.3">
      <c r="A1736">
        <v>12</v>
      </c>
      <c r="B1736">
        <v>22</v>
      </c>
      <c r="C1736">
        <v>3</v>
      </c>
      <c r="D1736">
        <v>12</v>
      </c>
      <c r="E1736">
        <v>1</v>
      </c>
      <c r="F1736">
        <v>0</v>
      </c>
      <c r="G1736">
        <v>7</v>
      </c>
      <c r="H1736" t="s">
        <v>19</v>
      </c>
      <c r="I1736" t="s">
        <v>90</v>
      </c>
      <c r="J1736">
        <v>432</v>
      </c>
      <c r="K1736" t="s">
        <v>236</v>
      </c>
      <c r="L1736">
        <v>3844.8</v>
      </c>
    </row>
    <row r="1737" spans="1:12" x14ac:dyDescent="0.3">
      <c r="A1737">
        <v>10</v>
      </c>
      <c r="B1737">
        <v>17</v>
      </c>
      <c r="C1737">
        <v>2</v>
      </c>
      <c r="D1737">
        <v>4</v>
      </c>
      <c r="E1737">
        <v>1</v>
      </c>
      <c r="F1737">
        <v>0</v>
      </c>
      <c r="G1737">
        <v>8</v>
      </c>
      <c r="I1737" t="s">
        <v>81</v>
      </c>
      <c r="J1737">
        <v>225</v>
      </c>
      <c r="K1737">
        <v>9.1</v>
      </c>
      <c r="L1737">
        <v>2047.5</v>
      </c>
    </row>
    <row r="1738" spans="1:12" x14ac:dyDescent="0.3">
      <c r="A1738">
        <v>5</v>
      </c>
      <c r="B1738">
        <v>19</v>
      </c>
      <c r="C1738">
        <v>2</v>
      </c>
      <c r="D1738">
        <v>16</v>
      </c>
      <c r="E1738">
        <v>1</v>
      </c>
      <c r="F1738">
        <v>0</v>
      </c>
      <c r="H1738" t="s">
        <v>15</v>
      </c>
      <c r="I1738" t="s">
        <v>93</v>
      </c>
      <c r="J1738">
        <v>455</v>
      </c>
      <c r="K1738">
        <v>8.3000000000000007</v>
      </c>
      <c r="L1738">
        <v>3776.5</v>
      </c>
    </row>
    <row r="1739" spans="1:12" x14ac:dyDescent="0.3">
      <c r="A1739">
        <v>10</v>
      </c>
      <c r="B1739">
        <v>18</v>
      </c>
      <c r="C1739">
        <v>2</v>
      </c>
      <c r="D1739">
        <v>8</v>
      </c>
      <c r="E1739">
        <v>7</v>
      </c>
      <c r="F1739">
        <v>0</v>
      </c>
      <c r="G1739">
        <v>6</v>
      </c>
      <c r="H1739" t="s">
        <v>35</v>
      </c>
      <c r="I1739" t="s">
        <v>120</v>
      </c>
      <c r="J1739">
        <v>559</v>
      </c>
      <c r="K1739">
        <v>8.1999999999999993</v>
      </c>
      <c r="L1739">
        <v>4583.7999999999902</v>
      </c>
    </row>
    <row r="1740" spans="1:12" x14ac:dyDescent="0.3">
      <c r="A1740">
        <v>22</v>
      </c>
      <c r="B1740">
        <v>23</v>
      </c>
      <c r="C1740">
        <v>3</v>
      </c>
      <c r="E1740">
        <v>1</v>
      </c>
      <c r="F1740">
        <v>0</v>
      </c>
      <c r="G1740">
        <v>1</v>
      </c>
      <c r="H1740" t="s">
        <v>47</v>
      </c>
      <c r="I1740" t="s">
        <v>76</v>
      </c>
      <c r="J1740">
        <v>700</v>
      </c>
      <c r="K1740">
        <v>9.1</v>
      </c>
      <c r="L1740">
        <v>6370</v>
      </c>
    </row>
    <row r="1741" spans="1:12" x14ac:dyDescent="0.3">
      <c r="A1741">
        <v>11</v>
      </c>
      <c r="B1741">
        <v>22</v>
      </c>
      <c r="C1741">
        <v>2</v>
      </c>
      <c r="E1741">
        <v>1</v>
      </c>
      <c r="F1741">
        <v>0</v>
      </c>
      <c r="H1741" t="s">
        <v>36</v>
      </c>
      <c r="I1741" t="s">
        <v>124</v>
      </c>
      <c r="J1741">
        <v>589</v>
      </c>
      <c r="K1741">
        <v>8.8000000000000007</v>
      </c>
      <c r="L1741">
        <v>5183.2</v>
      </c>
    </row>
    <row r="1742" spans="1:12" x14ac:dyDescent="0.3">
      <c r="A1742">
        <v>16</v>
      </c>
      <c r="B1742">
        <v>22</v>
      </c>
      <c r="C1742">
        <v>3</v>
      </c>
      <c r="D1742">
        <v>14</v>
      </c>
      <c r="E1742">
        <v>1</v>
      </c>
      <c r="F1742">
        <v>0</v>
      </c>
      <c r="G1742">
        <v>10</v>
      </c>
      <c r="H1742" t="s">
        <v>20</v>
      </c>
      <c r="I1742" t="s">
        <v>75</v>
      </c>
      <c r="J1742">
        <v>470</v>
      </c>
      <c r="K1742">
        <v>9.1</v>
      </c>
      <c r="L1742">
        <v>4277</v>
      </c>
    </row>
    <row r="1743" spans="1:12" x14ac:dyDescent="0.3">
      <c r="A1743">
        <v>8</v>
      </c>
      <c r="C1743">
        <v>2</v>
      </c>
      <c r="D1743">
        <v>8</v>
      </c>
      <c r="E1743">
        <v>1</v>
      </c>
      <c r="F1743">
        <v>0</v>
      </c>
      <c r="G1743">
        <v>8</v>
      </c>
      <c r="H1743" t="s">
        <v>49</v>
      </c>
      <c r="I1743" t="s">
        <v>87</v>
      </c>
      <c r="J1743">
        <v>546</v>
      </c>
      <c r="K1743">
        <v>8.5</v>
      </c>
      <c r="L1743">
        <v>4641</v>
      </c>
    </row>
    <row r="1744" spans="1:12" x14ac:dyDescent="0.3">
      <c r="A1744">
        <v>18</v>
      </c>
      <c r="B1744">
        <v>23</v>
      </c>
      <c r="C1744">
        <v>0</v>
      </c>
      <c r="D1744">
        <v>11</v>
      </c>
      <c r="E1744">
        <v>1</v>
      </c>
      <c r="F1744">
        <v>0</v>
      </c>
      <c r="G1744">
        <v>6</v>
      </c>
      <c r="H1744" t="s">
        <v>18</v>
      </c>
      <c r="I1744" t="s">
        <v>117</v>
      </c>
      <c r="J1744">
        <v>491</v>
      </c>
      <c r="K1744">
        <v>7.7</v>
      </c>
      <c r="L1744">
        <v>3780.7</v>
      </c>
    </row>
    <row r="1745" spans="1:12" x14ac:dyDescent="0.3">
      <c r="A1745">
        <v>22</v>
      </c>
      <c r="B1745">
        <v>22</v>
      </c>
      <c r="C1745">
        <v>3</v>
      </c>
      <c r="D1745">
        <v>5</v>
      </c>
      <c r="E1745">
        <v>1</v>
      </c>
      <c r="F1745">
        <v>0</v>
      </c>
      <c r="G1745">
        <v>5</v>
      </c>
      <c r="H1745" t="s">
        <v>26</v>
      </c>
      <c r="I1745" t="s">
        <v>104</v>
      </c>
      <c r="J1745">
        <v>593</v>
      </c>
      <c r="K1745">
        <v>8.5</v>
      </c>
      <c r="L1745">
        <v>5040.5</v>
      </c>
    </row>
    <row r="1746" spans="1:12" x14ac:dyDescent="0.3">
      <c r="A1746">
        <v>6</v>
      </c>
      <c r="B1746">
        <v>19</v>
      </c>
      <c r="C1746">
        <v>3</v>
      </c>
      <c r="D1746">
        <v>10</v>
      </c>
      <c r="E1746">
        <v>1</v>
      </c>
      <c r="F1746">
        <v>0</v>
      </c>
      <c r="G1746">
        <v>2</v>
      </c>
      <c r="H1746" t="s">
        <v>23</v>
      </c>
      <c r="I1746" t="s">
        <v>94</v>
      </c>
      <c r="J1746">
        <v>445</v>
      </c>
      <c r="K1746">
        <v>8.4</v>
      </c>
      <c r="L1746">
        <v>3738</v>
      </c>
    </row>
    <row r="1747" spans="1:12" x14ac:dyDescent="0.3">
      <c r="A1747">
        <v>19</v>
      </c>
      <c r="B1747">
        <v>22</v>
      </c>
      <c r="C1747">
        <v>2</v>
      </c>
      <c r="D1747">
        <v>9</v>
      </c>
      <c r="E1747">
        <v>1</v>
      </c>
      <c r="F1747">
        <v>0</v>
      </c>
      <c r="G1747">
        <v>3</v>
      </c>
      <c r="H1747" t="s">
        <v>26</v>
      </c>
      <c r="I1747" t="s">
        <v>90</v>
      </c>
      <c r="J1747">
        <v>666</v>
      </c>
    </row>
    <row r="1748" spans="1:12" x14ac:dyDescent="0.3">
      <c r="B1748">
        <v>23</v>
      </c>
      <c r="C1748">
        <v>1</v>
      </c>
      <c r="D1748">
        <v>17</v>
      </c>
      <c r="E1748">
        <v>7</v>
      </c>
      <c r="F1748">
        <v>0</v>
      </c>
      <c r="G1748">
        <v>9</v>
      </c>
      <c r="H1748" t="s">
        <v>33</v>
      </c>
      <c r="I1748" t="s">
        <v>75</v>
      </c>
      <c r="J1748" t="s">
        <v>177</v>
      </c>
      <c r="K1748">
        <v>9.3000000000000007</v>
      </c>
      <c r="L1748">
        <v>5031.3</v>
      </c>
    </row>
    <row r="1749" spans="1:12" x14ac:dyDescent="0.3">
      <c r="A1749">
        <v>15</v>
      </c>
      <c r="B1749">
        <v>22</v>
      </c>
      <c r="C1749">
        <v>1</v>
      </c>
      <c r="D1749">
        <v>14</v>
      </c>
      <c r="E1749">
        <v>1</v>
      </c>
      <c r="F1749">
        <v>0</v>
      </c>
      <c r="G1749">
        <v>10</v>
      </c>
      <c r="H1749" t="s">
        <v>20</v>
      </c>
      <c r="I1749" t="s">
        <v>95</v>
      </c>
      <c r="J1749">
        <v>397</v>
      </c>
      <c r="K1749">
        <v>9.1</v>
      </c>
      <c r="L1749">
        <v>3612.7</v>
      </c>
    </row>
    <row r="1750" spans="1:12" x14ac:dyDescent="0.3">
      <c r="A1750">
        <v>18</v>
      </c>
      <c r="B1750">
        <v>23</v>
      </c>
      <c r="C1750">
        <v>0</v>
      </c>
      <c r="D1750">
        <v>13</v>
      </c>
      <c r="E1750">
        <v>1</v>
      </c>
      <c r="F1750">
        <v>0</v>
      </c>
      <c r="G1750">
        <v>6</v>
      </c>
      <c r="H1750" t="s">
        <v>30</v>
      </c>
      <c r="I1750" t="s">
        <v>76</v>
      </c>
      <c r="J1750">
        <v>458</v>
      </c>
      <c r="K1750">
        <v>9.1999999999999993</v>
      </c>
      <c r="L1750">
        <v>4213.5999999999904</v>
      </c>
    </row>
    <row r="1751" spans="1:12" x14ac:dyDescent="0.3">
      <c r="A1751">
        <v>17</v>
      </c>
      <c r="B1751">
        <v>22</v>
      </c>
      <c r="C1751">
        <v>3</v>
      </c>
      <c r="D1751">
        <v>5</v>
      </c>
      <c r="E1751">
        <v>12</v>
      </c>
      <c r="F1751">
        <v>0</v>
      </c>
      <c r="G1751">
        <v>10</v>
      </c>
      <c r="H1751" t="s">
        <v>18</v>
      </c>
      <c r="I1751" t="s">
        <v>95</v>
      </c>
      <c r="J1751">
        <v>735</v>
      </c>
      <c r="K1751">
        <v>7.7</v>
      </c>
      <c r="L1751">
        <v>5659.5</v>
      </c>
    </row>
    <row r="1752" spans="1:12" x14ac:dyDescent="0.3">
      <c r="A1752">
        <v>15</v>
      </c>
      <c r="B1752">
        <v>22</v>
      </c>
      <c r="C1752">
        <v>2</v>
      </c>
      <c r="D1752">
        <v>10</v>
      </c>
      <c r="E1752">
        <v>1</v>
      </c>
      <c r="F1752">
        <v>0</v>
      </c>
      <c r="G1752">
        <v>5</v>
      </c>
      <c r="H1752" t="s">
        <v>13</v>
      </c>
      <c r="I1752" t="s">
        <v>97</v>
      </c>
      <c r="J1752">
        <v>543</v>
      </c>
      <c r="K1752">
        <v>8.3000000000000007</v>
      </c>
      <c r="L1752">
        <v>4506.8999999999996</v>
      </c>
    </row>
    <row r="1753" spans="1:12" x14ac:dyDescent="0.3">
      <c r="A1753">
        <v>16</v>
      </c>
      <c r="B1753">
        <v>22</v>
      </c>
      <c r="C1753">
        <v>0</v>
      </c>
      <c r="D1753">
        <v>15</v>
      </c>
      <c r="E1753">
        <v>1</v>
      </c>
      <c r="F1753">
        <v>0</v>
      </c>
      <c r="G1753">
        <v>3</v>
      </c>
      <c r="H1753" t="s">
        <v>20</v>
      </c>
      <c r="I1753" t="s">
        <v>72</v>
      </c>
      <c r="J1753">
        <v>628</v>
      </c>
      <c r="K1753" t="s">
        <v>237</v>
      </c>
      <c r="L1753">
        <v>5714.8</v>
      </c>
    </row>
    <row r="1754" spans="1:12" x14ac:dyDescent="0.3">
      <c r="A1754">
        <v>18</v>
      </c>
      <c r="B1754">
        <v>22</v>
      </c>
      <c r="C1754">
        <v>0</v>
      </c>
      <c r="D1754">
        <v>8</v>
      </c>
      <c r="E1754">
        <v>1</v>
      </c>
      <c r="F1754">
        <v>0</v>
      </c>
      <c r="G1754">
        <v>11</v>
      </c>
      <c r="H1754" t="s">
        <v>51</v>
      </c>
      <c r="I1754" t="s">
        <v>70</v>
      </c>
      <c r="J1754">
        <v>379</v>
      </c>
      <c r="K1754">
        <v>8.8000000000000007</v>
      </c>
      <c r="L1754">
        <v>3335.2</v>
      </c>
    </row>
    <row r="1755" spans="1:12" x14ac:dyDescent="0.3">
      <c r="A1755">
        <v>20</v>
      </c>
      <c r="B1755">
        <v>22</v>
      </c>
      <c r="D1755">
        <v>19</v>
      </c>
      <c r="E1755">
        <v>1</v>
      </c>
      <c r="F1755">
        <v>0</v>
      </c>
      <c r="G1755">
        <v>9</v>
      </c>
      <c r="H1755" t="s">
        <v>30</v>
      </c>
      <c r="I1755" t="s">
        <v>109</v>
      </c>
      <c r="J1755">
        <v>638</v>
      </c>
      <c r="K1755">
        <v>9.1999999999999993</v>
      </c>
      <c r="L1755">
        <v>5869.5999999999904</v>
      </c>
    </row>
    <row r="1756" spans="1:12" x14ac:dyDescent="0.3">
      <c r="A1756">
        <v>6</v>
      </c>
      <c r="B1756">
        <v>21</v>
      </c>
      <c r="C1756">
        <v>3</v>
      </c>
      <c r="D1756">
        <v>16</v>
      </c>
      <c r="E1756">
        <v>1</v>
      </c>
      <c r="F1756">
        <v>0</v>
      </c>
      <c r="G1756">
        <v>5</v>
      </c>
      <c r="H1756" t="s">
        <v>31</v>
      </c>
      <c r="I1756" t="s">
        <v>89</v>
      </c>
      <c r="J1756">
        <v>653</v>
      </c>
      <c r="K1756">
        <v>7.9</v>
      </c>
      <c r="L1756">
        <v>5158.7</v>
      </c>
    </row>
    <row r="1757" spans="1:12" x14ac:dyDescent="0.3">
      <c r="A1757">
        <v>14</v>
      </c>
      <c r="B1757">
        <v>23</v>
      </c>
      <c r="C1757">
        <v>1</v>
      </c>
      <c r="D1757">
        <v>14</v>
      </c>
      <c r="E1757">
        <v>12</v>
      </c>
      <c r="F1757">
        <v>0</v>
      </c>
      <c r="G1757">
        <v>2</v>
      </c>
      <c r="I1757" t="s">
        <v>84</v>
      </c>
      <c r="J1757">
        <v>512</v>
      </c>
      <c r="K1757">
        <v>8.1</v>
      </c>
      <c r="L1757" t="s">
        <v>350</v>
      </c>
    </row>
    <row r="1758" spans="1:12" x14ac:dyDescent="0.3">
      <c r="A1758">
        <v>10</v>
      </c>
      <c r="B1758">
        <v>20</v>
      </c>
      <c r="C1758">
        <v>3</v>
      </c>
      <c r="D1758">
        <v>11</v>
      </c>
      <c r="F1758">
        <v>0</v>
      </c>
      <c r="G1758">
        <v>1</v>
      </c>
      <c r="H1758" t="s">
        <v>60</v>
      </c>
      <c r="I1758" t="s">
        <v>87</v>
      </c>
      <c r="J1758">
        <v>672</v>
      </c>
      <c r="K1758">
        <v>9.1</v>
      </c>
      <c r="L1758">
        <v>6115.2</v>
      </c>
    </row>
    <row r="1759" spans="1:12" x14ac:dyDescent="0.3">
      <c r="A1759">
        <v>18</v>
      </c>
      <c r="B1759">
        <v>23</v>
      </c>
      <c r="C1759">
        <v>1</v>
      </c>
      <c r="D1759">
        <v>11</v>
      </c>
      <c r="E1759">
        <v>1</v>
      </c>
      <c r="F1759">
        <v>0</v>
      </c>
      <c r="G1759">
        <v>6</v>
      </c>
      <c r="J1759">
        <v>589</v>
      </c>
      <c r="K1759">
        <v>8.1999999999999993</v>
      </c>
      <c r="L1759">
        <v>4829.7999999999902</v>
      </c>
    </row>
    <row r="1760" spans="1:12" x14ac:dyDescent="0.3">
      <c r="A1760">
        <v>7</v>
      </c>
      <c r="B1760">
        <v>21</v>
      </c>
      <c r="C1760">
        <v>1</v>
      </c>
      <c r="D1760">
        <v>16</v>
      </c>
      <c r="E1760">
        <v>7</v>
      </c>
      <c r="F1760">
        <v>0</v>
      </c>
      <c r="G1760">
        <v>11</v>
      </c>
      <c r="H1760" t="s">
        <v>36</v>
      </c>
      <c r="I1760" t="s">
        <v>88</v>
      </c>
      <c r="J1760">
        <v>423</v>
      </c>
      <c r="K1760">
        <v>8.8000000000000007</v>
      </c>
      <c r="L1760">
        <v>3722.4</v>
      </c>
    </row>
    <row r="1761" spans="1:12" x14ac:dyDescent="0.3">
      <c r="A1761">
        <v>17</v>
      </c>
      <c r="B1761">
        <v>22</v>
      </c>
      <c r="C1761">
        <v>0</v>
      </c>
      <c r="D1761">
        <v>8</v>
      </c>
      <c r="E1761">
        <v>1</v>
      </c>
      <c r="F1761">
        <v>0</v>
      </c>
      <c r="G1761">
        <v>3</v>
      </c>
      <c r="H1761" t="s">
        <v>22</v>
      </c>
      <c r="I1761" t="s">
        <v>94</v>
      </c>
      <c r="J1761">
        <v>445</v>
      </c>
      <c r="K1761">
        <v>7.8</v>
      </c>
      <c r="L1761">
        <v>3471</v>
      </c>
    </row>
    <row r="1762" spans="1:12" x14ac:dyDescent="0.3">
      <c r="A1762">
        <v>9</v>
      </c>
      <c r="B1762">
        <v>23</v>
      </c>
      <c r="C1762">
        <v>3</v>
      </c>
      <c r="D1762">
        <v>15</v>
      </c>
      <c r="E1762">
        <v>1</v>
      </c>
      <c r="F1762">
        <v>0</v>
      </c>
      <c r="G1762">
        <v>4</v>
      </c>
      <c r="H1762" t="s">
        <v>33</v>
      </c>
      <c r="I1762" t="s">
        <v>78</v>
      </c>
      <c r="J1762">
        <v>665</v>
      </c>
      <c r="K1762">
        <v>9.3000000000000007</v>
      </c>
      <c r="L1762">
        <v>6184.5</v>
      </c>
    </row>
    <row r="1763" spans="1:12" x14ac:dyDescent="0.3">
      <c r="A1763">
        <v>5</v>
      </c>
      <c r="B1763">
        <v>23</v>
      </c>
      <c r="C1763">
        <v>0</v>
      </c>
      <c r="D1763">
        <v>4</v>
      </c>
      <c r="E1763">
        <v>1</v>
      </c>
      <c r="F1763">
        <v>0</v>
      </c>
      <c r="G1763">
        <v>7</v>
      </c>
      <c r="H1763" t="s">
        <v>22</v>
      </c>
      <c r="I1763" t="s">
        <v>107</v>
      </c>
      <c r="J1763">
        <v>478</v>
      </c>
      <c r="K1763">
        <v>7.8</v>
      </c>
      <c r="L1763">
        <v>3728.4</v>
      </c>
    </row>
    <row r="1764" spans="1:12" x14ac:dyDescent="0.3">
      <c r="A1764">
        <v>6</v>
      </c>
      <c r="B1764">
        <v>17</v>
      </c>
      <c r="C1764">
        <v>2</v>
      </c>
      <c r="E1764">
        <v>7</v>
      </c>
      <c r="F1764">
        <v>0</v>
      </c>
      <c r="G1764">
        <v>4</v>
      </c>
      <c r="H1764" t="s">
        <v>32</v>
      </c>
      <c r="I1764" t="s">
        <v>96</v>
      </c>
      <c r="J1764">
        <v>539</v>
      </c>
      <c r="K1764">
        <v>7.6</v>
      </c>
      <c r="L1764">
        <v>4096.3999999999996</v>
      </c>
    </row>
    <row r="1765" spans="1:12" x14ac:dyDescent="0.3">
      <c r="B1765">
        <v>23</v>
      </c>
      <c r="C1765">
        <v>2</v>
      </c>
      <c r="D1765">
        <v>13</v>
      </c>
      <c r="E1765">
        <v>12</v>
      </c>
      <c r="F1765">
        <v>0</v>
      </c>
      <c r="G1765">
        <v>5</v>
      </c>
      <c r="H1765" t="s">
        <v>33</v>
      </c>
      <c r="I1765" t="s">
        <v>73</v>
      </c>
      <c r="J1765">
        <v>788</v>
      </c>
      <c r="K1765">
        <v>9.3000000000000007</v>
      </c>
      <c r="L1765">
        <v>7328.4</v>
      </c>
    </row>
    <row r="1766" spans="1:12" x14ac:dyDescent="0.3">
      <c r="A1766">
        <v>15</v>
      </c>
      <c r="B1766">
        <v>23</v>
      </c>
      <c r="C1766">
        <v>3</v>
      </c>
      <c r="D1766">
        <v>8</v>
      </c>
      <c r="E1766">
        <v>12</v>
      </c>
      <c r="F1766">
        <v>0</v>
      </c>
      <c r="H1766" t="s">
        <v>14</v>
      </c>
      <c r="I1766" t="s">
        <v>94</v>
      </c>
      <c r="J1766">
        <v>554</v>
      </c>
      <c r="K1766">
        <v>8.9</v>
      </c>
      <c r="L1766">
        <v>4930.6000000000004</v>
      </c>
    </row>
    <row r="1767" spans="1:12" x14ac:dyDescent="0.3">
      <c r="A1767">
        <v>9</v>
      </c>
      <c r="B1767">
        <v>22</v>
      </c>
      <c r="C1767">
        <v>3</v>
      </c>
      <c r="D1767">
        <v>11</v>
      </c>
      <c r="E1767">
        <v>7</v>
      </c>
      <c r="F1767">
        <v>0</v>
      </c>
      <c r="G1767">
        <v>7</v>
      </c>
      <c r="H1767" t="s">
        <v>38</v>
      </c>
      <c r="I1767" t="s">
        <v>81</v>
      </c>
      <c r="J1767">
        <v>545</v>
      </c>
      <c r="K1767">
        <v>7.4</v>
      </c>
      <c r="L1767">
        <v>4033</v>
      </c>
    </row>
    <row r="1768" spans="1:12" x14ac:dyDescent="0.3">
      <c r="A1768">
        <v>18</v>
      </c>
      <c r="B1768">
        <v>23</v>
      </c>
      <c r="C1768">
        <v>0</v>
      </c>
      <c r="D1768">
        <v>11</v>
      </c>
      <c r="E1768">
        <v>1</v>
      </c>
      <c r="F1768">
        <v>0</v>
      </c>
      <c r="G1768">
        <v>9</v>
      </c>
      <c r="H1768" t="s">
        <v>44</v>
      </c>
      <c r="I1768" t="s">
        <v>74</v>
      </c>
      <c r="J1768">
        <v>611</v>
      </c>
      <c r="K1768">
        <v>8.1999999999999993</v>
      </c>
      <c r="L1768">
        <v>5010.2</v>
      </c>
    </row>
    <row r="1769" spans="1:12" x14ac:dyDescent="0.3">
      <c r="A1769">
        <v>11</v>
      </c>
      <c r="B1769">
        <v>22</v>
      </c>
      <c r="C1769">
        <v>2</v>
      </c>
      <c r="D1769">
        <v>7</v>
      </c>
      <c r="E1769">
        <v>12</v>
      </c>
      <c r="F1769">
        <v>0</v>
      </c>
      <c r="G1769">
        <v>9</v>
      </c>
      <c r="H1769" t="s">
        <v>36</v>
      </c>
      <c r="I1769" t="s">
        <v>75</v>
      </c>
      <c r="J1769">
        <v>584</v>
      </c>
      <c r="K1769">
        <v>8.8000000000000007</v>
      </c>
      <c r="L1769">
        <v>5139.2</v>
      </c>
    </row>
    <row r="1770" spans="1:12" x14ac:dyDescent="0.3">
      <c r="A1770">
        <v>16</v>
      </c>
      <c r="B1770">
        <v>22</v>
      </c>
      <c r="C1770">
        <v>1</v>
      </c>
      <c r="D1770">
        <v>22</v>
      </c>
      <c r="E1770">
        <v>12</v>
      </c>
      <c r="F1770">
        <v>0</v>
      </c>
      <c r="H1770" t="s">
        <v>24</v>
      </c>
      <c r="I1770" t="s">
        <v>71</v>
      </c>
      <c r="J1770">
        <v>749</v>
      </c>
      <c r="K1770">
        <v>7.9</v>
      </c>
      <c r="L1770">
        <v>5917.1</v>
      </c>
    </row>
    <row r="1771" spans="1:12" x14ac:dyDescent="0.3">
      <c r="A1771">
        <v>23</v>
      </c>
      <c r="B1771">
        <v>22</v>
      </c>
      <c r="C1771">
        <v>3</v>
      </c>
      <c r="D1771">
        <v>9</v>
      </c>
      <c r="E1771">
        <v>1</v>
      </c>
      <c r="F1771">
        <v>0</v>
      </c>
      <c r="G1771">
        <v>12</v>
      </c>
      <c r="H1771" t="s">
        <v>26</v>
      </c>
      <c r="I1771" t="s">
        <v>77</v>
      </c>
      <c r="J1771">
        <v>672</v>
      </c>
      <c r="K1771">
        <v>8.5</v>
      </c>
      <c r="L1771">
        <v>5712</v>
      </c>
    </row>
    <row r="1772" spans="1:12" x14ac:dyDescent="0.3">
      <c r="A1772">
        <v>12</v>
      </c>
      <c r="B1772">
        <v>23</v>
      </c>
      <c r="C1772">
        <v>1</v>
      </c>
      <c r="D1772">
        <v>20</v>
      </c>
      <c r="E1772">
        <v>12</v>
      </c>
      <c r="F1772">
        <v>0</v>
      </c>
      <c r="G1772">
        <v>3</v>
      </c>
      <c r="H1772" t="s">
        <v>18</v>
      </c>
      <c r="I1772" t="s">
        <v>75</v>
      </c>
      <c r="J1772">
        <v>739</v>
      </c>
      <c r="K1772">
        <v>7.7</v>
      </c>
      <c r="L1772">
        <v>5690.3</v>
      </c>
    </row>
    <row r="1773" spans="1:12" x14ac:dyDescent="0.3">
      <c r="A1773">
        <v>23</v>
      </c>
      <c r="B1773">
        <v>22</v>
      </c>
      <c r="C1773">
        <v>2</v>
      </c>
      <c r="D1773">
        <v>9</v>
      </c>
      <c r="E1773">
        <v>1</v>
      </c>
      <c r="F1773">
        <v>0</v>
      </c>
      <c r="G1773">
        <v>6</v>
      </c>
      <c r="H1773" t="s">
        <v>22</v>
      </c>
      <c r="I1773" t="s">
        <v>80</v>
      </c>
      <c r="J1773">
        <v>614</v>
      </c>
      <c r="K1773">
        <v>7.8</v>
      </c>
      <c r="L1773">
        <v>4789.2</v>
      </c>
    </row>
    <row r="1774" spans="1:12" x14ac:dyDescent="0.3">
      <c r="B1774">
        <v>23</v>
      </c>
      <c r="C1774">
        <v>1</v>
      </c>
      <c r="D1774">
        <v>6</v>
      </c>
      <c r="E1774">
        <v>1</v>
      </c>
      <c r="F1774">
        <v>0</v>
      </c>
      <c r="G1774">
        <v>4</v>
      </c>
      <c r="H1774" t="s">
        <v>15</v>
      </c>
      <c r="I1774" t="s">
        <v>90</v>
      </c>
      <c r="J1774">
        <v>371</v>
      </c>
      <c r="K1774" t="s">
        <v>248</v>
      </c>
      <c r="L1774">
        <v>3079.3</v>
      </c>
    </row>
    <row r="1775" spans="1:12" x14ac:dyDescent="0.3">
      <c r="A1775">
        <v>20</v>
      </c>
      <c r="B1775">
        <v>22</v>
      </c>
      <c r="C1775">
        <v>1</v>
      </c>
      <c r="D1775">
        <v>6</v>
      </c>
      <c r="F1775">
        <v>0</v>
      </c>
      <c r="G1775">
        <v>12</v>
      </c>
      <c r="H1775" t="s">
        <v>15</v>
      </c>
      <c r="J1775">
        <v>357</v>
      </c>
      <c r="K1775">
        <v>8.3000000000000007</v>
      </c>
      <c r="L1775">
        <v>2963.1</v>
      </c>
    </row>
    <row r="1776" spans="1:12" x14ac:dyDescent="0.3">
      <c r="A1776">
        <v>7</v>
      </c>
      <c r="B1776">
        <v>20</v>
      </c>
      <c r="D1776">
        <v>19</v>
      </c>
      <c r="E1776">
        <v>1</v>
      </c>
      <c r="F1776">
        <v>0</v>
      </c>
      <c r="G1776">
        <v>5</v>
      </c>
      <c r="H1776" t="s">
        <v>35</v>
      </c>
      <c r="I1776" t="s">
        <v>104</v>
      </c>
      <c r="J1776">
        <v>349</v>
      </c>
      <c r="K1776">
        <v>8.1999999999999993</v>
      </c>
      <c r="L1776">
        <v>2861.7999999999902</v>
      </c>
    </row>
    <row r="1777" spans="1:12" x14ac:dyDescent="0.3">
      <c r="A1777">
        <v>11</v>
      </c>
      <c r="B1777">
        <v>23</v>
      </c>
      <c r="C1777">
        <v>0</v>
      </c>
      <c r="D1777">
        <v>17</v>
      </c>
      <c r="E1777">
        <v>1</v>
      </c>
      <c r="F1777">
        <v>0</v>
      </c>
      <c r="G1777">
        <v>4</v>
      </c>
      <c r="I1777" t="s">
        <v>83</v>
      </c>
      <c r="J1777" t="s">
        <v>185</v>
      </c>
      <c r="K1777">
        <v>7.9</v>
      </c>
      <c r="L1777">
        <v>4115.8999999999996</v>
      </c>
    </row>
    <row r="1778" spans="1:12" x14ac:dyDescent="0.3">
      <c r="A1778">
        <v>9</v>
      </c>
      <c r="B1778">
        <v>18</v>
      </c>
      <c r="C1778">
        <v>2</v>
      </c>
      <c r="D1778">
        <v>14</v>
      </c>
      <c r="E1778">
        <v>7</v>
      </c>
      <c r="F1778">
        <v>0</v>
      </c>
      <c r="G1778">
        <v>6</v>
      </c>
      <c r="H1778" t="s">
        <v>33</v>
      </c>
      <c r="I1778" t="s">
        <v>104</v>
      </c>
      <c r="J1778">
        <v>477</v>
      </c>
      <c r="K1778">
        <v>9.3000000000000007</v>
      </c>
      <c r="L1778">
        <v>4436.1000000000004</v>
      </c>
    </row>
    <row r="1779" spans="1:12" x14ac:dyDescent="0.3">
      <c r="A1779">
        <v>6</v>
      </c>
      <c r="B1779">
        <v>17</v>
      </c>
      <c r="C1779">
        <v>1</v>
      </c>
      <c r="D1779">
        <v>4</v>
      </c>
      <c r="E1779">
        <v>1</v>
      </c>
      <c r="F1779">
        <v>0</v>
      </c>
      <c r="G1779">
        <v>6</v>
      </c>
      <c r="H1779" t="s">
        <v>15</v>
      </c>
      <c r="I1779" t="s">
        <v>79</v>
      </c>
      <c r="J1779">
        <v>225</v>
      </c>
      <c r="K1779">
        <v>8.3000000000000007</v>
      </c>
      <c r="L1779">
        <v>1867.5</v>
      </c>
    </row>
    <row r="1780" spans="1:12" x14ac:dyDescent="0.3">
      <c r="A1780">
        <v>8</v>
      </c>
      <c r="B1780">
        <v>18</v>
      </c>
      <c r="C1780">
        <v>2</v>
      </c>
      <c r="D1780">
        <v>11</v>
      </c>
      <c r="E1780">
        <v>1</v>
      </c>
      <c r="F1780">
        <v>0</v>
      </c>
      <c r="G1780">
        <v>5</v>
      </c>
      <c r="H1780" t="s">
        <v>56</v>
      </c>
      <c r="I1780" t="s">
        <v>70</v>
      </c>
      <c r="J1780">
        <v>435</v>
      </c>
      <c r="K1780">
        <v>8.5</v>
      </c>
      <c r="L1780">
        <v>3697.5</v>
      </c>
    </row>
    <row r="1781" spans="1:12" x14ac:dyDescent="0.3">
      <c r="A1781">
        <v>10</v>
      </c>
      <c r="B1781">
        <v>17</v>
      </c>
      <c r="C1781">
        <v>1</v>
      </c>
      <c r="D1781">
        <v>20</v>
      </c>
      <c r="E1781">
        <v>7</v>
      </c>
      <c r="F1781">
        <v>0</v>
      </c>
      <c r="G1781">
        <v>9</v>
      </c>
      <c r="H1781" t="s">
        <v>18</v>
      </c>
      <c r="I1781" t="s">
        <v>85</v>
      </c>
      <c r="J1781">
        <v>404</v>
      </c>
      <c r="K1781">
        <v>7.7</v>
      </c>
      <c r="L1781">
        <v>3110.8</v>
      </c>
    </row>
    <row r="1782" spans="1:12" x14ac:dyDescent="0.3">
      <c r="A1782">
        <v>8</v>
      </c>
      <c r="B1782">
        <v>22</v>
      </c>
      <c r="C1782">
        <v>1</v>
      </c>
      <c r="D1782">
        <v>13</v>
      </c>
      <c r="E1782">
        <v>1</v>
      </c>
      <c r="F1782">
        <v>0</v>
      </c>
      <c r="G1782">
        <v>7</v>
      </c>
      <c r="H1782" t="s">
        <v>35</v>
      </c>
      <c r="I1782" t="s">
        <v>87</v>
      </c>
      <c r="J1782">
        <v>434</v>
      </c>
      <c r="K1782">
        <v>8.1999999999999993</v>
      </c>
      <c r="L1782">
        <v>3558.7999999999902</v>
      </c>
    </row>
    <row r="1783" spans="1:12" x14ac:dyDescent="0.3">
      <c r="A1783">
        <v>9</v>
      </c>
      <c r="B1783">
        <v>19</v>
      </c>
      <c r="C1783">
        <v>3</v>
      </c>
      <c r="D1783">
        <v>17</v>
      </c>
      <c r="E1783">
        <v>1</v>
      </c>
      <c r="F1783">
        <v>0</v>
      </c>
      <c r="G1783">
        <v>3</v>
      </c>
      <c r="H1783" t="s">
        <v>32</v>
      </c>
      <c r="I1783" t="s">
        <v>78</v>
      </c>
      <c r="J1783">
        <v>476</v>
      </c>
      <c r="K1783">
        <v>7.6</v>
      </c>
      <c r="L1783" t="s">
        <v>351</v>
      </c>
    </row>
    <row r="1784" spans="1:12" x14ac:dyDescent="0.3">
      <c r="B1784">
        <v>23</v>
      </c>
      <c r="C1784">
        <v>2</v>
      </c>
      <c r="D1784">
        <v>5</v>
      </c>
      <c r="E1784">
        <v>1</v>
      </c>
      <c r="F1784">
        <v>0</v>
      </c>
      <c r="G1784">
        <v>7</v>
      </c>
      <c r="H1784" t="s">
        <v>20</v>
      </c>
      <c r="I1784" t="s">
        <v>96</v>
      </c>
      <c r="J1784">
        <v>451</v>
      </c>
      <c r="K1784">
        <v>9.1</v>
      </c>
      <c r="L1784">
        <v>4104.0999999999904</v>
      </c>
    </row>
    <row r="1785" spans="1:12" x14ac:dyDescent="0.3">
      <c r="A1785">
        <v>18</v>
      </c>
      <c r="C1785">
        <v>3</v>
      </c>
      <c r="D1785">
        <v>12</v>
      </c>
      <c r="E1785">
        <v>1</v>
      </c>
      <c r="F1785">
        <v>0</v>
      </c>
      <c r="G1785">
        <v>8</v>
      </c>
      <c r="H1785" t="s">
        <v>19</v>
      </c>
      <c r="I1785" t="s">
        <v>94</v>
      </c>
      <c r="J1785">
        <v>726</v>
      </c>
      <c r="K1785">
        <v>8.9</v>
      </c>
      <c r="L1785">
        <v>6461.4</v>
      </c>
    </row>
    <row r="1786" spans="1:12" x14ac:dyDescent="0.3">
      <c r="A1786">
        <v>21</v>
      </c>
      <c r="B1786">
        <v>23</v>
      </c>
      <c r="C1786">
        <v>1</v>
      </c>
      <c r="D1786">
        <v>12</v>
      </c>
      <c r="E1786">
        <v>1</v>
      </c>
      <c r="F1786">
        <v>0</v>
      </c>
      <c r="G1786">
        <v>9</v>
      </c>
      <c r="H1786" t="s">
        <v>26</v>
      </c>
      <c r="I1786" t="s">
        <v>95</v>
      </c>
      <c r="J1786">
        <v>438</v>
      </c>
      <c r="K1786">
        <v>8.5</v>
      </c>
      <c r="L1786">
        <v>3723</v>
      </c>
    </row>
    <row r="1787" spans="1:12" x14ac:dyDescent="0.3">
      <c r="A1787">
        <v>8</v>
      </c>
      <c r="B1787">
        <v>17</v>
      </c>
      <c r="D1787">
        <v>15</v>
      </c>
      <c r="E1787">
        <v>1</v>
      </c>
      <c r="F1787">
        <v>0</v>
      </c>
      <c r="G1787">
        <v>2</v>
      </c>
      <c r="H1787" t="s">
        <v>16</v>
      </c>
      <c r="I1787" t="s">
        <v>87</v>
      </c>
      <c r="J1787">
        <v>415</v>
      </c>
      <c r="K1787">
        <v>8.9</v>
      </c>
      <c r="L1787">
        <v>3693.5</v>
      </c>
    </row>
    <row r="1788" spans="1:12" x14ac:dyDescent="0.3">
      <c r="A1788">
        <v>17</v>
      </c>
      <c r="B1788">
        <v>22</v>
      </c>
      <c r="D1788">
        <v>3</v>
      </c>
      <c r="E1788">
        <v>12</v>
      </c>
      <c r="F1788">
        <v>0</v>
      </c>
      <c r="G1788">
        <v>6</v>
      </c>
      <c r="H1788" t="s">
        <v>27</v>
      </c>
      <c r="I1788" t="s">
        <v>84</v>
      </c>
      <c r="J1788">
        <v>470</v>
      </c>
      <c r="K1788">
        <v>8.4</v>
      </c>
      <c r="L1788">
        <v>3948</v>
      </c>
    </row>
    <row r="1789" spans="1:12" x14ac:dyDescent="0.3">
      <c r="A1789">
        <v>17</v>
      </c>
      <c r="C1789">
        <v>3</v>
      </c>
      <c r="E1789">
        <v>1</v>
      </c>
      <c r="F1789">
        <v>0</v>
      </c>
      <c r="G1789">
        <v>7</v>
      </c>
      <c r="H1789" t="s">
        <v>35</v>
      </c>
      <c r="I1789" t="s">
        <v>76</v>
      </c>
      <c r="J1789">
        <v>776</v>
      </c>
      <c r="K1789">
        <v>8.1999999999999993</v>
      </c>
      <c r="L1789">
        <v>6363.2</v>
      </c>
    </row>
    <row r="1790" spans="1:12" x14ac:dyDescent="0.3">
      <c r="A1790">
        <v>9</v>
      </c>
      <c r="B1790">
        <v>18</v>
      </c>
      <c r="D1790">
        <v>22</v>
      </c>
      <c r="E1790">
        <v>1</v>
      </c>
      <c r="F1790">
        <v>0</v>
      </c>
      <c r="G1790">
        <v>10</v>
      </c>
      <c r="H1790" t="s">
        <v>35</v>
      </c>
      <c r="I1790" t="s">
        <v>78</v>
      </c>
      <c r="J1790">
        <v>572</v>
      </c>
      <c r="K1790">
        <v>8.1999999999999993</v>
      </c>
      <c r="L1790">
        <v>4690.3999999999996</v>
      </c>
    </row>
    <row r="1791" spans="1:12" x14ac:dyDescent="0.3">
      <c r="A1791">
        <v>17</v>
      </c>
      <c r="B1791">
        <v>23</v>
      </c>
      <c r="C1791">
        <v>0</v>
      </c>
      <c r="D1791">
        <v>18</v>
      </c>
      <c r="E1791">
        <v>12</v>
      </c>
      <c r="F1791">
        <v>0</v>
      </c>
      <c r="G1791">
        <v>3</v>
      </c>
      <c r="H1791" t="s">
        <v>24</v>
      </c>
      <c r="I1791" t="s">
        <v>82</v>
      </c>
      <c r="J1791">
        <v>644</v>
      </c>
      <c r="K1791">
        <v>7.9</v>
      </c>
      <c r="L1791">
        <v>5087.6000000000004</v>
      </c>
    </row>
    <row r="1792" spans="1:12" x14ac:dyDescent="0.3">
      <c r="A1792">
        <v>7</v>
      </c>
      <c r="B1792">
        <v>19</v>
      </c>
      <c r="C1792">
        <v>0</v>
      </c>
      <c r="D1792">
        <v>21</v>
      </c>
      <c r="E1792">
        <v>1</v>
      </c>
      <c r="F1792">
        <v>0</v>
      </c>
      <c r="G1792">
        <v>2</v>
      </c>
      <c r="H1792" t="s">
        <v>30</v>
      </c>
      <c r="I1792" t="s">
        <v>109</v>
      </c>
      <c r="J1792">
        <v>287</v>
      </c>
      <c r="K1792">
        <v>9.1999999999999993</v>
      </c>
      <c r="L1792">
        <v>2640.3999999999901</v>
      </c>
    </row>
    <row r="1793" spans="1:12" x14ac:dyDescent="0.3">
      <c r="A1793">
        <v>7</v>
      </c>
      <c r="B1793">
        <v>17</v>
      </c>
      <c r="C1793">
        <v>3</v>
      </c>
      <c r="E1793">
        <v>1</v>
      </c>
      <c r="F1793">
        <v>0</v>
      </c>
      <c r="G1793">
        <v>10</v>
      </c>
      <c r="H1793" t="s">
        <v>24</v>
      </c>
      <c r="J1793">
        <v>526</v>
      </c>
      <c r="K1793">
        <v>7.9</v>
      </c>
      <c r="L1793">
        <v>4155.3999999999996</v>
      </c>
    </row>
    <row r="1794" spans="1:12" x14ac:dyDescent="0.3">
      <c r="A1794">
        <v>15</v>
      </c>
      <c r="B1794">
        <v>23</v>
      </c>
      <c r="C1794">
        <v>2</v>
      </c>
      <c r="D1794">
        <v>15</v>
      </c>
      <c r="E1794">
        <v>12</v>
      </c>
      <c r="F1794">
        <v>0</v>
      </c>
      <c r="G1794">
        <v>7</v>
      </c>
      <c r="H1794" t="s">
        <v>24</v>
      </c>
      <c r="I1794" t="s">
        <v>97</v>
      </c>
      <c r="K1794">
        <v>7.9</v>
      </c>
      <c r="L1794">
        <v>4250.2</v>
      </c>
    </row>
    <row r="1795" spans="1:12" x14ac:dyDescent="0.3">
      <c r="A1795">
        <v>15</v>
      </c>
      <c r="C1795">
        <v>0</v>
      </c>
      <c r="D1795">
        <v>6</v>
      </c>
      <c r="E1795">
        <v>1</v>
      </c>
      <c r="F1795">
        <v>0</v>
      </c>
      <c r="G1795">
        <v>1</v>
      </c>
      <c r="H1795" t="s">
        <v>24</v>
      </c>
      <c r="J1795">
        <v>526</v>
      </c>
      <c r="K1795">
        <v>7.9</v>
      </c>
      <c r="L1795" t="s">
        <v>352</v>
      </c>
    </row>
    <row r="1796" spans="1:12" x14ac:dyDescent="0.3">
      <c r="A1796">
        <v>9</v>
      </c>
      <c r="B1796">
        <v>17</v>
      </c>
      <c r="C1796">
        <v>3</v>
      </c>
      <c r="D1796">
        <v>5</v>
      </c>
      <c r="E1796">
        <v>7</v>
      </c>
      <c r="F1796">
        <v>0</v>
      </c>
      <c r="G1796">
        <v>9</v>
      </c>
      <c r="H1796" t="s">
        <v>26</v>
      </c>
      <c r="I1796" t="s">
        <v>92</v>
      </c>
      <c r="J1796">
        <v>383</v>
      </c>
      <c r="K1796">
        <v>8.5</v>
      </c>
      <c r="L1796">
        <v>3255.5</v>
      </c>
    </row>
    <row r="1797" spans="1:12" x14ac:dyDescent="0.3">
      <c r="A1797">
        <v>22</v>
      </c>
      <c r="B1797">
        <v>23</v>
      </c>
      <c r="C1797">
        <v>0</v>
      </c>
      <c r="D1797">
        <v>21</v>
      </c>
      <c r="E1797">
        <v>1</v>
      </c>
      <c r="F1797">
        <v>0</v>
      </c>
      <c r="G1797">
        <v>11</v>
      </c>
      <c r="I1797" t="s">
        <v>122</v>
      </c>
      <c r="J1797">
        <v>717</v>
      </c>
      <c r="K1797">
        <v>9.1</v>
      </c>
      <c r="L1797">
        <v>6524.7</v>
      </c>
    </row>
    <row r="1798" spans="1:12" x14ac:dyDescent="0.3">
      <c r="A1798">
        <v>14</v>
      </c>
      <c r="B1798">
        <v>22</v>
      </c>
      <c r="C1798">
        <v>1</v>
      </c>
      <c r="D1798">
        <v>5</v>
      </c>
      <c r="E1798">
        <v>1</v>
      </c>
      <c r="G1798">
        <v>12</v>
      </c>
      <c r="H1798" t="s">
        <v>28</v>
      </c>
      <c r="I1798" t="s">
        <v>86</v>
      </c>
      <c r="J1798" t="s">
        <v>221</v>
      </c>
      <c r="K1798">
        <v>7.7</v>
      </c>
      <c r="L1798">
        <v>3164.7</v>
      </c>
    </row>
    <row r="1799" spans="1:12" x14ac:dyDescent="0.3">
      <c r="A1799">
        <v>23</v>
      </c>
      <c r="B1799">
        <v>22</v>
      </c>
      <c r="C1799">
        <v>2</v>
      </c>
      <c r="D1799">
        <v>8</v>
      </c>
      <c r="E1799">
        <v>1</v>
      </c>
      <c r="F1799">
        <v>0</v>
      </c>
      <c r="G1799">
        <v>2</v>
      </c>
      <c r="H1799" t="s">
        <v>13</v>
      </c>
      <c r="I1799" t="s">
        <v>90</v>
      </c>
      <c r="J1799">
        <v>396</v>
      </c>
      <c r="K1799">
        <v>8.3000000000000007</v>
      </c>
      <c r="L1799">
        <v>3286.8</v>
      </c>
    </row>
    <row r="1800" spans="1:12" x14ac:dyDescent="0.3">
      <c r="A1800">
        <v>23</v>
      </c>
      <c r="B1800">
        <v>22</v>
      </c>
      <c r="C1800">
        <v>2</v>
      </c>
      <c r="D1800">
        <v>18</v>
      </c>
      <c r="E1800">
        <v>1</v>
      </c>
      <c r="F1800">
        <v>0</v>
      </c>
      <c r="G1800">
        <v>7</v>
      </c>
      <c r="H1800" t="s">
        <v>38</v>
      </c>
      <c r="I1800" t="s">
        <v>76</v>
      </c>
      <c r="J1800">
        <v>756</v>
      </c>
      <c r="K1800">
        <v>7.4</v>
      </c>
      <c r="L1800">
        <v>5594.4</v>
      </c>
    </row>
    <row r="1801" spans="1:12" x14ac:dyDescent="0.3">
      <c r="A1801">
        <v>20</v>
      </c>
      <c r="B1801">
        <v>23</v>
      </c>
      <c r="C1801">
        <v>1</v>
      </c>
      <c r="D1801">
        <v>9</v>
      </c>
      <c r="E1801">
        <v>12</v>
      </c>
      <c r="F1801">
        <v>0</v>
      </c>
      <c r="G1801">
        <v>1</v>
      </c>
      <c r="H1801" t="s">
        <v>23</v>
      </c>
      <c r="I1801" t="s">
        <v>108</v>
      </c>
      <c r="J1801" t="s">
        <v>222</v>
      </c>
      <c r="K1801">
        <v>8.4</v>
      </c>
      <c r="L1801">
        <v>5980.8</v>
      </c>
    </row>
    <row r="1802" spans="1:12" x14ac:dyDescent="0.3">
      <c r="A1802">
        <v>11</v>
      </c>
      <c r="B1802">
        <v>23</v>
      </c>
      <c r="C1802">
        <v>0</v>
      </c>
      <c r="D1802">
        <v>4</v>
      </c>
      <c r="E1802">
        <v>1</v>
      </c>
      <c r="F1802">
        <v>0</v>
      </c>
      <c r="G1802">
        <v>11</v>
      </c>
      <c r="H1802" t="s">
        <v>21</v>
      </c>
      <c r="I1802" t="s">
        <v>78</v>
      </c>
      <c r="K1802" t="s">
        <v>242</v>
      </c>
      <c r="L1802">
        <v>3175.49999999999</v>
      </c>
    </row>
    <row r="1803" spans="1:12" x14ac:dyDescent="0.3">
      <c r="A1803">
        <v>21</v>
      </c>
      <c r="B1803">
        <v>22</v>
      </c>
      <c r="C1803">
        <v>1</v>
      </c>
      <c r="D1803">
        <v>11</v>
      </c>
      <c r="E1803">
        <v>1</v>
      </c>
      <c r="F1803">
        <v>0</v>
      </c>
      <c r="G1803">
        <v>7</v>
      </c>
      <c r="H1803" t="s">
        <v>20</v>
      </c>
      <c r="I1803" t="s">
        <v>74</v>
      </c>
      <c r="J1803">
        <v>419</v>
      </c>
      <c r="K1803">
        <v>9.1</v>
      </c>
      <c r="L1803" t="s">
        <v>353</v>
      </c>
    </row>
    <row r="1804" spans="1:12" x14ac:dyDescent="0.3">
      <c r="A1804">
        <v>6</v>
      </c>
      <c r="B1804">
        <v>19</v>
      </c>
      <c r="C1804">
        <v>3</v>
      </c>
      <c r="D1804">
        <v>17</v>
      </c>
      <c r="E1804">
        <v>1</v>
      </c>
      <c r="F1804">
        <v>0</v>
      </c>
      <c r="G1804">
        <v>7</v>
      </c>
      <c r="H1804" t="s">
        <v>16</v>
      </c>
      <c r="I1804" t="s">
        <v>96</v>
      </c>
      <c r="J1804">
        <v>604</v>
      </c>
      <c r="K1804">
        <v>8.9</v>
      </c>
      <c r="L1804">
        <v>5375.6</v>
      </c>
    </row>
    <row r="1805" spans="1:12" x14ac:dyDescent="0.3">
      <c r="A1805">
        <v>23</v>
      </c>
      <c r="B1805">
        <v>23</v>
      </c>
      <c r="D1805">
        <v>20</v>
      </c>
      <c r="E1805">
        <v>1</v>
      </c>
      <c r="F1805">
        <v>0</v>
      </c>
      <c r="G1805">
        <v>5</v>
      </c>
      <c r="H1805" t="s">
        <v>32</v>
      </c>
      <c r="I1805" t="s">
        <v>72</v>
      </c>
      <c r="J1805">
        <v>741</v>
      </c>
      <c r="K1805" t="s">
        <v>250</v>
      </c>
      <c r="L1805">
        <v>5631.5999999999904</v>
      </c>
    </row>
    <row r="1806" spans="1:12" x14ac:dyDescent="0.3">
      <c r="A1806">
        <v>21</v>
      </c>
      <c r="B1806">
        <v>22</v>
      </c>
      <c r="C1806">
        <v>0</v>
      </c>
      <c r="D1806">
        <v>19</v>
      </c>
      <c r="E1806">
        <v>1</v>
      </c>
      <c r="F1806">
        <v>0</v>
      </c>
      <c r="G1806">
        <v>3</v>
      </c>
      <c r="H1806" t="s">
        <v>32</v>
      </c>
      <c r="I1806" t="s">
        <v>80</v>
      </c>
      <c r="J1806">
        <v>674</v>
      </c>
      <c r="K1806">
        <v>7.6</v>
      </c>
    </row>
    <row r="1807" spans="1:12" x14ac:dyDescent="0.3">
      <c r="A1807">
        <v>22</v>
      </c>
      <c r="B1807">
        <v>23</v>
      </c>
      <c r="C1807">
        <v>2</v>
      </c>
      <c r="D1807">
        <v>14</v>
      </c>
      <c r="F1807">
        <v>0</v>
      </c>
      <c r="G1807">
        <v>8</v>
      </c>
      <c r="H1807" t="s">
        <v>25</v>
      </c>
      <c r="I1807" t="s">
        <v>71</v>
      </c>
      <c r="J1807">
        <v>624</v>
      </c>
      <c r="K1807">
        <v>8.1</v>
      </c>
      <c r="L1807">
        <v>5054.3999999999996</v>
      </c>
    </row>
    <row r="1808" spans="1:12" x14ac:dyDescent="0.3">
      <c r="A1808">
        <v>16</v>
      </c>
      <c r="B1808">
        <v>22</v>
      </c>
      <c r="C1808">
        <v>1</v>
      </c>
      <c r="D1808">
        <v>10</v>
      </c>
      <c r="E1808">
        <v>1</v>
      </c>
      <c r="F1808">
        <v>0</v>
      </c>
      <c r="G1808">
        <v>5</v>
      </c>
      <c r="H1808" t="s">
        <v>32</v>
      </c>
      <c r="I1808" t="s">
        <v>76</v>
      </c>
      <c r="J1808">
        <v>441</v>
      </c>
      <c r="K1808">
        <v>7.6</v>
      </c>
      <c r="L1808">
        <v>3351.6</v>
      </c>
    </row>
    <row r="1809" spans="1:12" x14ac:dyDescent="0.3">
      <c r="A1809">
        <v>16</v>
      </c>
      <c r="B1809">
        <v>22</v>
      </c>
      <c r="C1809">
        <v>0</v>
      </c>
      <c r="D1809">
        <v>8</v>
      </c>
      <c r="E1809">
        <v>1</v>
      </c>
      <c r="F1809">
        <v>0</v>
      </c>
      <c r="G1809">
        <v>2</v>
      </c>
      <c r="H1809" t="s">
        <v>18</v>
      </c>
      <c r="I1809" t="s">
        <v>82</v>
      </c>
      <c r="J1809">
        <v>421</v>
      </c>
      <c r="K1809" t="s">
        <v>246</v>
      </c>
      <c r="L1809">
        <v>3241.7</v>
      </c>
    </row>
    <row r="1810" spans="1:12" x14ac:dyDescent="0.3">
      <c r="A1810">
        <v>7</v>
      </c>
      <c r="B1810">
        <v>22</v>
      </c>
      <c r="C1810">
        <v>0</v>
      </c>
      <c r="D1810">
        <v>11</v>
      </c>
      <c r="E1810">
        <v>1</v>
      </c>
      <c r="F1810">
        <v>0</v>
      </c>
      <c r="G1810">
        <v>5</v>
      </c>
      <c r="H1810" t="s">
        <v>23</v>
      </c>
      <c r="I1810" t="s">
        <v>74</v>
      </c>
      <c r="J1810">
        <v>366</v>
      </c>
      <c r="K1810">
        <v>8.4</v>
      </c>
      <c r="L1810">
        <v>3074.4</v>
      </c>
    </row>
    <row r="1811" spans="1:12" x14ac:dyDescent="0.3">
      <c r="A1811">
        <v>19</v>
      </c>
      <c r="C1811">
        <v>0</v>
      </c>
      <c r="D1811">
        <v>3</v>
      </c>
      <c r="E1811">
        <v>1</v>
      </c>
      <c r="F1811">
        <v>0</v>
      </c>
      <c r="G1811">
        <v>12</v>
      </c>
      <c r="H1811" t="s">
        <v>25</v>
      </c>
      <c r="I1811" t="s">
        <v>76</v>
      </c>
      <c r="J1811">
        <v>386</v>
      </c>
      <c r="K1811">
        <v>8.1</v>
      </c>
      <c r="L1811" t="s">
        <v>143</v>
      </c>
    </row>
    <row r="1812" spans="1:12" x14ac:dyDescent="0.3">
      <c r="A1812">
        <v>5</v>
      </c>
      <c r="B1812">
        <v>18</v>
      </c>
      <c r="C1812">
        <v>0</v>
      </c>
      <c r="D1812">
        <v>20</v>
      </c>
      <c r="E1812">
        <v>1</v>
      </c>
      <c r="F1812">
        <v>0</v>
      </c>
      <c r="G1812">
        <v>1</v>
      </c>
      <c r="H1812" t="s">
        <v>57</v>
      </c>
      <c r="I1812" t="s">
        <v>77</v>
      </c>
      <c r="K1812">
        <v>9.1999999999999993</v>
      </c>
      <c r="L1812">
        <v>4489.5999999999904</v>
      </c>
    </row>
    <row r="1813" spans="1:12" x14ac:dyDescent="0.3">
      <c r="A1813">
        <v>14</v>
      </c>
      <c r="B1813">
        <v>22</v>
      </c>
      <c r="C1813">
        <v>1</v>
      </c>
      <c r="D1813">
        <v>16</v>
      </c>
      <c r="E1813">
        <v>1</v>
      </c>
      <c r="F1813">
        <v>0</v>
      </c>
      <c r="G1813">
        <v>5</v>
      </c>
      <c r="H1813" t="s">
        <v>25</v>
      </c>
      <c r="I1813" t="s">
        <v>84</v>
      </c>
      <c r="J1813">
        <v>492</v>
      </c>
      <c r="K1813">
        <v>8.1</v>
      </c>
      <c r="L1813">
        <v>3985.2</v>
      </c>
    </row>
    <row r="1814" spans="1:12" x14ac:dyDescent="0.3">
      <c r="A1814">
        <v>17</v>
      </c>
      <c r="B1814">
        <v>23</v>
      </c>
      <c r="C1814">
        <v>3</v>
      </c>
      <c r="D1814">
        <v>18</v>
      </c>
      <c r="E1814">
        <v>12</v>
      </c>
      <c r="F1814">
        <v>0</v>
      </c>
      <c r="G1814">
        <v>3</v>
      </c>
      <c r="H1814" t="s">
        <v>57</v>
      </c>
      <c r="I1814" t="s">
        <v>77</v>
      </c>
      <c r="J1814">
        <v>746</v>
      </c>
      <c r="K1814" t="s">
        <v>239</v>
      </c>
      <c r="L1814">
        <v>6863.2</v>
      </c>
    </row>
    <row r="1815" spans="1:12" x14ac:dyDescent="0.3">
      <c r="A1815">
        <v>23</v>
      </c>
      <c r="B1815">
        <v>22</v>
      </c>
      <c r="C1815">
        <v>2</v>
      </c>
      <c r="D1815">
        <v>4</v>
      </c>
      <c r="E1815">
        <v>1</v>
      </c>
      <c r="G1815">
        <v>8</v>
      </c>
      <c r="H1815" t="s">
        <v>26</v>
      </c>
      <c r="I1815" t="s">
        <v>81</v>
      </c>
      <c r="J1815">
        <v>478</v>
      </c>
      <c r="K1815">
        <v>8.5</v>
      </c>
      <c r="L1815">
        <v>4063</v>
      </c>
    </row>
    <row r="1816" spans="1:12" x14ac:dyDescent="0.3">
      <c r="B1816">
        <v>23</v>
      </c>
      <c r="C1816">
        <v>2</v>
      </c>
      <c r="D1816">
        <v>5</v>
      </c>
      <c r="E1816">
        <v>1</v>
      </c>
      <c r="F1816">
        <v>0</v>
      </c>
      <c r="G1816">
        <v>9</v>
      </c>
      <c r="H1816" t="s">
        <v>16</v>
      </c>
      <c r="I1816" t="s">
        <v>124</v>
      </c>
      <c r="J1816">
        <v>467</v>
      </c>
      <c r="L1816" t="s">
        <v>354</v>
      </c>
    </row>
    <row r="1817" spans="1:12" x14ac:dyDescent="0.3">
      <c r="A1817">
        <v>15</v>
      </c>
      <c r="B1817">
        <v>23</v>
      </c>
      <c r="C1817">
        <v>3</v>
      </c>
      <c r="D1817">
        <v>7</v>
      </c>
      <c r="E1817">
        <v>1</v>
      </c>
      <c r="F1817">
        <v>0</v>
      </c>
      <c r="G1817">
        <v>7</v>
      </c>
      <c r="H1817" t="s">
        <v>26</v>
      </c>
      <c r="I1817" t="s">
        <v>81</v>
      </c>
      <c r="J1817">
        <v>651</v>
      </c>
      <c r="K1817">
        <v>8.5</v>
      </c>
      <c r="L1817">
        <v>5533.5</v>
      </c>
    </row>
    <row r="1818" spans="1:12" x14ac:dyDescent="0.3">
      <c r="A1818">
        <v>18</v>
      </c>
      <c r="B1818">
        <v>22</v>
      </c>
      <c r="C1818">
        <v>3</v>
      </c>
      <c r="D1818">
        <v>7</v>
      </c>
      <c r="E1818">
        <v>1</v>
      </c>
      <c r="F1818">
        <v>0</v>
      </c>
      <c r="G1818">
        <v>12</v>
      </c>
      <c r="H1818" t="s">
        <v>26</v>
      </c>
      <c r="I1818" t="s">
        <v>93</v>
      </c>
      <c r="J1818" t="s">
        <v>223</v>
      </c>
      <c r="K1818">
        <v>8.5</v>
      </c>
      <c r="L1818">
        <v>4760</v>
      </c>
    </row>
    <row r="1819" spans="1:12" x14ac:dyDescent="0.3">
      <c r="A1819">
        <v>14</v>
      </c>
      <c r="B1819">
        <v>23</v>
      </c>
      <c r="C1819">
        <v>0</v>
      </c>
      <c r="D1819">
        <v>22</v>
      </c>
      <c r="F1819">
        <v>0</v>
      </c>
      <c r="G1819">
        <v>1</v>
      </c>
      <c r="H1819" t="s">
        <v>41</v>
      </c>
      <c r="I1819" t="s">
        <v>80</v>
      </c>
      <c r="J1819">
        <v>449</v>
      </c>
      <c r="K1819">
        <v>7.4</v>
      </c>
      <c r="L1819">
        <v>3322.6</v>
      </c>
    </row>
    <row r="1820" spans="1:12" x14ac:dyDescent="0.3">
      <c r="A1820">
        <v>7</v>
      </c>
      <c r="B1820">
        <v>18</v>
      </c>
      <c r="C1820">
        <v>1</v>
      </c>
      <c r="D1820">
        <v>15</v>
      </c>
      <c r="E1820">
        <v>1</v>
      </c>
      <c r="F1820">
        <v>0</v>
      </c>
      <c r="G1820">
        <v>8</v>
      </c>
      <c r="H1820" t="s">
        <v>38</v>
      </c>
      <c r="I1820" t="s">
        <v>72</v>
      </c>
      <c r="J1820">
        <v>535</v>
      </c>
      <c r="K1820">
        <v>7.4</v>
      </c>
      <c r="L1820">
        <v>99999</v>
      </c>
    </row>
    <row r="1821" spans="1:12" x14ac:dyDescent="0.3">
      <c r="A1821">
        <v>23</v>
      </c>
      <c r="B1821">
        <v>22</v>
      </c>
      <c r="C1821">
        <v>0</v>
      </c>
      <c r="D1821">
        <v>6</v>
      </c>
      <c r="F1821">
        <v>0</v>
      </c>
      <c r="G1821">
        <v>4</v>
      </c>
      <c r="H1821" t="s">
        <v>17</v>
      </c>
      <c r="I1821" t="s">
        <v>92</v>
      </c>
      <c r="J1821">
        <v>589</v>
      </c>
      <c r="K1821">
        <v>8.6999999999999993</v>
      </c>
      <c r="L1821">
        <v>5124.2999999999902</v>
      </c>
    </row>
    <row r="1822" spans="1:12" x14ac:dyDescent="0.3">
      <c r="A1822">
        <v>19</v>
      </c>
      <c r="B1822">
        <v>22</v>
      </c>
      <c r="C1822">
        <v>2</v>
      </c>
      <c r="D1822">
        <v>3</v>
      </c>
      <c r="E1822">
        <v>1</v>
      </c>
      <c r="F1822">
        <v>0</v>
      </c>
      <c r="G1822">
        <v>5</v>
      </c>
      <c r="H1822" t="s">
        <v>22</v>
      </c>
      <c r="I1822" t="s">
        <v>92</v>
      </c>
      <c r="J1822">
        <v>488</v>
      </c>
      <c r="K1822">
        <v>7.8</v>
      </c>
      <c r="L1822">
        <v>3806.4</v>
      </c>
    </row>
    <row r="1823" spans="1:12" x14ac:dyDescent="0.3">
      <c r="A1823">
        <v>15</v>
      </c>
      <c r="B1823">
        <v>22</v>
      </c>
      <c r="C1823">
        <v>1</v>
      </c>
      <c r="D1823">
        <v>14</v>
      </c>
      <c r="F1823">
        <v>0</v>
      </c>
      <c r="G1823">
        <v>10</v>
      </c>
      <c r="H1823" t="s">
        <v>51</v>
      </c>
      <c r="I1823" t="s">
        <v>132</v>
      </c>
      <c r="J1823">
        <v>381</v>
      </c>
      <c r="K1823">
        <v>8.8000000000000007</v>
      </c>
      <c r="L1823">
        <v>3352.8</v>
      </c>
    </row>
    <row r="1824" spans="1:12" x14ac:dyDescent="0.3">
      <c r="A1824">
        <v>19</v>
      </c>
      <c r="B1824">
        <v>22</v>
      </c>
      <c r="C1824">
        <v>2</v>
      </c>
      <c r="D1824">
        <v>6</v>
      </c>
      <c r="E1824">
        <v>1</v>
      </c>
      <c r="F1824">
        <v>0</v>
      </c>
      <c r="G1824">
        <v>11</v>
      </c>
      <c r="H1824" t="s">
        <v>23</v>
      </c>
      <c r="I1824" t="s">
        <v>76</v>
      </c>
      <c r="J1824">
        <v>496</v>
      </c>
      <c r="K1824">
        <v>8.4</v>
      </c>
      <c r="L1824">
        <v>4166.3999999999996</v>
      </c>
    </row>
    <row r="1825" spans="1:12" x14ac:dyDescent="0.3">
      <c r="A1825">
        <v>10</v>
      </c>
      <c r="B1825">
        <v>21</v>
      </c>
      <c r="C1825">
        <v>2</v>
      </c>
      <c r="D1825">
        <v>7</v>
      </c>
      <c r="E1825">
        <v>1</v>
      </c>
      <c r="F1825">
        <v>0</v>
      </c>
      <c r="G1825">
        <v>7</v>
      </c>
      <c r="H1825" t="s">
        <v>25</v>
      </c>
      <c r="I1825" t="s">
        <v>123</v>
      </c>
      <c r="J1825">
        <v>410</v>
      </c>
      <c r="K1825">
        <v>8.1</v>
      </c>
      <c r="L1825">
        <v>3321</v>
      </c>
    </row>
    <row r="1826" spans="1:12" x14ac:dyDescent="0.3">
      <c r="B1826">
        <v>19</v>
      </c>
      <c r="C1826">
        <v>2</v>
      </c>
      <c r="D1826">
        <v>12</v>
      </c>
      <c r="E1826">
        <v>7</v>
      </c>
      <c r="F1826">
        <v>0</v>
      </c>
      <c r="G1826">
        <v>1</v>
      </c>
      <c r="H1826" t="s">
        <v>36</v>
      </c>
      <c r="I1826" t="s">
        <v>130</v>
      </c>
      <c r="J1826">
        <v>457</v>
      </c>
      <c r="K1826">
        <v>8.8000000000000007</v>
      </c>
      <c r="L1826">
        <v>4021.6</v>
      </c>
    </row>
    <row r="1827" spans="1:12" x14ac:dyDescent="0.3">
      <c r="A1827">
        <v>21</v>
      </c>
      <c r="B1827">
        <v>22</v>
      </c>
      <c r="C1827">
        <v>2</v>
      </c>
      <c r="D1827">
        <v>22</v>
      </c>
      <c r="E1827">
        <v>1</v>
      </c>
      <c r="G1827">
        <v>3</v>
      </c>
      <c r="H1827" t="s">
        <v>26</v>
      </c>
      <c r="I1827" t="s">
        <v>81</v>
      </c>
      <c r="J1827">
        <v>775</v>
      </c>
      <c r="K1827" t="s">
        <v>143</v>
      </c>
      <c r="L1827">
        <v>6587.5</v>
      </c>
    </row>
    <row r="1828" spans="1:12" x14ac:dyDescent="0.3">
      <c r="A1828">
        <v>18</v>
      </c>
      <c r="B1828">
        <v>22</v>
      </c>
      <c r="C1828">
        <v>1</v>
      </c>
      <c r="D1828">
        <v>14</v>
      </c>
      <c r="E1828">
        <v>1</v>
      </c>
      <c r="F1828">
        <v>0</v>
      </c>
      <c r="G1828">
        <v>6</v>
      </c>
      <c r="H1828" t="s">
        <v>43</v>
      </c>
      <c r="I1828" t="s">
        <v>88</v>
      </c>
      <c r="J1828">
        <v>539</v>
      </c>
      <c r="K1828">
        <v>7.6</v>
      </c>
      <c r="L1828">
        <v>4096.3999999999996</v>
      </c>
    </row>
    <row r="1829" spans="1:12" x14ac:dyDescent="0.3">
      <c r="A1829">
        <v>16</v>
      </c>
      <c r="B1829">
        <v>22</v>
      </c>
      <c r="C1829">
        <v>0</v>
      </c>
      <c r="D1829">
        <v>14</v>
      </c>
      <c r="E1829">
        <v>1</v>
      </c>
      <c r="F1829">
        <v>0</v>
      </c>
      <c r="G1829">
        <v>1</v>
      </c>
      <c r="H1829" t="s">
        <v>24</v>
      </c>
      <c r="I1829" t="s">
        <v>107</v>
      </c>
      <c r="K1829">
        <v>7.9</v>
      </c>
      <c r="L1829">
        <v>3270.6</v>
      </c>
    </row>
    <row r="1830" spans="1:12" x14ac:dyDescent="0.3">
      <c r="A1830">
        <v>13</v>
      </c>
      <c r="B1830">
        <v>22</v>
      </c>
      <c r="C1830">
        <v>1</v>
      </c>
      <c r="D1830">
        <v>6</v>
      </c>
      <c r="E1830">
        <v>12</v>
      </c>
      <c r="F1830">
        <v>0</v>
      </c>
      <c r="G1830">
        <v>4</v>
      </c>
      <c r="H1830" t="s">
        <v>36</v>
      </c>
      <c r="I1830" t="s">
        <v>81</v>
      </c>
      <c r="J1830">
        <v>582</v>
      </c>
      <c r="K1830">
        <v>8.8000000000000007</v>
      </c>
      <c r="L1830">
        <v>5121.6000000000004</v>
      </c>
    </row>
    <row r="1831" spans="1:12" x14ac:dyDescent="0.3">
      <c r="A1831">
        <v>19</v>
      </c>
      <c r="B1831">
        <v>22</v>
      </c>
      <c r="C1831">
        <v>2</v>
      </c>
      <c r="D1831">
        <v>5</v>
      </c>
      <c r="E1831">
        <v>12</v>
      </c>
      <c r="F1831">
        <v>0</v>
      </c>
      <c r="G1831">
        <v>6</v>
      </c>
      <c r="H1831" t="s">
        <v>24</v>
      </c>
      <c r="I1831" t="s">
        <v>79</v>
      </c>
      <c r="J1831">
        <v>518</v>
      </c>
      <c r="K1831">
        <v>7.9</v>
      </c>
      <c r="L1831">
        <v>4092.2</v>
      </c>
    </row>
    <row r="1832" spans="1:12" x14ac:dyDescent="0.3">
      <c r="A1832">
        <v>23</v>
      </c>
      <c r="B1832">
        <v>22</v>
      </c>
      <c r="C1832">
        <v>2</v>
      </c>
      <c r="D1832">
        <v>7</v>
      </c>
      <c r="E1832">
        <v>1</v>
      </c>
      <c r="F1832">
        <v>0</v>
      </c>
      <c r="G1832">
        <v>11</v>
      </c>
      <c r="H1832" t="s">
        <v>15</v>
      </c>
      <c r="J1832" t="s">
        <v>224</v>
      </c>
      <c r="K1832" t="s">
        <v>248</v>
      </c>
    </row>
    <row r="1833" spans="1:12" x14ac:dyDescent="0.3">
      <c r="A1833">
        <v>9</v>
      </c>
      <c r="B1833">
        <v>23</v>
      </c>
      <c r="C1833">
        <v>0</v>
      </c>
      <c r="D1833">
        <v>17</v>
      </c>
      <c r="E1833">
        <v>1</v>
      </c>
      <c r="F1833">
        <v>0</v>
      </c>
      <c r="G1833">
        <v>10</v>
      </c>
      <c r="H1833" t="s">
        <v>21</v>
      </c>
      <c r="I1833" t="s">
        <v>96</v>
      </c>
      <c r="J1833">
        <v>407</v>
      </c>
      <c r="K1833">
        <v>8.6999999999999993</v>
      </c>
      <c r="L1833">
        <v>3540.8999999999901</v>
      </c>
    </row>
    <row r="1834" spans="1:12" x14ac:dyDescent="0.3">
      <c r="A1834">
        <v>22</v>
      </c>
      <c r="B1834">
        <v>23</v>
      </c>
      <c r="C1834">
        <v>2</v>
      </c>
      <c r="D1834">
        <v>8</v>
      </c>
      <c r="E1834">
        <v>1</v>
      </c>
      <c r="F1834">
        <v>0</v>
      </c>
      <c r="G1834">
        <v>4</v>
      </c>
      <c r="H1834" t="s">
        <v>18</v>
      </c>
      <c r="I1834" t="s">
        <v>87</v>
      </c>
      <c r="J1834">
        <v>507</v>
      </c>
      <c r="K1834">
        <v>7.7</v>
      </c>
      <c r="L1834">
        <v>3903.9</v>
      </c>
    </row>
    <row r="1835" spans="1:12" x14ac:dyDescent="0.3">
      <c r="A1835">
        <v>8</v>
      </c>
      <c r="B1835">
        <v>19</v>
      </c>
      <c r="C1835">
        <v>0</v>
      </c>
      <c r="E1835">
        <v>7</v>
      </c>
      <c r="F1835">
        <v>0</v>
      </c>
      <c r="G1835">
        <v>5</v>
      </c>
      <c r="H1835" t="s">
        <v>31</v>
      </c>
      <c r="I1835" t="s">
        <v>70</v>
      </c>
      <c r="J1835">
        <v>465</v>
      </c>
      <c r="L1835">
        <v>3673.5</v>
      </c>
    </row>
    <row r="1836" spans="1:12" x14ac:dyDescent="0.3">
      <c r="A1836">
        <v>10</v>
      </c>
      <c r="B1836">
        <v>20</v>
      </c>
      <c r="C1836">
        <v>3</v>
      </c>
      <c r="D1836">
        <v>11</v>
      </c>
      <c r="E1836">
        <v>1</v>
      </c>
      <c r="F1836">
        <v>0</v>
      </c>
      <c r="G1836">
        <v>4</v>
      </c>
      <c r="H1836" t="s">
        <v>38</v>
      </c>
      <c r="I1836" t="s">
        <v>97</v>
      </c>
      <c r="J1836">
        <v>478</v>
      </c>
      <c r="K1836">
        <v>7.4</v>
      </c>
      <c r="L1836">
        <v>3537.2</v>
      </c>
    </row>
    <row r="1837" spans="1:12" x14ac:dyDescent="0.3">
      <c r="A1837">
        <v>10</v>
      </c>
      <c r="B1837">
        <v>19</v>
      </c>
      <c r="C1837">
        <v>1</v>
      </c>
      <c r="E1837">
        <v>1</v>
      </c>
      <c r="F1837">
        <v>0</v>
      </c>
      <c r="G1837">
        <v>11</v>
      </c>
      <c r="H1837" t="s">
        <v>16</v>
      </c>
      <c r="I1837" t="s">
        <v>94</v>
      </c>
      <c r="J1837">
        <v>409</v>
      </c>
      <c r="K1837">
        <v>8.9</v>
      </c>
    </row>
    <row r="1838" spans="1:12" x14ac:dyDescent="0.3">
      <c r="A1838">
        <v>16</v>
      </c>
      <c r="C1838">
        <v>2</v>
      </c>
      <c r="D1838">
        <v>3</v>
      </c>
      <c r="E1838">
        <v>12</v>
      </c>
      <c r="F1838">
        <v>0</v>
      </c>
      <c r="G1838">
        <v>4</v>
      </c>
      <c r="H1838" t="s">
        <v>25</v>
      </c>
      <c r="I1838" t="s">
        <v>104</v>
      </c>
      <c r="J1838">
        <v>546</v>
      </c>
      <c r="K1838">
        <v>8.1</v>
      </c>
      <c r="L1838">
        <v>4422.5999999999904</v>
      </c>
    </row>
    <row r="1839" spans="1:12" x14ac:dyDescent="0.3">
      <c r="A1839">
        <v>23</v>
      </c>
      <c r="B1839">
        <v>23</v>
      </c>
      <c r="C1839">
        <v>0</v>
      </c>
      <c r="D1839">
        <v>9</v>
      </c>
      <c r="E1839">
        <v>1</v>
      </c>
      <c r="F1839">
        <v>0</v>
      </c>
      <c r="G1839">
        <v>12</v>
      </c>
      <c r="H1839" t="s">
        <v>14</v>
      </c>
      <c r="I1839" t="s">
        <v>100</v>
      </c>
      <c r="J1839">
        <v>397</v>
      </c>
      <c r="K1839">
        <v>8.9</v>
      </c>
      <c r="L1839">
        <v>3533.3</v>
      </c>
    </row>
    <row r="1840" spans="1:12" x14ac:dyDescent="0.3">
      <c r="A1840">
        <v>13</v>
      </c>
      <c r="B1840">
        <v>23</v>
      </c>
      <c r="C1840">
        <v>0</v>
      </c>
      <c r="D1840">
        <v>16</v>
      </c>
      <c r="E1840">
        <v>1</v>
      </c>
      <c r="F1840">
        <v>0</v>
      </c>
      <c r="G1840">
        <v>9</v>
      </c>
      <c r="H1840" t="s">
        <v>45</v>
      </c>
      <c r="I1840" t="s">
        <v>112</v>
      </c>
      <c r="J1840">
        <v>542</v>
      </c>
      <c r="K1840">
        <v>7.9</v>
      </c>
      <c r="L1840">
        <v>4281.8</v>
      </c>
    </row>
    <row r="1841" spans="1:12" x14ac:dyDescent="0.3">
      <c r="A1841">
        <v>14</v>
      </c>
      <c r="B1841">
        <v>23</v>
      </c>
      <c r="C1841">
        <v>3</v>
      </c>
      <c r="D1841">
        <v>15</v>
      </c>
      <c r="E1841">
        <v>1</v>
      </c>
      <c r="F1841">
        <v>0</v>
      </c>
      <c r="G1841">
        <v>1</v>
      </c>
      <c r="H1841" t="s">
        <v>32</v>
      </c>
      <c r="I1841" t="s">
        <v>104</v>
      </c>
      <c r="J1841">
        <v>564</v>
      </c>
      <c r="K1841">
        <v>7.6</v>
      </c>
      <c r="L1841" t="s">
        <v>355</v>
      </c>
    </row>
    <row r="1842" spans="1:12" x14ac:dyDescent="0.3">
      <c r="A1842">
        <v>15</v>
      </c>
      <c r="B1842">
        <v>23</v>
      </c>
      <c r="C1842">
        <v>0</v>
      </c>
      <c r="E1842">
        <v>12</v>
      </c>
      <c r="F1842">
        <v>0</v>
      </c>
      <c r="G1842">
        <v>5</v>
      </c>
      <c r="H1842" t="s">
        <v>16</v>
      </c>
      <c r="I1842" t="s">
        <v>105</v>
      </c>
      <c r="J1842">
        <v>584</v>
      </c>
      <c r="K1842">
        <v>8.9</v>
      </c>
      <c r="L1842">
        <v>5197.6000000000004</v>
      </c>
    </row>
    <row r="1843" spans="1:12" x14ac:dyDescent="0.3">
      <c r="A1843">
        <v>16</v>
      </c>
      <c r="B1843">
        <v>22</v>
      </c>
      <c r="C1843">
        <v>0</v>
      </c>
      <c r="E1843">
        <v>1</v>
      </c>
      <c r="F1843">
        <v>0</v>
      </c>
      <c r="G1843">
        <v>6</v>
      </c>
      <c r="H1843" t="s">
        <v>38</v>
      </c>
      <c r="I1843" t="s">
        <v>84</v>
      </c>
      <c r="J1843">
        <v>349</v>
      </c>
      <c r="K1843">
        <v>7.4</v>
      </c>
      <c r="L1843">
        <v>2582.6</v>
      </c>
    </row>
    <row r="1844" spans="1:12" x14ac:dyDescent="0.3">
      <c r="A1844">
        <v>5</v>
      </c>
      <c r="B1844">
        <v>23</v>
      </c>
      <c r="C1844">
        <v>1</v>
      </c>
      <c r="D1844">
        <v>20</v>
      </c>
      <c r="E1844">
        <v>7</v>
      </c>
      <c r="F1844">
        <v>0</v>
      </c>
      <c r="G1844">
        <v>7</v>
      </c>
      <c r="H1844" t="s">
        <v>26</v>
      </c>
      <c r="I1844" t="s">
        <v>80</v>
      </c>
      <c r="J1844">
        <v>699</v>
      </c>
      <c r="K1844">
        <v>8.5</v>
      </c>
      <c r="L1844">
        <v>5941.5</v>
      </c>
    </row>
    <row r="1845" spans="1:12" x14ac:dyDescent="0.3">
      <c r="A1845">
        <v>9</v>
      </c>
      <c r="B1845">
        <v>23</v>
      </c>
      <c r="C1845">
        <v>3</v>
      </c>
      <c r="D1845">
        <v>12</v>
      </c>
      <c r="F1845">
        <v>0</v>
      </c>
      <c r="G1845">
        <v>11</v>
      </c>
      <c r="H1845" t="s">
        <v>51</v>
      </c>
      <c r="I1845" t="s">
        <v>104</v>
      </c>
      <c r="J1845">
        <v>536</v>
      </c>
      <c r="L1845">
        <v>4716.8</v>
      </c>
    </row>
    <row r="1846" spans="1:12" x14ac:dyDescent="0.3">
      <c r="A1846">
        <v>5</v>
      </c>
      <c r="B1846">
        <v>18</v>
      </c>
      <c r="C1846">
        <v>3</v>
      </c>
      <c r="D1846">
        <v>14</v>
      </c>
      <c r="E1846">
        <v>1</v>
      </c>
      <c r="F1846">
        <v>0</v>
      </c>
      <c r="G1846">
        <v>10</v>
      </c>
      <c r="H1846" t="s">
        <v>35</v>
      </c>
      <c r="I1846" t="s">
        <v>78</v>
      </c>
      <c r="J1846">
        <v>403</v>
      </c>
      <c r="K1846">
        <v>8.1999999999999993</v>
      </c>
      <c r="L1846">
        <v>3304.6</v>
      </c>
    </row>
    <row r="1847" spans="1:12" x14ac:dyDescent="0.3">
      <c r="A1847">
        <v>8</v>
      </c>
      <c r="B1847">
        <v>21</v>
      </c>
      <c r="C1847">
        <v>0</v>
      </c>
      <c r="D1847">
        <v>4</v>
      </c>
      <c r="E1847">
        <v>1</v>
      </c>
      <c r="F1847">
        <v>0</v>
      </c>
      <c r="G1847">
        <v>11</v>
      </c>
      <c r="H1847" t="s">
        <v>16</v>
      </c>
      <c r="I1847" t="s">
        <v>117</v>
      </c>
      <c r="J1847">
        <v>448</v>
      </c>
      <c r="K1847">
        <v>8.9</v>
      </c>
      <c r="L1847">
        <v>3987.2</v>
      </c>
    </row>
    <row r="1848" spans="1:12" x14ac:dyDescent="0.3">
      <c r="A1848">
        <v>16</v>
      </c>
      <c r="B1848">
        <v>23</v>
      </c>
      <c r="C1848">
        <v>0</v>
      </c>
      <c r="D1848">
        <v>14</v>
      </c>
      <c r="E1848">
        <v>1</v>
      </c>
      <c r="F1848">
        <v>0</v>
      </c>
      <c r="G1848">
        <v>7</v>
      </c>
      <c r="H1848" t="s">
        <v>21</v>
      </c>
      <c r="I1848" t="s">
        <v>106</v>
      </c>
      <c r="J1848">
        <v>535</v>
      </c>
      <c r="K1848">
        <v>8.6999999999999993</v>
      </c>
      <c r="L1848">
        <v>4654.5</v>
      </c>
    </row>
    <row r="1849" spans="1:12" x14ac:dyDescent="0.3">
      <c r="A1849">
        <v>12</v>
      </c>
      <c r="B1849">
        <v>22</v>
      </c>
      <c r="C1849">
        <v>2</v>
      </c>
      <c r="D1849">
        <v>4</v>
      </c>
      <c r="E1849">
        <v>1</v>
      </c>
      <c r="I1849" t="s">
        <v>107</v>
      </c>
      <c r="J1849">
        <v>357</v>
      </c>
      <c r="K1849">
        <v>7.7</v>
      </c>
      <c r="L1849">
        <v>2748.9</v>
      </c>
    </row>
    <row r="1850" spans="1:12" x14ac:dyDescent="0.3">
      <c r="A1850">
        <v>9</v>
      </c>
      <c r="B1850">
        <v>18</v>
      </c>
      <c r="C1850">
        <v>3</v>
      </c>
      <c r="D1850">
        <v>14</v>
      </c>
      <c r="F1850">
        <v>0</v>
      </c>
      <c r="G1850">
        <v>11</v>
      </c>
      <c r="I1850" t="s">
        <v>97</v>
      </c>
      <c r="J1850" t="s">
        <v>225</v>
      </c>
      <c r="K1850">
        <v>8.9</v>
      </c>
      <c r="L1850">
        <v>5375.6</v>
      </c>
    </row>
    <row r="1851" spans="1:12" x14ac:dyDescent="0.3">
      <c r="A1851">
        <v>19</v>
      </c>
      <c r="B1851">
        <v>23</v>
      </c>
      <c r="C1851">
        <v>0</v>
      </c>
      <c r="D1851">
        <v>16</v>
      </c>
      <c r="F1851">
        <v>0</v>
      </c>
      <c r="G1851">
        <v>11</v>
      </c>
      <c r="H1851" t="s">
        <v>26</v>
      </c>
      <c r="I1851" t="s">
        <v>93</v>
      </c>
      <c r="J1851">
        <v>572</v>
      </c>
      <c r="K1851">
        <v>8.5</v>
      </c>
      <c r="L1851">
        <v>4862</v>
      </c>
    </row>
    <row r="1852" spans="1:12" x14ac:dyDescent="0.3">
      <c r="A1852">
        <v>15</v>
      </c>
      <c r="B1852">
        <v>22</v>
      </c>
      <c r="C1852">
        <v>1</v>
      </c>
      <c r="D1852">
        <v>9</v>
      </c>
      <c r="E1852">
        <v>1</v>
      </c>
      <c r="F1852">
        <v>0</v>
      </c>
      <c r="G1852">
        <v>3</v>
      </c>
      <c r="H1852" t="s">
        <v>26</v>
      </c>
      <c r="I1852" t="s">
        <v>109</v>
      </c>
      <c r="J1852">
        <v>415</v>
      </c>
      <c r="K1852">
        <v>8.5</v>
      </c>
      <c r="L1852">
        <v>3527.5</v>
      </c>
    </row>
    <row r="1853" spans="1:12" x14ac:dyDescent="0.3">
      <c r="A1853">
        <v>15</v>
      </c>
      <c r="C1853">
        <v>3</v>
      </c>
      <c r="D1853">
        <v>19</v>
      </c>
      <c r="E1853">
        <v>1</v>
      </c>
      <c r="F1853">
        <v>0</v>
      </c>
      <c r="G1853">
        <v>6</v>
      </c>
      <c r="H1853" t="s">
        <v>24</v>
      </c>
      <c r="I1853" t="s">
        <v>73</v>
      </c>
      <c r="K1853">
        <v>7.9</v>
      </c>
      <c r="L1853">
        <v>5861.8</v>
      </c>
    </row>
    <row r="1854" spans="1:12" x14ac:dyDescent="0.3">
      <c r="B1854">
        <v>22</v>
      </c>
      <c r="C1854">
        <v>3</v>
      </c>
      <c r="D1854">
        <v>20</v>
      </c>
      <c r="E1854">
        <v>1</v>
      </c>
      <c r="F1854">
        <v>0</v>
      </c>
      <c r="G1854">
        <v>7</v>
      </c>
      <c r="H1854" t="s">
        <v>33</v>
      </c>
      <c r="I1854" t="s">
        <v>78</v>
      </c>
      <c r="K1854">
        <v>9.3000000000000007</v>
      </c>
      <c r="L1854">
        <v>6909.9</v>
      </c>
    </row>
    <row r="1855" spans="1:12" x14ac:dyDescent="0.3">
      <c r="A1855">
        <v>20</v>
      </c>
      <c r="B1855">
        <v>23</v>
      </c>
      <c r="C1855">
        <v>2</v>
      </c>
      <c r="D1855">
        <v>11</v>
      </c>
      <c r="E1855">
        <v>12</v>
      </c>
      <c r="F1855">
        <v>0</v>
      </c>
      <c r="G1855">
        <v>9</v>
      </c>
      <c r="H1855" t="s">
        <v>36</v>
      </c>
      <c r="I1855" t="s">
        <v>87</v>
      </c>
      <c r="J1855">
        <v>721</v>
      </c>
      <c r="K1855">
        <v>8.8000000000000007</v>
      </c>
      <c r="L1855">
        <v>6344.8</v>
      </c>
    </row>
    <row r="1856" spans="1:12" x14ac:dyDescent="0.3">
      <c r="A1856">
        <v>12</v>
      </c>
      <c r="B1856">
        <v>23</v>
      </c>
      <c r="C1856">
        <v>1</v>
      </c>
      <c r="D1856">
        <v>7</v>
      </c>
      <c r="E1856">
        <v>12</v>
      </c>
      <c r="F1856">
        <v>0</v>
      </c>
      <c r="G1856">
        <v>2</v>
      </c>
      <c r="H1856" t="s">
        <v>32</v>
      </c>
      <c r="I1856" t="s">
        <v>80</v>
      </c>
      <c r="J1856">
        <v>587</v>
      </c>
      <c r="K1856">
        <v>7.6</v>
      </c>
      <c r="L1856" t="s">
        <v>356</v>
      </c>
    </row>
    <row r="1857" spans="1:12" x14ac:dyDescent="0.3">
      <c r="A1857">
        <v>23</v>
      </c>
      <c r="B1857">
        <v>23</v>
      </c>
      <c r="C1857">
        <v>2</v>
      </c>
      <c r="D1857">
        <v>18</v>
      </c>
      <c r="E1857">
        <v>1</v>
      </c>
      <c r="F1857">
        <v>0</v>
      </c>
      <c r="G1857">
        <v>5</v>
      </c>
      <c r="H1857" t="s">
        <v>22</v>
      </c>
      <c r="I1857" t="s">
        <v>71</v>
      </c>
      <c r="J1857">
        <v>706</v>
      </c>
      <c r="K1857">
        <v>7.8</v>
      </c>
      <c r="L1857">
        <v>5506.8</v>
      </c>
    </row>
    <row r="1858" spans="1:12" x14ac:dyDescent="0.3">
      <c r="A1858">
        <v>17</v>
      </c>
      <c r="B1858">
        <v>22</v>
      </c>
      <c r="C1858">
        <v>1</v>
      </c>
      <c r="D1858">
        <v>11</v>
      </c>
      <c r="E1858">
        <v>1</v>
      </c>
      <c r="F1858">
        <v>0</v>
      </c>
      <c r="G1858">
        <v>5</v>
      </c>
      <c r="H1858" t="s">
        <v>25</v>
      </c>
      <c r="I1858" t="s">
        <v>89</v>
      </c>
      <c r="J1858">
        <v>573</v>
      </c>
      <c r="K1858">
        <v>8.1</v>
      </c>
      <c r="L1858">
        <v>4641.3</v>
      </c>
    </row>
    <row r="1859" spans="1:12" x14ac:dyDescent="0.3">
      <c r="B1859">
        <v>22</v>
      </c>
      <c r="C1859">
        <v>2</v>
      </c>
      <c r="D1859">
        <v>20</v>
      </c>
      <c r="E1859">
        <v>1</v>
      </c>
      <c r="F1859">
        <v>0</v>
      </c>
      <c r="G1859">
        <v>2</v>
      </c>
      <c r="H1859" t="s">
        <v>47</v>
      </c>
      <c r="I1859" t="s">
        <v>89</v>
      </c>
      <c r="J1859">
        <v>705</v>
      </c>
      <c r="K1859">
        <v>9.1</v>
      </c>
      <c r="L1859">
        <v>6415.5</v>
      </c>
    </row>
    <row r="1860" spans="1:12" x14ac:dyDescent="0.3">
      <c r="A1860">
        <v>5</v>
      </c>
      <c r="B1860">
        <v>22</v>
      </c>
      <c r="C1860">
        <v>2</v>
      </c>
      <c r="D1860">
        <v>15</v>
      </c>
      <c r="E1860">
        <v>1</v>
      </c>
      <c r="F1860">
        <v>0</v>
      </c>
      <c r="G1860">
        <v>11</v>
      </c>
      <c r="H1860" t="s">
        <v>27</v>
      </c>
      <c r="I1860" t="s">
        <v>84</v>
      </c>
      <c r="J1860">
        <v>481</v>
      </c>
      <c r="K1860">
        <v>8.4</v>
      </c>
      <c r="L1860">
        <v>4040.4</v>
      </c>
    </row>
    <row r="1861" spans="1:12" x14ac:dyDescent="0.3">
      <c r="A1861">
        <v>14</v>
      </c>
      <c r="B1861">
        <v>22</v>
      </c>
      <c r="D1861">
        <v>10</v>
      </c>
      <c r="E1861">
        <v>12</v>
      </c>
      <c r="F1861">
        <v>0</v>
      </c>
      <c r="G1861">
        <v>6</v>
      </c>
      <c r="H1861" t="s">
        <v>18</v>
      </c>
      <c r="I1861" t="s">
        <v>78</v>
      </c>
      <c r="J1861">
        <v>693</v>
      </c>
      <c r="K1861">
        <v>7.7</v>
      </c>
      <c r="L1861">
        <v>5336.1</v>
      </c>
    </row>
    <row r="1862" spans="1:12" x14ac:dyDescent="0.3">
      <c r="B1862">
        <v>22</v>
      </c>
      <c r="C1862">
        <v>0</v>
      </c>
      <c r="D1862">
        <v>15</v>
      </c>
      <c r="E1862">
        <v>1</v>
      </c>
      <c r="F1862">
        <v>0</v>
      </c>
      <c r="H1862" t="s">
        <v>62</v>
      </c>
      <c r="I1862" t="s">
        <v>105</v>
      </c>
      <c r="J1862">
        <v>525</v>
      </c>
      <c r="K1862">
        <v>8.5</v>
      </c>
      <c r="L1862">
        <v>4462.5</v>
      </c>
    </row>
    <row r="1863" spans="1:12" x14ac:dyDescent="0.3">
      <c r="A1863">
        <v>19</v>
      </c>
      <c r="B1863">
        <v>23</v>
      </c>
      <c r="C1863">
        <v>3</v>
      </c>
      <c r="E1863">
        <v>1</v>
      </c>
      <c r="F1863">
        <v>0</v>
      </c>
      <c r="G1863">
        <v>6</v>
      </c>
      <c r="H1863" t="s">
        <v>53</v>
      </c>
      <c r="I1863" t="s">
        <v>87</v>
      </c>
      <c r="J1863">
        <v>512</v>
      </c>
      <c r="K1863">
        <v>7.7</v>
      </c>
      <c r="L1863">
        <v>3942.4</v>
      </c>
    </row>
    <row r="1864" spans="1:12" x14ac:dyDescent="0.3">
      <c r="A1864">
        <v>19</v>
      </c>
      <c r="B1864">
        <v>23</v>
      </c>
      <c r="C1864">
        <v>1</v>
      </c>
      <c r="D1864">
        <v>19</v>
      </c>
      <c r="E1864">
        <v>1</v>
      </c>
      <c r="F1864">
        <v>0</v>
      </c>
      <c r="G1864">
        <v>4</v>
      </c>
      <c r="H1864" t="s">
        <v>24</v>
      </c>
      <c r="I1864" t="s">
        <v>71</v>
      </c>
      <c r="J1864">
        <v>705</v>
      </c>
      <c r="K1864">
        <v>7.9</v>
      </c>
      <c r="L1864">
        <v>5569.5</v>
      </c>
    </row>
    <row r="1865" spans="1:12" x14ac:dyDescent="0.3">
      <c r="A1865">
        <v>23</v>
      </c>
      <c r="B1865">
        <v>22</v>
      </c>
      <c r="C1865">
        <v>3</v>
      </c>
      <c r="D1865">
        <v>4</v>
      </c>
      <c r="E1865">
        <v>1</v>
      </c>
      <c r="F1865">
        <v>0</v>
      </c>
      <c r="G1865">
        <v>1</v>
      </c>
      <c r="H1865" t="s">
        <v>38</v>
      </c>
      <c r="I1865" t="s">
        <v>87</v>
      </c>
      <c r="J1865">
        <v>410</v>
      </c>
      <c r="K1865">
        <v>7.4</v>
      </c>
      <c r="L1865">
        <v>3034</v>
      </c>
    </row>
    <row r="1866" spans="1:12" x14ac:dyDescent="0.3">
      <c r="A1866">
        <v>13</v>
      </c>
      <c r="B1866">
        <v>23</v>
      </c>
      <c r="C1866">
        <v>2</v>
      </c>
      <c r="D1866">
        <v>17</v>
      </c>
      <c r="E1866">
        <v>1</v>
      </c>
      <c r="F1866">
        <v>0</v>
      </c>
      <c r="G1866">
        <v>4</v>
      </c>
      <c r="H1866" t="s">
        <v>35</v>
      </c>
      <c r="I1866" t="s">
        <v>70</v>
      </c>
      <c r="J1866">
        <v>532</v>
      </c>
      <c r="K1866" t="s">
        <v>249</v>
      </c>
      <c r="L1866">
        <v>4362.3999999999996</v>
      </c>
    </row>
    <row r="1867" spans="1:12" x14ac:dyDescent="0.3">
      <c r="A1867">
        <v>21</v>
      </c>
      <c r="B1867">
        <v>22</v>
      </c>
      <c r="C1867">
        <v>0</v>
      </c>
      <c r="D1867">
        <v>7</v>
      </c>
      <c r="E1867">
        <v>1</v>
      </c>
      <c r="F1867">
        <v>0</v>
      </c>
      <c r="G1867">
        <v>1</v>
      </c>
      <c r="H1867" t="s">
        <v>26</v>
      </c>
      <c r="I1867" t="s">
        <v>75</v>
      </c>
      <c r="J1867">
        <v>363</v>
      </c>
      <c r="K1867">
        <v>8.5</v>
      </c>
      <c r="L1867">
        <v>3085.5</v>
      </c>
    </row>
    <row r="1868" spans="1:12" x14ac:dyDescent="0.3">
      <c r="A1868">
        <v>21</v>
      </c>
      <c r="B1868">
        <v>22</v>
      </c>
      <c r="C1868">
        <v>1</v>
      </c>
      <c r="D1868">
        <v>20</v>
      </c>
      <c r="E1868">
        <v>12</v>
      </c>
      <c r="F1868">
        <v>0</v>
      </c>
      <c r="G1868">
        <v>11</v>
      </c>
      <c r="H1868" t="s">
        <v>16</v>
      </c>
      <c r="I1868" t="s">
        <v>80</v>
      </c>
      <c r="J1868">
        <v>557</v>
      </c>
      <c r="K1868">
        <v>8.9</v>
      </c>
      <c r="L1868">
        <v>4957.3</v>
      </c>
    </row>
    <row r="1869" spans="1:12" x14ac:dyDescent="0.3">
      <c r="A1869">
        <v>7</v>
      </c>
      <c r="B1869">
        <v>21</v>
      </c>
      <c r="C1869">
        <v>2</v>
      </c>
      <c r="D1869">
        <v>3</v>
      </c>
      <c r="E1869">
        <v>1</v>
      </c>
      <c r="F1869">
        <v>0</v>
      </c>
      <c r="G1869">
        <v>1</v>
      </c>
      <c r="I1869" t="s">
        <v>90</v>
      </c>
      <c r="J1869">
        <v>428</v>
      </c>
      <c r="K1869">
        <v>8.1</v>
      </c>
      <c r="L1869">
        <v>3466.7999999999902</v>
      </c>
    </row>
    <row r="1870" spans="1:12" x14ac:dyDescent="0.3">
      <c r="A1870">
        <v>23</v>
      </c>
      <c r="B1870">
        <v>22</v>
      </c>
      <c r="C1870">
        <v>1</v>
      </c>
      <c r="D1870">
        <v>8</v>
      </c>
      <c r="E1870">
        <v>1</v>
      </c>
      <c r="F1870">
        <v>0</v>
      </c>
      <c r="G1870">
        <v>5</v>
      </c>
      <c r="I1870" t="s">
        <v>80</v>
      </c>
      <c r="J1870">
        <v>483</v>
      </c>
      <c r="K1870">
        <v>9.1</v>
      </c>
      <c r="L1870">
        <v>4395.3</v>
      </c>
    </row>
    <row r="1871" spans="1:12" x14ac:dyDescent="0.3">
      <c r="A1871">
        <v>21</v>
      </c>
      <c r="B1871">
        <v>22</v>
      </c>
      <c r="C1871">
        <v>2</v>
      </c>
      <c r="D1871">
        <v>11</v>
      </c>
      <c r="E1871">
        <v>1</v>
      </c>
      <c r="F1871">
        <v>0</v>
      </c>
      <c r="H1871" t="s">
        <v>21</v>
      </c>
      <c r="I1871" t="s">
        <v>99</v>
      </c>
      <c r="J1871">
        <v>666</v>
      </c>
      <c r="K1871">
        <v>8.6999999999999993</v>
      </c>
      <c r="L1871">
        <v>5794.2</v>
      </c>
    </row>
    <row r="1872" spans="1:12" x14ac:dyDescent="0.3">
      <c r="A1872">
        <v>6</v>
      </c>
      <c r="B1872">
        <v>23</v>
      </c>
      <c r="C1872">
        <v>1</v>
      </c>
      <c r="D1872">
        <v>16</v>
      </c>
      <c r="E1872">
        <v>1</v>
      </c>
      <c r="F1872">
        <v>0</v>
      </c>
      <c r="G1872">
        <v>1</v>
      </c>
      <c r="H1872" t="s">
        <v>41</v>
      </c>
      <c r="I1872" t="s">
        <v>126</v>
      </c>
      <c r="J1872">
        <v>594</v>
      </c>
      <c r="K1872">
        <v>7.6</v>
      </c>
      <c r="L1872">
        <v>4514.3999999999996</v>
      </c>
    </row>
    <row r="1873" spans="1:12" x14ac:dyDescent="0.3">
      <c r="A1873">
        <v>14</v>
      </c>
      <c r="B1873">
        <v>23</v>
      </c>
      <c r="C1873">
        <v>0</v>
      </c>
      <c r="D1873">
        <v>20</v>
      </c>
      <c r="E1873">
        <v>1</v>
      </c>
      <c r="F1873">
        <v>0</v>
      </c>
      <c r="G1873">
        <v>9</v>
      </c>
      <c r="H1873" t="s">
        <v>42</v>
      </c>
      <c r="J1873">
        <v>547</v>
      </c>
      <c r="K1873" t="s">
        <v>240</v>
      </c>
      <c r="L1873">
        <v>4266.5999999999904</v>
      </c>
    </row>
    <row r="1874" spans="1:12" x14ac:dyDescent="0.3">
      <c r="A1874">
        <v>16</v>
      </c>
      <c r="B1874">
        <v>23</v>
      </c>
      <c r="C1874">
        <v>2</v>
      </c>
      <c r="D1874">
        <v>13</v>
      </c>
      <c r="E1874">
        <v>1</v>
      </c>
      <c r="F1874">
        <v>0</v>
      </c>
      <c r="G1874">
        <v>4</v>
      </c>
      <c r="H1874" t="s">
        <v>27</v>
      </c>
      <c r="I1874" t="s">
        <v>70</v>
      </c>
      <c r="J1874">
        <v>638</v>
      </c>
      <c r="K1874">
        <v>8.4</v>
      </c>
      <c r="L1874">
        <v>5359.2</v>
      </c>
    </row>
    <row r="1875" spans="1:12" x14ac:dyDescent="0.3">
      <c r="A1875">
        <v>14</v>
      </c>
      <c r="B1875">
        <v>22</v>
      </c>
      <c r="C1875">
        <v>1</v>
      </c>
      <c r="D1875">
        <v>7</v>
      </c>
      <c r="E1875">
        <v>1</v>
      </c>
      <c r="F1875">
        <v>0</v>
      </c>
      <c r="G1875">
        <v>9</v>
      </c>
      <c r="H1875" t="s">
        <v>30</v>
      </c>
      <c r="I1875" t="s">
        <v>78</v>
      </c>
      <c r="J1875">
        <v>369</v>
      </c>
      <c r="K1875">
        <v>9.1999999999999993</v>
      </c>
      <c r="L1875" t="s">
        <v>357</v>
      </c>
    </row>
    <row r="1876" spans="1:12" x14ac:dyDescent="0.3">
      <c r="A1876">
        <v>5</v>
      </c>
      <c r="B1876">
        <v>22</v>
      </c>
      <c r="C1876">
        <v>1</v>
      </c>
      <c r="D1876">
        <v>14</v>
      </c>
      <c r="E1876">
        <v>1</v>
      </c>
      <c r="F1876">
        <v>0</v>
      </c>
      <c r="G1876">
        <v>10</v>
      </c>
      <c r="H1876" t="s">
        <v>33</v>
      </c>
      <c r="I1876" t="s">
        <v>84</v>
      </c>
      <c r="J1876">
        <v>510</v>
      </c>
      <c r="K1876">
        <v>9.3000000000000007</v>
      </c>
      <c r="L1876">
        <v>4743</v>
      </c>
    </row>
    <row r="1877" spans="1:12" x14ac:dyDescent="0.3">
      <c r="A1877">
        <v>12</v>
      </c>
      <c r="B1877">
        <v>23</v>
      </c>
      <c r="C1877">
        <v>1</v>
      </c>
      <c r="D1877">
        <v>22</v>
      </c>
      <c r="E1877">
        <v>1</v>
      </c>
      <c r="F1877">
        <v>0</v>
      </c>
      <c r="G1877">
        <v>11</v>
      </c>
      <c r="H1877" t="s">
        <v>12</v>
      </c>
      <c r="I1877" t="s">
        <v>134</v>
      </c>
      <c r="J1877">
        <v>459</v>
      </c>
      <c r="K1877">
        <v>8.1</v>
      </c>
      <c r="L1877">
        <v>3717.8999999999901</v>
      </c>
    </row>
    <row r="1878" spans="1:12" x14ac:dyDescent="0.3">
      <c r="A1878">
        <v>19</v>
      </c>
      <c r="B1878">
        <v>22</v>
      </c>
      <c r="C1878">
        <v>3</v>
      </c>
      <c r="D1878">
        <v>13</v>
      </c>
      <c r="E1878">
        <v>1</v>
      </c>
      <c r="F1878">
        <v>0</v>
      </c>
      <c r="G1878">
        <v>11</v>
      </c>
      <c r="I1878" t="s">
        <v>72</v>
      </c>
      <c r="J1878">
        <v>706</v>
      </c>
      <c r="K1878">
        <v>7.8</v>
      </c>
      <c r="L1878">
        <v>5506.8</v>
      </c>
    </row>
    <row r="1879" spans="1:12" x14ac:dyDescent="0.3">
      <c r="A1879">
        <v>23</v>
      </c>
      <c r="B1879">
        <v>23</v>
      </c>
      <c r="C1879">
        <v>3</v>
      </c>
      <c r="D1879">
        <v>18</v>
      </c>
      <c r="E1879">
        <v>1</v>
      </c>
      <c r="F1879">
        <v>0</v>
      </c>
      <c r="G1879">
        <v>2</v>
      </c>
      <c r="H1879" t="s">
        <v>33</v>
      </c>
      <c r="I1879" t="s">
        <v>92</v>
      </c>
      <c r="J1879">
        <v>608</v>
      </c>
      <c r="K1879">
        <v>9.3000000000000007</v>
      </c>
      <c r="L1879">
        <v>5654.4</v>
      </c>
    </row>
    <row r="1880" spans="1:12" x14ac:dyDescent="0.3">
      <c r="A1880">
        <v>22</v>
      </c>
      <c r="B1880">
        <v>23</v>
      </c>
      <c r="C1880">
        <v>0</v>
      </c>
      <c r="D1880">
        <v>21</v>
      </c>
      <c r="E1880">
        <v>1</v>
      </c>
      <c r="F1880">
        <v>0</v>
      </c>
      <c r="G1880">
        <v>1</v>
      </c>
      <c r="H1880" t="s">
        <v>47</v>
      </c>
      <c r="I1880" t="s">
        <v>70</v>
      </c>
      <c r="J1880">
        <v>576</v>
      </c>
      <c r="K1880">
        <v>9.1</v>
      </c>
      <c r="L1880">
        <v>5241.5999999999904</v>
      </c>
    </row>
    <row r="1881" spans="1:12" x14ac:dyDescent="0.3">
      <c r="A1881">
        <v>17</v>
      </c>
      <c r="B1881">
        <v>22</v>
      </c>
      <c r="C1881">
        <v>3</v>
      </c>
      <c r="D1881">
        <v>4</v>
      </c>
      <c r="E1881">
        <v>1</v>
      </c>
      <c r="F1881">
        <v>0</v>
      </c>
      <c r="G1881">
        <v>12</v>
      </c>
      <c r="H1881" t="s">
        <v>26</v>
      </c>
      <c r="I1881" t="s">
        <v>94</v>
      </c>
      <c r="J1881">
        <v>593</v>
      </c>
      <c r="K1881">
        <v>8.5</v>
      </c>
      <c r="L1881">
        <v>5040.5</v>
      </c>
    </row>
    <row r="1882" spans="1:12" x14ac:dyDescent="0.3">
      <c r="A1882">
        <v>13</v>
      </c>
      <c r="B1882">
        <v>22</v>
      </c>
      <c r="C1882">
        <v>2</v>
      </c>
      <c r="D1882">
        <v>13</v>
      </c>
      <c r="E1882">
        <v>1</v>
      </c>
      <c r="F1882">
        <v>0</v>
      </c>
      <c r="G1882">
        <v>5</v>
      </c>
      <c r="H1882" t="s">
        <v>50</v>
      </c>
      <c r="I1882" t="s">
        <v>81</v>
      </c>
      <c r="J1882">
        <v>451</v>
      </c>
      <c r="K1882" t="s">
        <v>247</v>
      </c>
      <c r="L1882">
        <v>4194.3</v>
      </c>
    </row>
    <row r="1883" spans="1:12" x14ac:dyDescent="0.3">
      <c r="A1883">
        <v>23</v>
      </c>
      <c r="B1883">
        <v>23</v>
      </c>
      <c r="C1883">
        <v>3</v>
      </c>
      <c r="D1883">
        <v>9</v>
      </c>
      <c r="E1883">
        <v>1</v>
      </c>
      <c r="F1883">
        <v>0</v>
      </c>
      <c r="G1883">
        <v>8</v>
      </c>
      <c r="H1883" t="s">
        <v>27</v>
      </c>
      <c r="I1883" t="s">
        <v>74</v>
      </c>
      <c r="J1883">
        <v>537</v>
      </c>
      <c r="K1883">
        <v>8.4</v>
      </c>
      <c r="L1883">
        <v>4510.8</v>
      </c>
    </row>
    <row r="1884" spans="1:12" x14ac:dyDescent="0.3">
      <c r="A1884">
        <v>20</v>
      </c>
      <c r="B1884">
        <v>22</v>
      </c>
      <c r="C1884">
        <v>0</v>
      </c>
      <c r="D1884">
        <v>15</v>
      </c>
      <c r="F1884">
        <v>0</v>
      </c>
      <c r="G1884">
        <v>11</v>
      </c>
      <c r="H1884" t="s">
        <v>30</v>
      </c>
      <c r="I1884" t="s">
        <v>92</v>
      </c>
      <c r="J1884">
        <v>441</v>
      </c>
      <c r="K1884">
        <v>9.1999999999999993</v>
      </c>
      <c r="L1884">
        <v>4057.2</v>
      </c>
    </row>
    <row r="1885" spans="1:12" x14ac:dyDescent="0.3">
      <c r="A1885">
        <v>6</v>
      </c>
      <c r="B1885">
        <v>17</v>
      </c>
      <c r="C1885">
        <v>0</v>
      </c>
      <c r="D1885">
        <v>15</v>
      </c>
      <c r="E1885">
        <v>1</v>
      </c>
      <c r="F1885">
        <v>0</v>
      </c>
      <c r="G1885">
        <v>12</v>
      </c>
      <c r="H1885" t="s">
        <v>47</v>
      </c>
      <c r="I1885" t="s">
        <v>71</v>
      </c>
      <c r="J1885">
        <v>445</v>
      </c>
      <c r="K1885">
        <v>9.1</v>
      </c>
      <c r="L1885">
        <v>4049.5</v>
      </c>
    </row>
    <row r="1886" spans="1:12" x14ac:dyDescent="0.3">
      <c r="A1886">
        <v>19</v>
      </c>
      <c r="C1886">
        <v>2</v>
      </c>
      <c r="D1886">
        <v>19</v>
      </c>
      <c r="E1886">
        <v>1</v>
      </c>
      <c r="F1886">
        <v>0</v>
      </c>
      <c r="G1886">
        <v>9</v>
      </c>
      <c r="H1886" t="s">
        <v>36</v>
      </c>
      <c r="J1886">
        <v>678</v>
      </c>
      <c r="K1886" t="s">
        <v>244</v>
      </c>
      <c r="L1886">
        <v>5966.4</v>
      </c>
    </row>
    <row r="1887" spans="1:12" x14ac:dyDescent="0.3">
      <c r="A1887">
        <v>18</v>
      </c>
      <c r="B1887">
        <v>23</v>
      </c>
      <c r="C1887">
        <v>3</v>
      </c>
      <c r="D1887">
        <v>16</v>
      </c>
      <c r="E1887">
        <v>1</v>
      </c>
      <c r="F1887">
        <v>0</v>
      </c>
      <c r="G1887">
        <v>4</v>
      </c>
      <c r="H1887" t="s">
        <v>32</v>
      </c>
      <c r="I1887" t="s">
        <v>108</v>
      </c>
      <c r="J1887">
        <v>670</v>
      </c>
      <c r="K1887">
        <v>7.6</v>
      </c>
      <c r="L1887">
        <v>5092</v>
      </c>
    </row>
    <row r="1888" spans="1:12" x14ac:dyDescent="0.3">
      <c r="A1888">
        <v>19</v>
      </c>
      <c r="B1888">
        <v>22</v>
      </c>
      <c r="C1888">
        <v>3</v>
      </c>
      <c r="D1888">
        <v>11</v>
      </c>
      <c r="E1888">
        <v>1</v>
      </c>
      <c r="F1888">
        <v>0</v>
      </c>
      <c r="G1888">
        <v>12</v>
      </c>
      <c r="H1888" t="s">
        <v>33</v>
      </c>
      <c r="I1888" t="s">
        <v>74</v>
      </c>
      <c r="J1888">
        <v>632</v>
      </c>
      <c r="K1888">
        <v>9.3000000000000007</v>
      </c>
    </row>
    <row r="1889" spans="1:12" x14ac:dyDescent="0.3">
      <c r="A1889">
        <v>23</v>
      </c>
      <c r="B1889">
        <v>22</v>
      </c>
      <c r="C1889">
        <v>1</v>
      </c>
      <c r="D1889">
        <v>9</v>
      </c>
      <c r="E1889">
        <v>12</v>
      </c>
      <c r="G1889">
        <v>1</v>
      </c>
      <c r="H1889" t="s">
        <v>20</v>
      </c>
      <c r="I1889" t="s">
        <v>107</v>
      </c>
      <c r="J1889">
        <v>531</v>
      </c>
      <c r="K1889">
        <v>9.1</v>
      </c>
      <c r="L1889">
        <v>4832.0999999999904</v>
      </c>
    </row>
    <row r="1890" spans="1:12" x14ac:dyDescent="0.3">
      <c r="A1890">
        <v>9</v>
      </c>
      <c r="B1890">
        <v>20</v>
      </c>
      <c r="C1890">
        <v>3</v>
      </c>
      <c r="D1890">
        <v>9</v>
      </c>
      <c r="E1890">
        <v>1</v>
      </c>
      <c r="F1890">
        <v>0</v>
      </c>
      <c r="G1890">
        <v>3</v>
      </c>
      <c r="H1890" t="s">
        <v>33</v>
      </c>
      <c r="I1890" t="s">
        <v>104</v>
      </c>
      <c r="J1890">
        <v>588</v>
      </c>
      <c r="K1890">
        <v>9.3000000000000007</v>
      </c>
      <c r="L1890">
        <v>5468.4</v>
      </c>
    </row>
    <row r="1891" spans="1:12" x14ac:dyDescent="0.3">
      <c r="A1891">
        <v>18</v>
      </c>
      <c r="C1891">
        <v>0</v>
      </c>
      <c r="D1891">
        <v>17</v>
      </c>
      <c r="E1891">
        <v>1</v>
      </c>
      <c r="F1891">
        <v>0</v>
      </c>
      <c r="G1891">
        <v>2</v>
      </c>
      <c r="H1891" t="s">
        <v>25</v>
      </c>
      <c r="I1891" t="s">
        <v>96</v>
      </c>
      <c r="J1891">
        <v>411</v>
      </c>
      <c r="K1891">
        <v>8.1</v>
      </c>
      <c r="L1891">
        <v>3329.1</v>
      </c>
    </row>
    <row r="1892" spans="1:12" x14ac:dyDescent="0.3">
      <c r="A1892">
        <v>8</v>
      </c>
      <c r="B1892">
        <v>20</v>
      </c>
      <c r="C1892">
        <v>2</v>
      </c>
      <c r="D1892">
        <v>7</v>
      </c>
      <c r="E1892">
        <v>1</v>
      </c>
      <c r="F1892">
        <v>0</v>
      </c>
      <c r="G1892">
        <v>2</v>
      </c>
      <c r="H1892" t="s">
        <v>22</v>
      </c>
      <c r="I1892" t="s">
        <v>96</v>
      </c>
      <c r="J1892">
        <v>280</v>
      </c>
      <c r="K1892">
        <v>7.8</v>
      </c>
      <c r="L1892">
        <v>2184</v>
      </c>
    </row>
    <row r="1893" spans="1:12" x14ac:dyDescent="0.3">
      <c r="A1893">
        <v>11</v>
      </c>
      <c r="B1893">
        <v>23</v>
      </c>
      <c r="C1893">
        <v>1</v>
      </c>
      <c r="D1893">
        <v>20</v>
      </c>
      <c r="E1893">
        <v>1</v>
      </c>
      <c r="F1893">
        <v>0</v>
      </c>
      <c r="G1893">
        <v>6</v>
      </c>
      <c r="H1893" t="s">
        <v>32</v>
      </c>
      <c r="I1893" t="s">
        <v>87</v>
      </c>
      <c r="L1893">
        <v>4560</v>
      </c>
    </row>
    <row r="1894" spans="1:12" x14ac:dyDescent="0.3">
      <c r="A1894">
        <v>19</v>
      </c>
      <c r="B1894">
        <v>22</v>
      </c>
      <c r="C1894">
        <v>3</v>
      </c>
      <c r="D1894">
        <v>9</v>
      </c>
      <c r="E1894">
        <v>1</v>
      </c>
      <c r="F1894">
        <v>0</v>
      </c>
      <c r="G1894">
        <v>4</v>
      </c>
      <c r="H1894" t="s">
        <v>64</v>
      </c>
      <c r="I1894" t="s">
        <v>106</v>
      </c>
      <c r="J1894">
        <v>527</v>
      </c>
      <c r="K1894">
        <v>8.1999999999999993</v>
      </c>
      <c r="L1894">
        <v>4321.3999999999996</v>
      </c>
    </row>
    <row r="1895" spans="1:12" x14ac:dyDescent="0.3">
      <c r="A1895">
        <v>13</v>
      </c>
      <c r="C1895">
        <v>2</v>
      </c>
      <c r="D1895">
        <v>17</v>
      </c>
      <c r="E1895">
        <v>1</v>
      </c>
      <c r="F1895">
        <v>0</v>
      </c>
      <c r="G1895">
        <v>5</v>
      </c>
      <c r="H1895" t="s">
        <v>30</v>
      </c>
      <c r="I1895" t="s">
        <v>92</v>
      </c>
      <c r="J1895">
        <v>686</v>
      </c>
      <c r="K1895" t="s">
        <v>239</v>
      </c>
      <c r="L1895">
        <v>6311.2</v>
      </c>
    </row>
    <row r="1896" spans="1:12" x14ac:dyDescent="0.3">
      <c r="A1896">
        <v>14</v>
      </c>
      <c r="B1896">
        <v>22</v>
      </c>
      <c r="C1896">
        <v>2</v>
      </c>
      <c r="E1896">
        <v>1</v>
      </c>
      <c r="F1896">
        <v>0</v>
      </c>
      <c r="G1896">
        <v>11</v>
      </c>
      <c r="H1896" t="s">
        <v>34</v>
      </c>
      <c r="I1896" t="s">
        <v>93</v>
      </c>
      <c r="J1896">
        <v>593</v>
      </c>
      <c r="K1896">
        <v>7.6</v>
      </c>
      <c r="L1896">
        <v>4506.8</v>
      </c>
    </row>
    <row r="1897" spans="1:12" x14ac:dyDescent="0.3">
      <c r="A1897">
        <v>15</v>
      </c>
      <c r="B1897">
        <v>23</v>
      </c>
      <c r="C1897">
        <v>1</v>
      </c>
      <c r="D1897">
        <v>21</v>
      </c>
      <c r="E1897">
        <v>1</v>
      </c>
      <c r="F1897">
        <v>0</v>
      </c>
      <c r="G1897">
        <v>2</v>
      </c>
      <c r="H1897" t="s">
        <v>15</v>
      </c>
      <c r="I1897" t="s">
        <v>83</v>
      </c>
      <c r="J1897">
        <v>592</v>
      </c>
      <c r="K1897">
        <v>8.3000000000000007</v>
      </c>
      <c r="L1897">
        <v>4913.6000000000004</v>
      </c>
    </row>
    <row r="1898" spans="1:12" x14ac:dyDescent="0.3">
      <c r="A1898">
        <v>11</v>
      </c>
      <c r="C1898">
        <v>2</v>
      </c>
      <c r="D1898">
        <v>9</v>
      </c>
      <c r="E1898">
        <v>1</v>
      </c>
      <c r="F1898">
        <v>0</v>
      </c>
      <c r="G1898">
        <v>2</v>
      </c>
      <c r="H1898" t="s">
        <v>35</v>
      </c>
      <c r="I1898" t="s">
        <v>95</v>
      </c>
      <c r="J1898">
        <v>356</v>
      </c>
      <c r="K1898">
        <v>8.1999999999999993</v>
      </c>
      <c r="L1898">
        <v>2919.2</v>
      </c>
    </row>
    <row r="1899" spans="1:12" x14ac:dyDescent="0.3">
      <c r="A1899">
        <v>15</v>
      </c>
      <c r="B1899">
        <v>22</v>
      </c>
      <c r="C1899">
        <v>2</v>
      </c>
      <c r="D1899">
        <v>12</v>
      </c>
      <c r="E1899">
        <v>1</v>
      </c>
      <c r="F1899">
        <v>0</v>
      </c>
      <c r="G1899">
        <v>6</v>
      </c>
      <c r="H1899" t="s">
        <v>48</v>
      </c>
      <c r="I1899" t="s">
        <v>106</v>
      </c>
      <c r="J1899">
        <v>483</v>
      </c>
      <c r="K1899">
        <v>8.6999999999999993</v>
      </c>
      <c r="L1899">
        <v>4202.0999999999904</v>
      </c>
    </row>
    <row r="1900" spans="1:12" x14ac:dyDescent="0.3">
      <c r="A1900">
        <v>7</v>
      </c>
      <c r="B1900">
        <v>20</v>
      </c>
      <c r="C1900">
        <v>2</v>
      </c>
      <c r="D1900">
        <v>4</v>
      </c>
      <c r="E1900">
        <v>1</v>
      </c>
      <c r="F1900">
        <v>0</v>
      </c>
      <c r="G1900">
        <v>6</v>
      </c>
      <c r="H1900" t="s">
        <v>16</v>
      </c>
      <c r="I1900" t="s">
        <v>131</v>
      </c>
      <c r="J1900">
        <v>314</v>
      </c>
      <c r="K1900">
        <v>8.9</v>
      </c>
      <c r="L1900">
        <v>2794.6</v>
      </c>
    </row>
    <row r="1901" spans="1:12" x14ac:dyDescent="0.3">
      <c r="A1901">
        <v>14</v>
      </c>
      <c r="B1901">
        <v>22</v>
      </c>
      <c r="C1901">
        <v>2</v>
      </c>
      <c r="D1901">
        <v>14</v>
      </c>
      <c r="E1901">
        <v>12</v>
      </c>
      <c r="F1901">
        <v>0</v>
      </c>
      <c r="G1901">
        <v>2</v>
      </c>
      <c r="H1901" t="s">
        <v>22</v>
      </c>
      <c r="I1901" t="s">
        <v>90</v>
      </c>
      <c r="J1901">
        <v>632</v>
      </c>
      <c r="K1901">
        <v>7.8</v>
      </c>
      <c r="L1901" t="s">
        <v>358</v>
      </c>
    </row>
    <row r="1902" spans="1:12" x14ac:dyDescent="0.3">
      <c r="A1902">
        <v>8</v>
      </c>
      <c r="B1902">
        <v>22</v>
      </c>
      <c r="C1902">
        <v>1</v>
      </c>
      <c r="D1902">
        <v>11</v>
      </c>
      <c r="E1902">
        <v>1</v>
      </c>
      <c r="F1902">
        <v>0</v>
      </c>
      <c r="G1902">
        <v>6</v>
      </c>
      <c r="H1902" t="s">
        <v>23</v>
      </c>
      <c r="I1902" t="s">
        <v>72</v>
      </c>
      <c r="J1902">
        <v>447</v>
      </c>
      <c r="K1902">
        <v>8.4</v>
      </c>
    </row>
    <row r="1903" spans="1:12" x14ac:dyDescent="0.3">
      <c r="A1903">
        <v>9</v>
      </c>
      <c r="B1903">
        <v>22</v>
      </c>
      <c r="C1903">
        <v>2</v>
      </c>
      <c r="D1903">
        <v>16</v>
      </c>
      <c r="E1903">
        <v>7</v>
      </c>
      <c r="G1903">
        <v>9</v>
      </c>
      <c r="H1903" t="s">
        <v>14</v>
      </c>
      <c r="I1903" t="s">
        <v>80</v>
      </c>
      <c r="J1903">
        <v>493</v>
      </c>
      <c r="K1903">
        <v>8.9</v>
      </c>
      <c r="L1903">
        <v>4387.7</v>
      </c>
    </row>
    <row r="1904" spans="1:12" x14ac:dyDescent="0.3">
      <c r="A1904">
        <v>5</v>
      </c>
      <c r="B1904">
        <v>20</v>
      </c>
      <c r="C1904">
        <v>1</v>
      </c>
      <c r="D1904">
        <v>3</v>
      </c>
      <c r="E1904">
        <v>7</v>
      </c>
      <c r="F1904">
        <v>0</v>
      </c>
      <c r="G1904">
        <v>4</v>
      </c>
      <c r="H1904" t="s">
        <v>38</v>
      </c>
      <c r="I1904" t="s">
        <v>123</v>
      </c>
      <c r="J1904">
        <v>239</v>
      </c>
      <c r="K1904">
        <v>7.4</v>
      </c>
      <c r="L1904">
        <v>1768.6</v>
      </c>
    </row>
    <row r="1905" spans="1:12" x14ac:dyDescent="0.3">
      <c r="A1905">
        <v>9</v>
      </c>
      <c r="B1905">
        <v>23</v>
      </c>
      <c r="C1905">
        <v>2</v>
      </c>
      <c r="D1905">
        <v>7</v>
      </c>
      <c r="E1905">
        <v>1</v>
      </c>
      <c r="F1905">
        <v>0</v>
      </c>
      <c r="G1905">
        <v>4</v>
      </c>
      <c r="H1905" t="s">
        <v>35</v>
      </c>
      <c r="I1905" t="s">
        <v>89</v>
      </c>
      <c r="J1905">
        <v>412</v>
      </c>
      <c r="K1905">
        <v>8.1999999999999993</v>
      </c>
      <c r="L1905">
        <v>3378.3999999999901</v>
      </c>
    </row>
    <row r="1906" spans="1:12" x14ac:dyDescent="0.3">
      <c r="A1906">
        <v>15</v>
      </c>
      <c r="B1906">
        <v>23</v>
      </c>
      <c r="C1906">
        <v>3</v>
      </c>
      <c r="D1906">
        <v>15</v>
      </c>
      <c r="E1906">
        <v>1</v>
      </c>
      <c r="F1906">
        <v>0</v>
      </c>
      <c r="G1906">
        <v>12</v>
      </c>
      <c r="H1906" t="s">
        <v>32</v>
      </c>
      <c r="J1906">
        <v>514</v>
      </c>
      <c r="K1906">
        <v>7.6</v>
      </c>
      <c r="L1906">
        <v>3906.3999999999901</v>
      </c>
    </row>
    <row r="1907" spans="1:12" x14ac:dyDescent="0.3">
      <c r="A1907">
        <v>23</v>
      </c>
      <c r="B1907">
        <v>22</v>
      </c>
      <c r="C1907">
        <v>3</v>
      </c>
      <c r="D1907">
        <v>18</v>
      </c>
      <c r="E1907">
        <v>1</v>
      </c>
      <c r="F1907">
        <v>0</v>
      </c>
      <c r="G1907">
        <v>4</v>
      </c>
      <c r="H1907" t="s">
        <v>25</v>
      </c>
      <c r="I1907" t="s">
        <v>85</v>
      </c>
      <c r="J1907" t="s">
        <v>226</v>
      </c>
      <c r="K1907">
        <v>8.1</v>
      </c>
      <c r="L1907">
        <v>5289.3</v>
      </c>
    </row>
    <row r="1908" spans="1:12" x14ac:dyDescent="0.3">
      <c r="A1908">
        <v>22</v>
      </c>
      <c r="B1908">
        <v>23</v>
      </c>
      <c r="C1908">
        <v>0</v>
      </c>
      <c r="D1908">
        <v>10</v>
      </c>
      <c r="E1908">
        <v>1</v>
      </c>
      <c r="F1908">
        <v>0</v>
      </c>
      <c r="G1908">
        <v>6</v>
      </c>
      <c r="H1908" t="s">
        <v>23</v>
      </c>
      <c r="I1908" t="s">
        <v>91</v>
      </c>
      <c r="J1908">
        <v>417</v>
      </c>
      <c r="K1908">
        <v>8.4</v>
      </c>
      <c r="L1908">
        <v>3502.8</v>
      </c>
    </row>
    <row r="1909" spans="1:12" x14ac:dyDescent="0.3">
      <c r="A1909">
        <v>12</v>
      </c>
      <c r="B1909">
        <v>23</v>
      </c>
      <c r="C1909">
        <v>3</v>
      </c>
      <c r="D1909">
        <v>9</v>
      </c>
      <c r="E1909">
        <v>1</v>
      </c>
      <c r="F1909">
        <v>0</v>
      </c>
      <c r="G1909">
        <v>3</v>
      </c>
      <c r="H1909" t="s">
        <v>35</v>
      </c>
      <c r="I1909" t="s">
        <v>74</v>
      </c>
      <c r="J1909" t="s">
        <v>227</v>
      </c>
      <c r="K1909">
        <v>8.1999999999999993</v>
      </c>
      <c r="L1909">
        <v>4083.5999999999899</v>
      </c>
    </row>
    <row r="1910" spans="1:12" x14ac:dyDescent="0.3">
      <c r="A1910">
        <v>5</v>
      </c>
      <c r="B1910">
        <v>18</v>
      </c>
      <c r="D1910">
        <v>11</v>
      </c>
      <c r="E1910">
        <v>1</v>
      </c>
      <c r="F1910">
        <v>0</v>
      </c>
      <c r="G1910">
        <v>11</v>
      </c>
      <c r="H1910" t="s">
        <v>36</v>
      </c>
      <c r="I1910" t="s">
        <v>99</v>
      </c>
      <c r="J1910">
        <v>187</v>
      </c>
      <c r="K1910">
        <v>8.8000000000000007</v>
      </c>
      <c r="L1910" t="s">
        <v>359</v>
      </c>
    </row>
    <row r="1911" spans="1:12" x14ac:dyDescent="0.3">
      <c r="A1911">
        <v>15</v>
      </c>
      <c r="C1911">
        <v>2</v>
      </c>
      <c r="D1911">
        <v>13</v>
      </c>
      <c r="E1911">
        <v>1</v>
      </c>
      <c r="F1911">
        <v>0</v>
      </c>
      <c r="G1911">
        <v>2</v>
      </c>
      <c r="H1911" t="s">
        <v>16</v>
      </c>
      <c r="I1911" t="s">
        <v>87</v>
      </c>
      <c r="J1911">
        <v>581</v>
      </c>
      <c r="K1911">
        <v>8.9</v>
      </c>
      <c r="L1911">
        <v>5170.8999999999996</v>
      </c>
    </row>
    <row r="1912" spans="1:12" x14ac:dyDescent="0.3">
      <c r="A1912">
        <v>13</v>
      </c>
      <c r="B1912">
        <v>22</v>
      </c>
      <c r="C1912">
        <v>1</v>
      </c>
      <c r="D1912">
        <v>5</v>
      </c>
      <c r="E1912">
        <v>12</v>
      </c>
      <c r="F1912">
        <v>0</v>
      </c>
      <c r="G1912">
        <v>6</v>
      </c>
      <c r="H1912" t="s">
        <v>24</v>
      </c>
      <c r="I1912" t="s">
        <v>94</v>
      </c>
      <c r="J1912">
        <v>536</v>
      </c>
      <c r="K1912">
        <v>7.9</v>
      </c>
    </row>
    <row r="1913" spans="1:12" x14ac:dyDescent="0.3">
      <c r="A1913">
        <v>10</v>
      </c>
      <c r="B1913">
        <v>22</v>
      </c>
      <c r="C1913">
        <v>1</v>
      </c>
      <c r="D1913">
        <v>14</v>
      </c>
      <c r="E1913">
        <v>1</v>
      </c>
      <c r="F1913">
        <v>0</v>
      </c>
      <c r="G1913">
        <v>5</v>
      </c>
      <c r="H1913" t="s">
        <v>32</v>
      </c>
      <c r="I1913" t="s">
        <v>121</v>
      </c>
      <c r="J1913">
        <v>621</v>
      </c>
      <c r="K1913">
        <v>7.6</v>
      </c>
      <c r="L1913">
        <v>4719.5999999999904</v>
      </c>
    </row>
    <row r="1914" spans="1:12" x14ac:dyDescent="0.3">
      <c r="A1914">
        <v>6</v>
      </c>
      <c r="B1914">
        <v>21</v>
      </c>
      <c r="C1914">
        <v>2</v>
      </c>
      <c r="D1914">
        <v>4</v>
      </c>
      <c r="E1914">
        <v>7</v>
      </c>
      <c r="F1914">
        <v>0</v>
      </c>
      <c r="G1914">
        <v>9</v>
      </c>
      <c r="H1914" t="s">
        <v>22</v>
      </c>
      <c r="I1914" t="s">
        <v>74</v>
      </c>
      <c r="J1914">
        <v>502</v>
      </c>
      <c r="K1914">
        <v>7.8</v>
      </c>
      <c r="L1914">
        <v>3915.6</v>
      </c>
    </row>
    <row r="1915" spans="1:12" x14ac:dyDescent="0.3">
      <c r="A1915">
        <v>16</v>
      </c>
      <c r="B1915">
        <v>22</v>
      </c>
      <c r="C1915">
        <v>2</v>
      </c>
      <c r="D1915">
        <v>8</v>
      </c>
      <c r="E1915">
        <v>1</v>
      </c>
      <c r="F1915">
        <v>0</v>
      </c>
      <c r="G1915">
        <v>8</v>
      </c>
      <c r="H1915" t="s">
        <v>18</v>
      </c>
      <c r="I1915" t="s">
        <v>74</v>
      </c>
      <c r="J1915">
        <v>361</v>
      </c>
      <c r="K1915">
        <v>7.7</v>
      </c>
      <c r="L1915">
        <v>2779.7</v>
      </c>
    </row>
    <row r="1916" spans="1:12" x14ac:dyDescent="0.3">
      <c r="A1916">
        <v>21</v>
      </c>
      <c r="B1916">
        <v>22</v>
      </c>
      <c r="C1916">
        <v>0</v>
      </c>
      <c r="D1916">
        <v>22</v>
      </c>
      <c r="E1916">
        <v>1</v>
      </c>
      <c r="F1916">
        <v>0</v>
      </c>
      <c r="G1916">
        <v>11</v>
      </c>
      <c r="H1916" t="s">
        <v>30</v>
      </c>
      <c r="I1916" t="s">
        <v>75</v>
      </c>
      <c r="J1916">
        <v>600</v>
      </c>
      <c r="K1916">
        <v>9.1999999999999993</v>
      </c>
      <c r="L1916">
        <v>5520</v>
      </c>
    </row>
    <row r="1917" spans="1:12" x14ac:dyDescent="0.3">
      <c r="A1917">
        <v>22</v>
      </c>
      <c r="B1917">
        <v>22</v>
      </c>
      <c r="C1917">
        <v>2</v>
      </c>
      <c r="D1917">
        <v>18</v>
      </c>
      <c r="E1917">
        <v>1</v>
      </c>
      <c r="G1917">
        <v>3</v>
      </c>
      <c r="H1917" t="s">
        <v>46</v>
      </c>
      <c r="I1917" t="s">
        <v>96</v>
      </c>
      <c r="J1917">
        <v>656</v>
      </c>
      <c r="K1917">
        <v>7.7</v>
      </c>
      <c r="L1917">
        <v>5051.2</v>
      </c>
    </row>
    <row r="1918" spans="1:12" x14ac:dyDescent="0.3">
      <c r="A1918">
        <v>9</v>
      </c>
      <c r="B1918">
        <v>21</v>
      </c>
      <c r="C1918">
        <v>3</v>
      </c>
      <c r="D1918">
        <v>5</v>
      </c>
      <c r="E1918">
        <v>1</v>
      </c>
      <c r="F1918">
        <v>0</v>
      </c>
      <c r="G1918">
        <v>4</v>
      </c>
      <c r="H1918" t="s">
        <v>30</v>
      </c>
      <c r="J1918">
        <v>384</v>
      </c>
      <c r="K1918">
        <v>9.1999999999999993</v>
      </c>
      <c r="L1918">
        <v>3532.7999999999902</v>
      </c>
    </row>
    <row r="1919" spans="1:12" x14ac:dyDescent="0.3">
      <c r="A1919">
        <v>15</v>
      </c>
      <c r="B1919">
        <v>23</v>
      </c>
      <c r="C1919">
        <v>1</v>
      </c>
      <c r="D1919">
        <v>14</v>
      </c>
      <c r="E1919">
        <v>1</v>
      </c>
      <c r="F1919">
        <v>0</v>
      </c>
      <c r="G1919">
        <v>1</v>
      </c>
      <c r="H1919" t="s">
        <v>39</v>
      </c>
      <c r="I1919" t="s">
        <v>73</v>
      </c>
      <c r="J1919">
        <v>672</v>
      </c>
      <c r="K1919">
        <v>8.8000000000000007</v>
      </c>
      <c r="L1919">
        <v>5913.6</v>
      </c>
    </row>
    <row r="1920" spans="1:12" x14ac:dyDescent="0.3">
      <c r="A1920">
        <v>12</v>
      </c>
      <c r="B1920">
        <v>22</v>
      </c>
      <c r="C1920">
        <v>0</v>
      </c>
      <c r="D1920">
        <v>8</v>
      </c>
      <c r="F1920">
        <v>0</v>
      </c>
      <c r="G1920">
        <v>11</v>
      </c>
      <c r="H1920" t="s">
        <v>36</v>
      </c>
      <c r="I1920" t="s">
        <v>88</v>
      </c>
      <c r="J1920">
        <v>332</v>
      </c>
      <c r="K1920">
        <v>8.8000000000000007</v>
      </c>
      <c r="L1920">
        <v>2921.6</v>
      </c>
    </row>
    <row r="1921" spans="1:12" x14ac:dyDescent="0.3">
      <c r="A1921">
        <v>12</v>
      </c>
      <c r="B1921">
        <v>23</v>
      </c>
      <c r="C1921">
        <v>3</v>
      </c>
      <c r="D1921">
        <v>4</v>
      </c>
      <c r="E1921">
        <v>12</v>
      </c>
      <c r="F1921">
        <v>0</v>
      </c>
      <c r="G1921">
        <v>5</v>
      </c>
      <c r="H1921" t="s">
        <v>54</v>
      </c>
      <c r="J1921">
        <v>662</v>
      </c>
      <c r="K1921" t="s">
        <v>239</v>
      </c>
      <c r="L1921">
        <v>6090.4</v>
      </c>
    </row>
    <row r="1922" spans="1:12" x14ac:dyDescent="0.3">
      <c r="A1922">
        <v>13</v>
      </c>
      <c r="B1922">
        <v>23</v>
      </c>
      <c r="C1922">
        <v>1</v>
      </c>
      <c r="D1922">
        <v>15</v>
      </c>
      <c r="E1922">
        <v>1</v>
      </c>
      <c r="F1922">
        <v>0</v>
      </c>
      <c r="G1922">
        <v>7</v>
      </c>
      <c r="H1922" t="s">
        <v>26</v>
      </c>
      <c r="I1922" t="s">
        <v>73</v>
      </c>
      <c r="J1922">
        <v>481</v>
      </c>
      <c r="K1922">
        <v>8.5</v>
      </c>
      <c r="L1922">
        <v>4088.5</v>
      </c>
    </row>
    <row r="1923" spans="1:12" x14ac:dyDescent="0.3">
      <c r="A1923">
        <v>21</v>
      </c>
      <c r="B1923">
        <v>22</v>
      </c>
      <c r="C1923">
        <v>3</v>
      </c>
      <c r="D1923">
        <v>6</v>
      </c>
      <c r="E1923">
        <v>1</v>
      </c>
      <c r="F1923">
        <v>0</v>
      </c>
      <c r="G1923">
        <v>4</v>
      </c>
      <c r="H1923" t="s">
        <v>18</v>
      </c>
      <c r="I1923" t="s">
        <v>90</v>
      </c>
      <c r="J1923" t="s">
        <v>143</v>
      </c>
      <c r="K1923">
        <v>7.7</v>
      </c>
      <c r="L1923">
        <v>4797.1000000000004</v>
      </c>
    </row>
    <row r="1924" spans="1:12" x14ac:dyDescent="0.3">
      <c r="A1924">
        <v>6</v>
      </c>
      <c r="B1924">
        <v>22</v>
      </c>
      <c r="C1924">
        <v>3</v>
      </c>
      <c r="D1924">
        <v>8</v>
      </c>
      <c r="E1924">
        <v>1</v>
      </c>
      <c r="F1924">
        <v>0</v>
      </c>
      <c r="G1924">
        <v>9</v>
      </c>
      <c r="H1924" t="s">
        <v>45</v>
      </c>
      <c r="I1924" t="s">
        <v>123</v>
      </c>
      <c r="J1924">
        <v>457</v>
      </c>
      <c r="K1924">
        <v>7.9</v>
      </c>
      <c r="L1924">
        <v>3610.3</v>
      </c>
    </row>
    <row r="1925" spans="1:12" x14ac:dyDescent="0.3">
      <c r="A1925">
        <v>9</v>
      </c>
      <c r="B1925">
        <v>20</v>
      </c>
      <c r="C1925">
        <v>1</v>
      </c>
      <c r="D1925">
        <v>12</v>
      </c>
      <c r="E1925">
        <v>1</v>
      </c>
      <c r="F1925">
        <v>0</v>
      </c>
      <c r="G1925">
        <v>7</v>
      </c>
      <c r="H1925" t="s">
        <v>51</v>
      </c>
      <c r="I1925" t="s">
        <v>74</v>
      </c>
      <c r="J1925">
        <v>389</v>
      </c>
      <c r="K1925">
        <v>8.8000000000000007</v>
      </c>
      <c r="L1925">
        <v>3423.2</v>
      </c>
    </row>
    <row r="1926" spans="1:12" x14ac:dyDescent="0.3">
      <c r="A1926">
        <v>7</v>
      </c>
      <c r="B1926">
        <v>18</v>
      </c>
      <c r="C1926">
        <v>1</v>
      </c>
      <c r="D1926">
        <v>15</v>
      </c>
      <c r="E1926">
        <v>1</v>
      </c>
      <c r="F1926">
        <v>0</v>
      </c>
      <c r="G1926">
        <v>5</v>
      </c>
      <c r="H1926" t="s">
        <v>50</v>
      </c>
      <c r="I1926" t="s">
        <v>93</v>
      </c>
      <c r="J1926">
        <v>499</v>
      </c>
      <c r="K1926">
        <v>9.3000000000000007</v>
      </c>
      <c r="L1926">
        <v>4640.7</v>
      </c>
    </row>
    <row r="1927" spans="1:12" x14ac:dyDescent="0.3">
      <c r="A1927">
        <v>7</v>
      </c>
      <c r="B1927">
        <v>19</v>
      </c>
      <c r="C1927">
        <v>3</v>
      </c>
      <c r="D1927">
        <v>22</v>
      </c>
      <c r="E1927">
        <v>1</v>
      </c>
      <c r="F1927">
        <v>0</v>
      </c>
      <c r="G1927">
        <v>10</v>
      </c>
      <c r="H1927" t="s">
        <v>25</v>
      </c>
      <c r="I1927" t="s">
        <v>89</v>
      </c>
      <c r="J1927" t="s">
        <v>228</v>
      </c>
      <c r="K1927">
        <v>8.1</v>
      </c>
      <c r="L1927">
        <v>5394.5999999999904</v>
      </c>
    </row>
    <row r="1928" spans="1:12" x14ac:dyDescent="0.3">
      <c r="A1928">
        <v>20</v>
      </c>
      <c r="B1928">
        <v>22</v>
      </c>
      <c r="C1928">
        <v>2</v>
      </c>
      <c r="D1928">
        <v>5</v>
      </c>
      <c r="E1928">
        <v>1</v>
      </c>
      <c r="F1928">
        <v>0</v>
      </c>
      <c r="G1928">
        <v>5</v>
      </c>
      <c r="H1928" t="s">
        <v>41</v>
      </c>
      <c r="I1928" t="s">
        <v>109</v>
      </c>
      <c r="J1928">
        <v>414</v>
      </c>
      <c r="K1928">
        <v>9.3000000000000007</v>
      </c>
      <c r="L1928">
        <v>3850.2</v>
      </c>
    </row>
    <row r="1929" spans="1:12" x14ac:dyDescent="0.3">
      <c r="A1929">
        <v>13</v>
      </c>
      <c r="B1929">
        <v>23</v>
      </c>
      <c r="C1929">
        <v>1</v>
      </c>
      <c r="D1929">
        <v>16</v>
      </c>
      <c r="E1929">
        <v>1</v>
      </c>
      <c r="F1929">
        <v>0</v>
      </c>
      <c r="G1929">
        <v>8</v>
      </c>
      <c r="H1929" t="s">
        <v>28</v>
      </c>
      <c r="I1929" t="s">
        <v>84</v>
      </c>
      <c r="J1929">
        <v>483</v>
      </c>
      <c r="K1929">
        <v>7.7</v>
      </c>
      <c r="L1929">
        <v>3719.1</v>
      </c>
    </row>
    <row r="1930" spans="1:12" x14ac:dyDescent="0.3">
      <c r="A1930">
        <v>9</v>
      </c>
      <c r="B1930">
        <v>18</v>
      </c>
      <c r="C1930">
        <v>3</v>
      </c>
      <c r="D1930">
        <v>16</v>
      </c>
      <c r="E1930">
        <v>1</v>
      </c>
      <c r="F1930">
        <v>0</v>
      </c>
      <c r="G1930">
        <v>5</v>
      </c>
      <c r="H1930" t="s">
        <v>30</v>
      </c>
      <c r="I1930" t="s">
        <v>84</v>
      </c>
      <c r="J1930">
        <v>551</v>
      </c>
      <c r="L1930">
        <v>5069.2</v>
      </c>
    </row>
    <row r="1931" spans="1:12" x14ac:dyDescent="0.3">
      <c r="A1931">
        <v>16</v>
      </c>
      <c r="B1931">
        <v>22</v>
      </c>
      <c r="D1931">
        <v>12</v>
      </c>
      <c r="F1931">
        <v>0</v>
      </c>
      <c r="G1931">
        <v>9</v>
      </c>
      <c r="H1931" t="s">
        <v>32</v>
      </c>
      <c r="I1931" t="s">
        <v>95</v>
      </c>
      <c r="J1931">
        <v>590</v>
      </c>
      <c r="K1931">
        <v>7.6</v>
      </c>
      <c r="L1931">
        <v>4484</v>
      </c>
    </row>
    <row r="1932" spans="1:12" x14ac:dyDescent="0.3">
      <c r="A1932">
        <v>10</v>
      </c>
      <c r="B1932">
        <v>23</v>
      </c>
      <c r="C1932">
        <v>2</v>
      </c>
      <c r="D1932">
        <v>3</v>
      </c>
      <c r="E1932">
        <v>1</v>
      </c>
      <c r="F1932">
        <v>0</v>
      </c>
      <c r="G1932">
        <v>7</v>
      </c>
      <c r="H1932" t="s">
        <v>22</v>
      </c>
      <c r="I1932" t="s">
        <v>88</v>
      </c>
      <c r="J1932">
        <v>474</v>
      </c>
      <c r="K1932">
        <v>7.8</v>
      </c>
      <c r="L1932">
        <v>3697.2</v>
      </c>
    </row>
    <row r="1933" spans="1:12" x14ac:dyDescent="0.3">
      <c r="A1933">
        <v>6</v>
      </c>
      <c r="B1933">
        <v>21</v>
      </c>
      <c r="C1933">
        <v>3</v>
      </c>
      <c r="D1933">
        <v>19</v>
      </c>
      <c r="E1933">
        <v>1</v>
      </c>
      <c r="F1933">
        <v>0</v>
      </c>
      <c r="G1933">
        <v>2</v>
      </c>
      <c r="H1933" t="s">
        <v>16</v>
      </c>
      <c r="I1933" t="s">
        <v>77</v>
      </c>
      <c r="J1933">
        <v>576</v>
      </c>
      <c r="K1933">
        <v>8.9</v>
      </c>
      <c r="L1933">
        <v>5126.3999999999996</v>
      </c>
    </row>
    <row r="1934" spans="1:12" x14ac:dyDescent="0.3">
      <c r="A1934">
        <v>15</v>
      </c>
      <c r="B1934">
        <v>23</v>
      </c>
      <c r="C1934">
        <v>1</v>
      </c>
      <c r="D1934">
        <v>14</v>
      </c>
      <c r="E1934">
        <v>12</v>
      </c>
      <c r="F1934">
        <v>0</v>
      </c>
      <c r="G1934">
        <v>7</v>
      </c>
      <c r="H1934" t="s">
        <v>54</v>
      </c>
      <c r="J1934">
        <v>594</v>
      </c>
      <c r="K1934">
        <v>9.1999999999999993</v>
      </c>
      <c r="L1934">
        <v>5464.7999999999902</v>
      </c>
    </row>
    <row r="1935" spans="1:12" x14ac:dyDescent="0.3">
      <c r="A1935">
        <v>8</v>
      </c>
      <c r="B1935">
        <v>20</v>
      </c>
      <c r="C1935">
        <v>1</v>
      </c>
      <c r="D1935">
        <v>5</v>
      </c>
      <c r="E1935">
        <v>1</v>
      </c>
      <c r="F1935">
        <v>0</v>
      </c>
      <c r="G1935">
        <v>11</v>
      </c>
      <c r="H1935" t="s">
        <v>18</v>
      </c>
      <c r="I1935" t="s">
        <v>89</v>
      </c>
      <c r="J1935">
        <v>216</v>
      </c>
      <c r="K1935">
        <v>7.7</v>
      </c>
      <c r="L1935">
        <v>1663.2</v>
      </c>
    </row>
    <row r="1936" spans="1:12" x14ac:dyDescent="0.3">
      <c r="A1936">
        <v>15</v>
      </c>
      <c r="B1936">
        <v>23</v>
      </c>
      <c r="C1936">
        <v>1</v>
      </c>
      <c r="D1936">
        <v>18</v>
      </c>
      <c r="E1936">
        <v>12</v>
      </c>
      <c r="F1936">
        <v>0</v>
      </c>
      <c r="G1936">
        <v>9</v>
      </c>
      <c r="H1936" t="s">
        <v>19</v>
      </c>
      <c r="I1936" t="s">
        <v>84</v>
      </c>
      <c r="J1936">
        <v>736</v>
      </c>
      <c r="K1936">
        <v>8.9</v>
      </c>
      <c r="L1936">
        <v>6550.4</v>
      </c>
    </row>
    <row r="1937" spans="1:12" x14ac:dyDescent="0.3">
      <c r="A1937">
        <v>12</v>
      </c>
      <c r="B1937">
        <v>22</v>
      </c>
      <c r="C1937">
        <v>3</v>
      </c>
      <c r="D1937">
        <v>13</v>
      </c>
      <c r="E1937">
        <v>1</v>
      </c>
      <c r="F1937">
        <v>0</v>
      </c>
      <c r="G1937">
        <v>1</v>
      </c>
      <c r="H1937" t="s">
        <v>47</v>
      </c>
      <c r="I1937" t="s">
        <v>93</v>
      </c>
      <c r="J1937">
        <v>494</v>
      </c>
      <c r="K1937">
        <v>9.1</v>
      </c>
      <c r="L1937">
        <v>4495.3999999999996</v>
      </c>
    </row>
    <row r="1938" spans="1:12" x14ac:dyDescent="0.3">
      <c r="B1938">
        <v>23</v>
      </c>
      <c r="C1938">
        <v>2</v>
      </c>
      <c r="D1938">
        <v>19</v>
      </c>
      <c r="E1938">
        <v>12</v>
      </c>
      <c r="F1938">
        <v>0</v>
      </c>
      <c r="G1938">
        <v>4</v>
      </c>
      <c r="H1938" t="s">
        <v>23</v>
      </c>
      <c r="I1938" t="s">
        <v>107</v>
      </c>
      <c r="J1938">
        <v>549</v>
      </c>
      <c r="K1938">
        <v>8.4</v>
      </c>
      <c r="L1938">
        <v>4611.6000000000004</v>
      </c>
    </row>
    <row r="1939" spans="1:12" x14ac:dyDescent="0.3">
      <c r="A1939">
        <v>16</v>
      </c>
      <c r="B1939">
        <v>23</v>
      </c>
      <c r="C1939">
        <v>2</v>
      </c>
      <c r="D1939">
        <v>5</v>
      </c>
      <c r="E1939">
        <v>12</v>
      </c>
      <c r="F1939">
        <v>0</v>
      </c>
      <c r="G1939">
        <v>10</v>
      </c>
      <c r="H1939" t="s">
        <v>39</v>
      </c>
      <c r="I1939" t="s">
        <v>71</v>
      </c>
      <c r="J1939">
        <v>705</v>
      </c>
      <c r="K1939">
        <v>8.8000000000000007</v>
      </c>
      <c r="L1939">
        <v>6204</v>
      </c>
    </row>
    <row r="1940" spans="1:12" x14ac:dyDescent="0.3">
      <c r="A1940">
        <v>21</v>
      </c>
      <c r="B1940">
        <v>23</v>
      </c>
      <c r="C1940">
        <v>2</v>
      </c>
      <c r="D1940">
        <v>11</v>
      </c>
      <c r="E1940">
        <v>12</v>
      </c>
      <c r="F1940">
        <v>0</v>
      </c>
      <c r="G1940">
        <v>5</v>
      </c>
      <c r="H1940" t="s">
        <v>36</v>
      </c>
      <c r="I1940" t="s">
        <v>84</v>
      </c>
      <c r="J1940">
        <v>555</v>
      </c>
      <c r="K1940">
        <v>8.8000000000000007</v>
      </c>
      <c r="L1940">
        <v>4884</v>
      </c>
    </row>
    <row r="1941" spans="1:12" x14ac:dyDescent="0.3">
      <c r="A1941">
        <v>15</v>
      </c>
      <c r="B1941">
        <v>23</v>
      </c>
      <c r="C1941">
        <v>0</v>
      </c>
      <c r="D1941">
        <v>9</v>
      </c>
      <c r="E1941">
        <v>1</v>
      </c>
      <c r="F1941">
        <v>0</v>
      </c>
      <c r="G1941">
        <v>4</v>
      </c>
      <c r="H1941" t="s">
        <v>53</v>
      </c>
      <c r="I1941" t="s">
        <v>83</v>
      </c>
      <c r="J1941">
        <v>393</v>
      </c>
      <c r="K1941">
        <v>7.7</v>
      </c>
      <c r="L1941">
        <v>3026.1</v>
      </c>
    </row>
    <row r="1942" spans="1:12" x14ac:dyDescent="0.3">
      <c r="B1942">
        <v>18</v>
      </c>
      <c r="C1942">
        <v>3</v>
      </c>
      <c r="D1942">
        <v>14</v>
      </c>
      <c r="E1942">
        <v>1</v>
      </c>
      <c r="F1942">
        <v>0</v>
      </c>
      <c r="G1942">
        <v>11</v>
      </c>
      <c r="H1942" t="s">
        <v>50</v>
      </c>
      <c r="I1942" t="s">
        <v>88</v>
      </c>
      <c r="J1942">
        <v>400</v>
      </c>
      <c r="K1942">
        <v>9.3000000000000007</v>
      </c>
      <c r="L1942">
        <v>3720</v>
      </c>
    </row>
    <row r="1943" spans="1:12" x14ac:dyDescent="0.3">
      <c r="A1943">
        <v>21</v>
      </c>
      <c r="B1943">
        <v>23</v>
      </c>
      <c r="D1943">
        <v>6</v>
      </c>
      <c r="E1943">
        <v>1</v>
      </c>
      <c r="F1943">
        <v>0</v>
      </c>
      <c r="G1943">
        <v>11</v>
      </c>
      <c r="H1943" t="s">
        <v>25</v>
      </c>
      <c r="I1943" t="s">
        <v>85</v>
      </c>
      <c r="J1943">
        <v>548</v>
      </c>
    </row>
    <row r="1944" spans="1:12" x14ac:dyDescent="0.3">
      <c r="A1944">
        <v>17</v>
      </c>
      <c r="B1944">
        <v>23</v>
      </c>
      <c r="C1944">
        <v>3</v>
      </c>
      <c r="D1944">
        <v>21</v>
      </c>
      <c r="E1944">
        <v>1</v>
      </c>
      <c r="F1944">
        <v>0</v>
      </c>
      <c r="H1944" t="s">
        <v>16</v>
      </c>
      <c r="I1944" t="s">
        <v>97</v>
      </c>
      <c r="J1944">
        <v>724</v>
      </c>
      <c r="K1944">
        <v>8.9</v>
      </c>
      <c r="L1944">
        <v>6443.6</v>
      </c>
    </row>
    <row r="1945" spans="1:12" x14ac:dyDescent="0.3">
      <c r="A1945">
        <v>12</v>
      </c>
      <c r="B1945">
        <v>22</v>
      </c>
      <c r="C1945">
        <v>1</v>
      </c>
      <c r="D1945">
        <v>22</v>
      </c>
      <c r="E1945">
        <v>1</v>
      </c>
      <c r="F1945">
        <v>0</v>
      </c>
      <c r="G1945">
        <v>3</v>
      </c>
      <c r="H1945" t="s">
        <v>19</v>
      </c>
      <c r="I1945" t="s">
        <v>106</v>
      </c>
      <c r="J1945">
        <v>506</v>
      </c>
      <c r="K1945">
        <v>8.9</v>
      </c>
      <c r="L1945">
        <v>4503.3999999999996</v>
      </c>
    </row>
    <row r="1946" spans="1:12" x14ac:dyDescent="0.3">
      <c r="A1946">
        <v>23</v>
      </c>
      <c r="B1946">
        <v>22</v>
      </c>
      <c r="C1946">
        <v>3</v>
      </c>
      <c r="D1946">
        <v>17</v>
      </c>
      <c r="E1946">
        <v>12</v>
      </c>
      <c r="F1946">
        <v>0</v>
      </c>
      <c r="G1946">
        <v>4</v>
      </c>
      <c r="H1946" t="s">
        <v>24</v>
      </c>
      <c r="I1946" t="s">
        <v>94</v>
      </c>
      <c r="J1946">
        <v>730</v>
      </c>
      <c r="K1946">
        <v>7.9</v>
      </c>
      <c r="L1946">
        <v>5767</v>
      </c>
    </row>
    <row r="1947" spans="1:12" x14ac:dyDescent="0.3">
      <c r="A1947">
        <v>6</v>
      </c>
      <c r="B1947">
        <v>23</v>
      </c>
      <c r="C1947">
        <v>2</v>
      </c>
      <c r="D1947">
        <v>16</v>
      </c>
      <c r="E1947">
        <v>1</v>
      </c>
      <c r="F1947">
        <v>0</v>
      </c>
      <c r="G1947">
        <v>6</v>
      </c>
      <c r="H1947" t="s">
        <v>28</v>
      </c>
      <c r="I1947" t="s">
        <v>121</v>
      </c>
      <c r="J1947">
        <v>549</v>
      </c>
      <c r="K1947">
        <v>7.7</v>
      </c>
      <c r="L1947">
        <v>4227.3</v>
      </c>
    </row>
    <row r="1948" spans="1:12" x14ac:dyDescent="0.3">
      <c r="A1948">
        <v>20</v>
      </c>
      <c r="B1948">
        <v>23</v>
      </c>
      <c r="C1948">
        <v>0</v>
      </c>
      <c r="D1948">
        <v>15</v>
      </c>
      <c r="E1948">
        <v>1</v>
      </c>
      <c r="F1948">
        <v>0</v>
      </c>
      <c r="G1948">
        <v>11</v>
      </c>
      <c r="H1948" t="s">
        <v>16</v>
      </c>
      <c r="I1948" t="s">
        <v>72</v>
      </c>
      <c r="J1948">
        <v>661</v>
      </c>
      <c r="K1948">
        <v>8.9</v>
      </c>
      <c r="L1948">
        <v>5882.9</v>
      </c>
    </row>
    <row r="1949" spans="1:12" x14ac:dyDescent="0.3">
      <c r="A1949">
        <v>21</v>
      </c>
      <c r="B1949">
        <v>23</v>
      </c>
      <c r="C1949">
        <v>3</v>
      </c>
      <c r="D1949">
        <v>13</v>
      </c>
      <c r="F1949">
        <v>0</v>
      </c>
      <c r="G1949">
        <v>11</v>
      </c>
      <c r="H1949" t="s">
        <v>40</v>
      </c>
      <c r="I1949" t="s">
        <v>80</v>
      </c>
      <c r="J1949" t="s">
        <v>188</v>
      </c>
      <c r="K1949">
        <v>7.4</v>
      </c>
      <c r="L1949">
        <v>4114.3999999999996</v>
      </c>
    </row>
    <row r="1950" spans="1:12" x14ac:dyDescent="0.3">
      <c r="A1950">
        <v>21</v>
      </c>
      <c r="B1950">
        <v>23</v>
      </c>
      <c r="C1950">
        <v>1</v>
      </c>
      <c r="D1950">
        <v>21</v>
      </c>
      <c r="E1950">
        <v>1</v>
      </c>
      <c r="F1950">
        <v>0</v>
      </c>
      <c r="G1950">
        <v>1</v>
      </c>
      <c r="H1950" t="s">
        <v>36</v>
      </c>
      <c r="I1950" t="s">
        <v>80</v>
      </c>
      <c r="J1950">
        <v>748</v>
      </c>
      <c r="K1950">
        <v>8.8000000000000007</v>
      </c>
      <c r="L1950">
        <v>6582.4</v>
      </c>
    </row>
    <row r="1951" spans="1:12" x14ac:dyDescent="0.3">
      <c r="A1951">
        <v>13</v>
      </c>
      <c r="C1951">
        <v>1</v>
      </c>
      <c r="D1951">
        <v>15</v>
      </c>
      <c r="E1951">
        <v>12</v>
      </c>
      <c r="G1951">
        <v>11</v>
      </c>
      <c r="H1951" t="s">
        <v>21</v>
      </c>
      <c r="I1951" t="s">
        <v>78</v>
      </c>
      <c r="J1951">
        <v>546</v>
      </c>
      <c r="K1951">
        <v>8.6999999999999993</v>
      </c>
      <c r="L1951">
        <v>4750.2</v>
      </c>
    </row>
    <row r="1952" spans="1:12" x14ac:dyDescent="0.3">
      <c r="A1952">
        <v>7</v>
      </c>
      <c r="B1952">
        <v>19</v>
      </c>
      <c r="C1952">
        <v>3</v>
      </c>
      <c r="D1952">
        <v>8</v>
      </c>
      <c r="E1952">
        <v>7</v>
      </c>
      <c r="F1952">
        <v>0</v>
      </c>
      <c r="G1952">
        <v>7</v>
      </c>
      <c r="H1952" t="s">
        <v>38</v>
      </c>
      <c r="I1952" t="s">
        <v>94</v>
      </c>
      <c r="J1952">
        <v>548</v>
      </c>
      <c r="K1952">
        <v>7.4</v>
      </c>
      <c r="L1952">
        <v>4055.2</v>
      </c>
    </row>
    <row r="1953" spans="1:12" x14ac:dyDescent="0.3">
      <c r="A1953">
        <v>18</v>
      </c>
      <c r="B1953">
        <v>22</v>
      </c>
      <c r="C1953">
        <v>2</v>
      </c>
      <c r="D1953">
        <v>15</v>
      </c>
      <c r="E1953">
        <v>1</v>
      </c>
      <c r="F1953">
        <v>0</v>
      </c>
      <c r="H1953" t="s">
        <v>22</v>
      </c>
      <c r="I1953" t="s">
        <v>97</v>
      </c>
      <c r="J1953">
        <v>474</v>
      </c>
      <c r="K1953">
        <v>7.8</v>
      </c>
      <c r="L1953">
        <v>3697.2</v>
      </c>
    </row>
    <row r="1954" spans="1:12" x14ac:dyDescent="0.3">
      <c r="B1954">
        <v>23</v>
      </c>
      <c r="C1954">
        <v>0</v>
      </c>
      <c r="D1954">
        <v>22</v>
      </c>
      <c r="E1954">
        <v>1</v>
      </c>
      <c r="F1954">
        <v>0</v>
      </c>
      <c r="G1954">
        <v>12</v>
      </c>
      <c r="H1954" t="s">
        <v>21</v>
      </c>
      <c r="I1954" t="s">
        <v>78</v>
      </c>
      <c r="J1954" t="s">
        <v>229</v>
      </c>
      <c r="K1954">
        <v>8.6999999999999993</v>
      </c>
      <c r="L1954">
        <v>6446.7</v>
      </c>
    </row>
    <row r="1955" spans="1:12" x14ac:dyDescent="0.3">
      <c r="A1955">
        <v>21</v>
      </c>
      <c r="B1955">
        <v>23</v>
      </c>
      <c r="C1955">
        <v>0</v>
      </c>
      <c r="D1955">
        <v>10</v>
      </c>
      <c r="E1955">
        <v>12</v>
      </c>
      <c r="F1955">
        <v>0</v>
      </c>
      <c r="G1955">
        <v>4</v>
      </c>
      <c r="H1955" t="s">
        <v>17</v>
      </c>
      <c r="I1955" t="s">
        <v>94</v>
      </c>
      <c r="J1955">
        <v>605</v>
      </c>
      <c r="K1955">
        <v>8.6999999999999993</v>
      </c>
      <c r="L1955">
        <v>5263.5</v>
      </c>
    </row>
    <row r="1956" spans="1:12" x14ac:dyDescent="0.3">
      <c r="A1956">
        <v>7</v>
      </c>
      <c r="B1956">
        <v>19</v>
      </c>
      <c r="C1956">
        <v>2</v>
      </c>
      <c r="D1956">
        <v>13</v>
      </c>
      <c r="E1956">
        <v>1</v>
      </c>
      <c r="G1956">
        <v>6</v>
      </c>
      <c r="H1956" t="s">
        <v>15</v>
      </c>
      <c r="I1956" t="s">
        <v>92</v>
      </c>
      <c r="J1956">
        <v>424</v>
      </c>
      <c r="K1956" t="s">
        <v>248</v>
      </c>
      <c r="L1956" t="s">
        <v>360</v>
      </c>
    </row>
    <row r="1957" spans="1:12" x14ac:dyDescent="0.3">
      <c r="A1957">
        <v>12</v>
      </c>
      <c r="B1957">
        <v>22</v>
      </c>
      <c r="C1957">
        <v>1</v>
      </c>
      <c r="D1957">
        <v>4</v>
      </c>
      <c r="E1957">
        <v>1</v>
      </c>
      <c r="F1957">
        <v>0</v>
      </c>
      <c r="H1957" t="s">
        <v>32</v>
      </c>
      <c r="I1957" t="s">
        <v>83</v>
      </c>
      <c r="J1957">
        <v>308</v>
      </c>
      <c r="K1957">
        <v>7.6</v>
      </c>
      <c r="L1957">
        <v>2340.7999999999902</v>
      </c>
    </row>
    <row r="1958" spans="1:12" x14ac:dyDescent="0.3">
      <c r="A1958">
        <v>8</v>
      </c>
      <c r="B1958">
        <v>23</v>
      </c>
      <c r="C1958">
        <v>1</v>
      </c>
      <c r="D1958">
        <v>19</v>
      </c>
      <c r="E1958">
        <v>1</v>
      </c>
      <c r="F1958">
        <v>0</v>
      </c>
      <c r="G1958">
        <v>6</v>
      </c>
      <c r="H1958" t="s">
        <v>25</v>
      </c>
      <c r="I1958" t="s">
        <v>71</v>
      </c>
      <c r="J1958">
        <v>487</v>
      </c>
      <c r="K1958">
        <v>8.1</v>
      </c>
      <c r="L1958">
        <v>3944.7</v>
      </c>
    </row>
    <row r="1959" spans="1:12" x14ac:dyDescent="0.3">
      <c r="A1959">
        <v>5</v>
      </c>
      <c r="B1959">
        <v>18</v>
      </c>
      <c r="C1959">
        <v>3</v>
      </c>
      <c r="D1959">
        <v>18</v>
      </c>
      <c r="E1959">
        <v>7</v>
      </c>
      <c r="F1959">
        <v>0</v>
      </c>
      <c r="G1959">
        <v>12</v>
      </c>
      <c r="H1959" t="s">
        <v>38</v>
      </c>
      <c r="I1959" t="s">
        <v>109</v>
      </c>
      <c r="J1959">
        <v>535</v>
      </c>
      <c r="K1959">
        <v>7.4</v>
      </c>
      <c r="L1959">
        <v>3959</v>
      </c>
    </row>
    <row r="1960" spans="1:12" x14ac:dyDescent="0.3">
      <c r="A1960">
        <v>13</v>
      </c>
      <c r="B1960">
        <v>23</v>
      </c>
      <c r="C1960">
        <v>0</v>
      </c>
      <c r="D1960">
        <v>4</v>
      </c>
      <c r="E1960">
        <v>1</v>
      </c>
      <c r="F1960">
        <v>0</v>
      </c>
      <c r="G1960">
        <v>2</v>
      </c>
      <c r="H1960" t="s">
        <v>24</v>
      </c>
      <c r="I1960" t="s">
        <v>74</v>
      </c>
      <c r="J1960">
        <v>252</v>
      </c>
      <c r="K1960">
        <v>7.9</v>
      </c>
      <c r="L1960" t="s">
        <v>361</v>
      </c>
    </row>
    <row r="1961" spans="1:12" x14ac:dyDescent="0.3">
      <c r="A1961">
        <v>16</v>
      </c>
      <c r="B1961">
        <v>22</v>
      </c>
      <c r="C1961">
        <v>0</v>
      </c>
      <c r="D1961">
        <v>10</v>
      </c>
      <c r="E1961">
        <v>1</v>
      </c>
      <c r="F1961">
        <v>0</v>
      </c>
      <c r="G1961">
        <v>12</v>
      </c>
      <c r="H1961" t="s">
        <v>35</v>
      </c>
      <c r="I1961" t="s">
        <v>107</v>
      </c>
      <c r="J1961">
        <v>376</v>
      </c>
      <c r="L1961">
        <v>3083.2</v>
      </c>
    </row>
    <row r="1962" spans="1:12" x14ac:dyDescent="0.3">
      <c r="A1962">
        <v>9</v>
      </c>
      <c r="B1962">
        <v>20</v>
      </c>
      <c r="C1962">
        <v>2</v>
      </c>
      <c r="D1962">
        <v>5</v>
      </c>
      <c r="E1962">
        <v>1</v>
      </c>
      <c r="F1962">
        <v>0</v>
      </c>
      <c r="G1962">
        <v>5</v>
      </c>
      <c r="H1962" t="s">
        <v>21</v>
      </c>
      <c r="I1962" t="s">
        <v>75</v>
      </c>
      <c r="J1962">
        <v>344</v>
      </c>
      <c r="K1962">
        <v>8.6999999999999993</v>
      </c>
      <c r="L1962">
        <v>2992.7999999999902</v>
      </c>
    </row>
    <row r="1963" spans="1:12" x14ac:dyDescent="0.3">
      <c r="A1963">
        <v>22</v>
      </c>
      <c r="C1963">
        <v>2</v>
      </c>
      <c r="D1963">
        <v>7</v>
      </c>
      <c r="E1963">
        <v>1</v>
      </c>
      <c r="F1963">
        <v>0</v>
      </c>
      <c r="G1963">
        <v>12</v>
      </c>
      <c r="H1963" t="s">
        <v>30</v>
      </c>
      <c r="I1963" t="s">
        <v>87</v>
      </c>
      <c r="J1963">
        <v>676</v>
      </c>
      <c r="K1963">
        <v>9.1999999999999993</v>
      </c>
      <c r="L1963">
        <v>6219.2</v>
      </c>
    </row>
    <row r="1964" spans="1:12" x14ac:dyDescent="0.3">
      <c r="A1964">
        <v>13</v>
      </c>
      <c r="B1964">
        <v>22</v>
      </c>
      <c r="C1964">
        <v>2</v>
      </c>
      <c r="D1964">
        <v>16</v>
      </c>
      <c r="E1964">
        <v>1</v>
      </c>
      <c r="F1964">
        <v>0</v>
      </c>
      <c r="G1964">
        <v>12</v>
      </c>
      <c r="H1964" t="s">
        <v>12</v>
      </c>
      <c r="I1964" t="s">
        <v>82</v>
      </c>
      <c r="J1964">
        <v>545</v>
      </c>
      <c r="K1964">
        <v>8.1</v>
      </c>
      <c r="L1964">
        <v>4414.5</v>
      </c>
    </row>
    <row r="1965" spans="1:12" x14ac:dyDescent="0.3">
      <c r="A1965">
        <v>7</v>
      </c>
      <c r="B1965">
        <v>20</v>
      </c>
      <c r="D1965">
        <v>5</v>
      </c>
      <c r="E1965">
        <v>1</v>
      </c>
      <c r="F1965">
        <v>0</v>
      </c>
      <c r="G1965">
        <v>8</v>
      </c>
      <c r="H1965" t="s">
        <v>35</v>
      </c>
      <c r="I1965" t="s">
        <v>74</v>
      </c>
      <c r="J1965">
        <v>356</v>
      </c>
      <c r="K1965">
        <v>8.1999999999999993</v>
      </c>
      <c r="L1965">
        <v>2919.2</v>
      </c>
    </row>
    <row r="1966" spans="1:12" x14ac:dyDescent="0.3">
      <c r="A1966">
        <v>11</v>
      </c>
      <c r="B1966">
        <v>22</v>
      </c>
      <c r="C1966">
        <v>1</v>
      </c>
      <c r="D1966">
        <v>11</v>
      </c>
      <c r="E1966">
        <v>1</v>
      </c>
      <c r="F1966">
        <v>0</v>
      </c>
      <c r="G1966">
        <v>3</v>
      </c>
      <c r="H1966" t="s">
        <v>30</v>
      </c>
      <c r="I1966" t="s">
        <v>92</v>
      </c>
      <c r="J1966">
        <v>400</v>
      </c>
      <c r="K1966">
        <v>9.1999999999999993</v>
      </c>
      <c r="L1966">
        <v>3679.99999999999</v>
      </c>
    </row>
    <row r="1967" spans="1:12" x14ac:dyDescent="0.3">
      <c r="A1967">
        <v>9</v>
      </c>
      <c r="B1967">
        <v>18</v>
      </c>
      <c r="C1967">
        <v>3</v>
      </c>
      <c r="D1967">
        <v>13</v>
      </c>
      <c r="E1967">
        <v>7</v>
      </c>
      <c r="F1967">
        <v>0</v>
      </c>
      <c r="G1967">
        <v>10</v>
      </c>
      <c r="H1967" t="s">
        <v>21</v>
      </c>
      <c r="I1967" t="s">
        <v>89</v>
      </c>
      <c r="J1967">
        <v>659</v>
      </c>
      <c r="K1967">
        <v>8.6999999999999993</v>
      </c>
      <c r="L1967" t="s">
        <v>362</v>
      </c>
    </row>
    <row r="1968" spans="1:12" x14ac:dyDescent="0.3">
      <c r="A1968">
        <v>8</v>
      </c>
      <c r="B1968">
        <v>22</v>
      </c>
      <c r="C1968">
        <v>1</v>
      </c>
      <c r="D1968">
        <v>5</v>
      </c>
      <c r="E1968">
        <v>1</v>
      </c>
      <c r="F1968">
        <v>0</v>
      </c>
      <c r="G1968">
        <v>10</v>
      </c>
      <c r="H1968" t="s">
        <v>35</v>
      </c>
      <c r="I1968" t="s">
        <v>88</v>
      </c>
      <c r="J1968">
        <v>263</v>
      </c>
      <c r="K1968">
        <v>8.1999999999999993</v>
      </c>
      <c r="L1968">
        <v>2156.6</v>
      </c>
    </row>
    <row r="1969" spans="1:12" x14ac:dyDescent="0.3">
      <c r="A1969">
        <v>12</v>
      </c>
      <c r="B1969">
        <v>22</v>
      </c>
      <c r="D1969">
        <v>6</v>
      </c>
      <c r="E1969">
        <v>1</v>
      </c>
      <c r="F1969">
        <v>0</v>
      </c>
      <c r="G1969">
        <v>1</v>
      </c>
      <c r="H1969" t="s">
        <v>21</v>
      </c>
      <c r="I1969" t="s">
        <v>109</v>
      </c>
      <c r="J1969">
        <v>386</v>
      </c>
      <c r="K1969">
        <v>8.6999999999999993</v>
      </c>
    </row>
    <row r="1970" spans="1:12" x14ac:dyDescent="0.3">
      <c r="A1970">
        <v>18</v>
      </c>
      <c r="B1970">
        <v>22</v>
      </c>
      <c r="C1970">
        <v>1</v>
      </c>
      <c r="D1970">
        <v>3</v>
      </c>
      <c r="E1970">
        <v>12</v>
      </c>
      <c r="F1970">
        <v>0</v>
      </c>
      <c r="G1970">
        <v>7</v>
      </c>
      <c r="H1970" t="s">
        <v>35</v>
      </c>
      <c r="I1970" t="s">
        <v>90</v>
      </c>
      <c r="J1970">
        <v>414</v>
      </c>
      <c r="K1970">
        <v>8.1999999999999993</v>
      </c>
      <c r="L1970">
        <v>3394.7999999999902</v>
      </c>
    </row>
    <row r="1971" spans="1:12" x14ac:dyDescent="0.3">
      <c r="A1971">
        <v>18</v>
      </c>
      <c r="B1971">
        <v>22</v>
      </c>
      <c r="C1971">
        <v>1</v>
      </c>
      <c r="D1971">
        <v>19</v>
      </c>
      <c r="E1971">
        <v>1</v>
      </c>
      <c r="F1971">
        <v>0</v>
      </c>
      <c r="G1971">
        <v>11</v>
      </c>
      <c r="H1971" t="s">
        <v>30</v>
      </c>
      <c r="I1971" t="s">
        <v>82</v>
      </c>
      <c r="J1971">
        <v>476</v>
      </c>
      <c r="K1971">
        <v>9.1999999999999993</v>
      </c>
      <c r="L1971">
        <v>4379.2</v>
      </c>
    </row>
    <row r="1972" spans="1:12" x14ac:dyDescent="0.3">
      <c r="A1972">
        <v>6</v>
      </c>
      <c r="B1972">
        <v>18</v>
      </c>
      <c r="C1972">
        <v>0</v>
      </c>
      <c r="E1972">
        <v>1</v>
      </c>
      <c r="F1972">
        <v>0</v>
      </c>
      <c r="G1972">
        <v>6</v>
      </c>
      <c r="I1972" t="s">
        <v>89</v>
      </c>
      <c r="J1972" t="s">
        <v>230</v>
      </c>
      <c r="K1972">
        <v>9.3000000000000007</v>
      </c>
      <c r="L1972">
        <v>3171.3</v>
      </c>
    </row>
    <row r="1973" spans="1:12" x14ac:dyDescent="0.3">
      <c r="A1973">
        <v>9</v>
      </c>
      <c r="B1973">
        <v>21</v>
      </c>
      <c r="C1973">
        <v>1</v>
      </c>
      <c r="D1973">
        <v>9</v>
      </c>
      <c r="E1973">
        <v>1</v>
      </c>
      <c r="F1973">
        <v>0</v>
      </c>
      <c r="H1973" t="s">
        <v>52</v>
      </c>
      <c r="I1973" t="s">
        <v>71</v>
      </c>
      <c r="J1973">
        <v>474</v>
      </c>
      <c r="L1973">
        <v>4408.2</v>
      </c>
    </row>
    <row r="1974" spans="1:12" x14ac:dyDescent="0.3">
      <c r="A1974">
        <v>6</v>
      </c>
      <c r="B1974">
        <v>22</v>
      </c>
      <c r="C1974">
        <v>1</v>
      </c>
      <c r="D1974">
        <v>7</v>
      </c>
      <c r="E1974">
        <v>1</v>
      </c>
      <c r="F1974">
        <v>0</v>
      </c>
      <c r="G1974">
        <v>7</v>
      </c>
      <c r="H1974" t="s">
        <v>23</v>
      </c>
      <c r="I1974" t="s">
        <v>126</v>
      </c>
      <c r="J1974">
        <v>411</v>
      </c>
      <c r="K1974">
        <v>8.4</v>
      </c>
      <c r="L1974">
        <v>3452.4</v>
      </c>
    </row>
    <row r="1975" spans="1:12" x14ac:dyDescent="0.3">
      <c r="A1975">
        <v>7</v>
      </c>
      <c r="B1975">
        <v>20</v>
      </c>
      <c r="C1975">
        <v>1</v>
      </c>
      <c r="D1975">
        <v>16</v>
      </c>
      <c r="E1975">
        <v>1</v>
      </c>
      <c r="F1975">
        <v>0</v>
      </c>
      <c r="G1975">
        <v>12</v>
      </c>
      <c r="H1975" t="s">
        <v>36</v>
      </c>
      <c r="I1975" t="s">
        <v>82</v>
      </c>
      <c r="J1975">
        <v>412</v>
      </c>
      <c r="K1975">
        <v>8.8000000000000007</v>
      </c>
      <c r="L1975">
        <v>3625.6</v>
      </c>
    </row>
    <row r="1976" spans="1:12" x14ac:dyDescent="0.3">
      <c r="A1976">
        <v>21</v>
      </c>
      <c r="B1976">
        <v>23</v>
      </c>
      <c r="C1976">
        <v>2</v>
      </c>
      <c r="D1976">
        <v>8</v>
      </c>
      <c r="E1976">
        <v>1</v>
      </c>
      <c r="F1976">
        <v>0</v>
      </c>
      <c r="G1976">
        <v>11</v>
      </c>
      <c r="H1976" t="s">
        <v>16</v>
      </c>
      <c r="I1976" t="s">
        <v>95</v>
      </c>
      <c r="J1976">
        <v>521</v>
      </c>
      <c r="K1976">
        <v>8.9</v>
      </c>
      <c r="L1976">
        <v>4636.8999999999996</v>
      </c>
    </row>
    <row r="1977" spans="1:12" x14ac:dyDescent="0.3">
      <c r="B1977">
        <v>18</v>
      </c>
      <c r="C1977">
        <v>0</v>
      </c>
      <c r="D1977">
        <v>14</v>
      </c>
      <c r="E1977">
        <v>1</v>
      </c>
      <c r="F1977">
        <v>0</v>
      </c>
      <c r="G1977">
        <v>6</v>
      </c>
      <c r="H1977" t="s">
        <v>15</v>
      </c>
      <c r="I1977" t="s">
        <v>72</v>
      </c>
      <c r="J1977">
        <v>371</v>
      </c>
      <c r="K1977">
        <v>8.3000000000000007</v>
      </c>
      <c r="L1977">
        <v>3079.3</v>
      </c>
    </row>
    <row r="1978" spans="1:12" x14ac:dyDescent="0.3">
      <c r="A1978">
        <v>9</v>
      </c>
      <c r="B1978">
        <v>21</v>
      </c>
      <c r="C1978">
        <v>3</v>
      </c>
      <c r="D1978">
        <v>15</v>
      </c>
      <c r="E1978">
        <v>1</v>
      </c>
      <c r="G1978">
        <v>6</v>
      </c>
      <c r="H1978" t="s">
        <v>30</v>
      </c>
      <c r="I1978" t="s">
        <v>73</v>
      </c>
      <c r="J1978">
        <v>399</v>
      </c>
      <c r="K1978">
        <v>9.1999999999999993</v>
      </c>
      <c r="L1978">
        <v>3670.7999999999902</v>
      </c>
    </row>
    <row r="1979" spans="1:12" x14ac:dyDescent="0.3">
      <c r="A1979">
        <v>9</v>
      </c>
      <c r="B1979">
        <v>18</v>
      </c>
      <c r="C1979">
        <v>3</v>
      </c>
      <c r="F1979">
        <v>0</v>
      </c>
      <c r="G1979">
        <v>7</v>
      </c>
      <c r="H1979" t="s">
        <v>30</v>
      </c>
      <c r="I1979" t="s">
        <v>113</v>
      </c>
      <c r="J1979">
        <v>353</v>
      </c>
      <c r="K1979">
        <v>9.1999999999999993</v>
      </c>
      <c r="L1979">
        <v>3247.6</v>
      </c>
    </row>
    <row r="1980" spans="1:12" x14ac:dyDescent="0.3">
      <c r="A1980">
        <v>14</v>
      </c>
      <c r="B1980">
        <v>23</v>
      </c>
      <c r="C1980">
        <v>0</v>
      </c>
      <c r="D1980">
        <v>21</v>
      </c>
      <c r="E1980">
        <v>1</v>
      </c>
      <c r="G1980">
        <v>12</v>
      </c>
      <c r="H1980" t="s">
        <v>30</v>
      </c>
      <c r="I1980" t="s">
        <v>72</v>
      </c>
      <c r="K1980">
        <v>9.1999999999999993</v>
      </c>
      <c r="L1980">
        <v>4416</v>
      </c>
    </row>
    <row r="1981" spans="1:12" x14ac:dyDescent="0.3">
      <c r="A1981">
        <v>19</v>
      </c>
      <c r="B1981">
        <v>23</v>
      </c>
      <c r="C1981">
        <v>0</v>
      </c>
      <c r="D1981">
        <v>7</v>
      </c>
      <c r="E1981">
        <v>1</v>
      </c>
      <c r="F1981">
        <v>0</v>
      </c>
      <c r="G1981">
        <v>9</v>
      </c>
      <c r="H1981" t="s">
        <v>25</v>
      </c>
      <c r="I1981" t="s">
        <v>75</v>
      </c>
      <c r="J1981">
        <v>350</v>
      </c>
      <c r="K1981" t="s">
        <v>243</v>
      </c>
      <c r="L1981">
        <v>2835</v>
      </c>
    </row>
    <row r="1982" spans="1:12" x14ac:dyDescent="0.3">
      <c r="A1982">
        <v>13</v>
      </c>
      <c r="B1982">
        <v>23</v>
      </c>
      <c r="C1982">
        <v>3</v>
      </c>
      <c r="D1982">
        <v>7</v>
      </c>
      <c r="E1982">
        <v>1</v>
      </c>
      <c r="F1982">
        <v>0</v>
      </c>
      <c r="G1982">
        <v>12</v>
      </c>
      <c r="H1982" t="s">
        <v>20</v>
      </c>
      <c r="I1982" t="s">
        <v>76</v>
      </c>
      <c r="J1982">
        <v>605</v>
      </c>
      <c r="K1982">
        <v>9.1</v>
      </c>
      <c r="L1982" t="s">
        <v>363</v>
      </c>
    </row>
    <row r="1983" spans="1:12" x14ac:dyDescent="0.3">
      <c r="B1983">
        <v>22</v>
      </c>
      <c r="C1983">
        <v>2</v>
      </c>
      <c r="D1983">
        <v>14</v>
      </c>
      <c r="E1983">
        <v>1</v>
      </c>
      <c r="F1983">
        <v>0</v>
      </c>
      <c r="G1983">
        <v>6</v>
      </c>
      <c r="H1983" t="s">
        <v>24</v>
      </c>
      <c r="I1983" t="s">
        <v>78</v>
      </c>
      <c r="J1983">
        <v>593</v>
      </c>
      <c r="K1983">
        <v>7.9</v>
      </c>
      <c r="L1983">
        <v>4684.7</v>
      </c>
    </row>
    <row r="1984" spans="1:12" x14ac:dyDescent="0.3">
      <c r="A1984">
        <v>11</v>
      </c>
      <c r="B1984">
        <v>22</v>
      </c>
      <c r="C1984">
        <v>3</v>
      </c>
      <c r="D1984">
        <v>3</v>
      </c>
      <c r="E1984">
        <v>1</v>
      </c>
      <c r="F1984">
        <v>0</v>
      </c>
      <c r="G1984">
        <v>12</v>
      </c>
      <c r="H1984" t="s">
        <v>36</v>
      </c>
      <c r="I1984" t="s">
        <v>132</v>
      </c>
      <c r="J1984">
        <v>409</v>
      </c>
      <c r="K1984">
        <v>8.8000000000000007</v>
      </c>
      <c r="L1984" t="s">
        <v>364</v>
      </c>
    </row>
    <row r="1985" spans="1:12" x14ac:dyDescent="0.3">
      <c r="A1985">
        <v>6</v>
      </c>
      <c r="B1985">
        <v>23</v>
      </c>
      <c r="C1985">
        <v>3</v>
      </c>
      <c r="D1985">
        <v>13</v>
      </c>
      <c r="E1985">
        <v>1</v>
      </c>
      <c r="F1985">
        <v>0</v>
      </c>
      <c r="G1985">
        <v>5</v>
      </c>
      <c r="H1985" t="s">
        <v>36</v>
      </c>
      <c r="I1985" t="s">
        <v>76</v>
      </c>
      <c r="J1985">
        <v>477</v>
      </c>
      <c r="K1985">
        <v>8.8000000000000007</v>
      </c>
      <c r="L1985">
        <v>4197.6000000000004</v>
      </c>
    </row>
    <row r="1986" spans="1:12" x14ac:dyDescent="0.3">
      <c r="A1986">
        <v>23</v>
      </c>
      <c r="B1986">
        <v>23</v>
      </c>
      <c r="D1986">
        <v>13</v>
      </c>
      <c r="E1986">
        <v>1</v>
      </c>
      <c r="F1986">
        <v>0</v>
      </c>
      <c r="G1986">
        <v>6</v>
      </c>
      <c r="H1986" t="s">
        <v>25</v>
      </c>
      <c r="I1986" t="s">
        <v>76</v>
      </c>
      <c r="J1986">
        <v>662</v>
      </c>
      <c r="K1986">
        <v>8.1</v>
      </c>
      <c r="L1986">
        <v>5362.2</v>
      </c>
    </row>
    <row r="1987" spans="1:12" x14ac:dyDescent="0.3">
      <c r="A1987">
        <v>21</v>
      </c>
      <c r="B1987">
        <v>22</v>
      </c>
      <c r="C1987">
        <v>0</v>
      </c>
      <c r="D1987">
        <v>12</v>
      </c>
      <c r="E1987">
        <v>1</v>
      </c>
      <c r="F1987">
        <v>0</v>
      </c>
      <c r="G1987">
        <v>4</v>
      </c>
      <c r="H1987" t="s">
        <v>24</v>
      </c>
      <c r="I1987" t="s">
        <v>84</v>
      </c>
      <c r="K1987">
        <v>7.9</v>
      </c>
      <c r="L1987">
        <v>3602.4</v>
      </c>
    </row>
    <row r="1988" spans="1:12" x14ac:dyDescent="0.3">
      <c r="A1988">
        <v>9</v>
      </c>
      <c r="B1988">
        <v>20</v>
      </c>
      <c r="C1988">
        <v>2</v>
      </c>
      <c r="D1988">
        <v>17</v>
      </c>
      <c r="E1988">
        <v>1</v>
      </c>
      <c r="F1988">
        <v>0</v>
      </c>
      <c r="G1988">
        <v>12</v>
      </c>
      <c r="H1988" t="s">
        <v>38</v>
      </c>
      <c r="K1988">
        <v>7.4</v>
      </c>
      <c r="L1988">
        <v>4403</v>
      </c>
    </row>
    <row r="1989" spans="1:12" x14ac:dyDescent="0.3">
      <c r="A1989">
        <v>22</v>
      </c>
      <c r="B1989">
        <v>22</v>
      </c>
      <c r="C1989">
        <v>3</v>
      </c>
      <c r="D1989">
        <v>11</v>
      </c>
      <c r="E1989">
        <v>1</v>
      </c>
      <c r="F1989">
        <v>0</v>
      </c>
      <c r="G1989">
        <v>10</v>
      </c>
      <c r="H1989" t="s">
        <v>14</v>
      </c>
      <c r="I1989" t="s">
        <v>85</v>
      </c>
      <c r="J1989" t="s">
        <v>231</v>
      </c>
      <c r="K1989">
        <v>8.9</v>
      </c>
      <c r="L1989" t="s">
        <v>365</v>
      </c>
    </row>
    <row r="1990" spans="1:12" x14ac:dyDescent="0.3">
      <c r="A1990">
        <v>9</v>
      </c>
      <c r="B1990">
        <v>23</v>
      </c>
      <c r="C1990">
        <v>3</v>
      </c>
      <c r="D1990">
        <v>6</v>
      </c>
      <c r="E1990">
        <v>1</v>
      </c>
      <c r="F1990">
        <v>0</v>
      </c>
      <c r="G1990">
        <v>8</v>
      </c>
      <c r="H1990" t="s">
        <v>25</v>
      </c>
      <c r="I1990" t="s">
        <v>105</v>
      </c>
      <c r="J1990">
        <v>532</v>
      </c>
      <c r="K1990">
        <v>8.1</v>
      </c>
      <c r="L1990">
        <v>4309.2</v>
      </c>
    </row>
    <row r="1991" spans="1:12" x14ac:dyDescent="0.3">
      <c r="A1991">
        <v>8</v>
      </c>
      <c r="B1991">
        <v>21</v>
      </c>
      <c r="C1991">
        <v>2</v>
      </c>
      <c r="D1991">
        <v>18</v>
      </c>
      <c r="E1991">
        <v>1</v>
      </c>
      <c r="F1991">
        <v>0</v>
      </c>
      <c r="G1991">
        <v>2</v>
      </c>
      <c r="H1991" t="s">
        <v>30</v>
      </c>
      <c r="I1991" t="s">
        <v>107</v>
      </c>
      <c r="J1991">
        <v>347</v>
      </c>
      <c r="K1991">
        <v>9.1999999999999993</v>
      </c>
      <c r="L1991">
        <v>3192.3999999999901</v>
      </c>
    </row>
    <row r="1992" spans="1:12" x14ac:dyDescent="0.3">
      <c r="A1992">
        <v>15</v>
      </c>
      <c r="B1992">
        <v>22</v>
      </c>
      <c r="C1992">
        <v>2</v>
      </c>
      <c r="D1992">
        <v>6</v>
      </c>
      <c r="E1992">
        <v>1</v>
      </c>
      <c r="F1992">
        <v>0</v>
      </c>
      <c r="G1992">
        <v>8</v>
      </c>
      <c r="H1992" t="s">
        <v>52</v>
      </c>
      <c r="I1992" t="s">
        <v>87</v>
      </c>
      <c r="J1992">
        <v>543</v>
      </c>
      <c r="K1992">
        <v>9.3000000000000007</v>
      </c>
      <c r="L1992">
        <v>5049.8999999999996</v>
      </c>
    </row>
    <row r="1993" spans="1:12" x14ac:dyDescent="0.3">
      <c r="B1993">
        <v>23</v>
      </c>
      <c r="C1993">
        <v>0</v>
      </c>
      <c r="D1993">
        <v>14</v>
      </c>
      <c r="E1993">
        <v>1</v>
      </c>
      <c r="F1993">
        <v>0</v>
      </c>
      <c r="G1993">
        <v>1</v>
      </c>
      <c r="H1993" t="s">
        <v>32</v>
      </c>
      <c r="I1993" t="s">
        <v>73</v>
      </c>
      <c r="K1993">
        <v>7.6</v>
      </c>
      <c r="L1993">
        <v>3207.2</v>
      </c>
    </row>
    <row r="1994" spans="1:12" x14ac:dyDescent="0.3">
      <c r="A1994">
        <v>8</v>
      </c>
      <c r="B1994">
        <v>19</v>
      </c>
      <c r="C1994">
        <v>2</v>
      </c>
      <c r="D1994">
        <v>7</v>
      </c>
      <c r="E1994">
        <v>7</v>
      </c>
      <c r="F1994">
        <v>0</v>
      </c>
      <c r="G1994">
        <v>8</v>
      </c>
      <c r="H1994" t="s">
        <v>35</v>
      </c>
      <c r="I1994" t="s">
        <v>72</v>
      </c>
      <c r="J1994" t="s">
        <v>232</v>
      </c>
      <c r="K1994">
        <v>8.1999999999999993</v>
      </c>
      <c r="L1994">
        <v>4050.7999999999902</v>
      </c>
    </row>
    <row r="1995" spans="1:12" x14ac:dyDescent="0.3">
      <c r="A1995">
        <v>21</v>
      </c>
      <c r="B1995">
        <v>22</v>
      </c>
      <c r="C1995">
        <v>0</v>
      </c>
      <c r="D1995">
        <v>5</v>
      </c>
      <c r="E1995">
        <v>1</v>
      </c>
      <c r="G1995">
        <v>4</v>
      </c>
      <c r="H1995" t="s">
        <v>32</v>
      </c>
      <c r="I1995" t="s">
        <v>71</v>
      </c>
      <c r="K1995">
        <v>7.6</v>
      </c>
      <c r="L1995">
        <v>2910.7999999999902</v>
      </c>
    </row>
    <row r="1996" spans="1:12" x14ac:dyDescent="0.3">
      <c r="A1996">
        <v>8</v>
      </c>
      <c r="B1996">
        <v>22</v>
      </c>
      <c r="C1996">
        <v>3</v>
      </c>
      <c r="D1996">
        <v>11</v>
      </c>
      <c r="E1996">
        <v>1</v>
      </c>
      <c r="F1996">
        <v>0</v>
      </c>
      <c r="G1996">
        <v>10</v>
      </c>
      <c r="H1996" t="s">
        <v>22</v>
      </c>
      <c r="I1996" t="s">
        <v>88</v>
      </c>
      <c r="J1996">
        <v>600</v>
      </c>
      <c r="K1996">
        <v>7.8</v>
      </c>
      <c r="L1996">
        <v>4680</v>
      </c>
    </row>
    <row r="1997" spans="1:12" x14ac:dyDescent="0.3">
      <c r="A1997">
        <v>12</v>
      </c>
      <c r="B1997">
        <v>23</v>
      </c>
      <c r="C1997">
        <v>3</v>
      </c>
      <c r="D1997">
        <v>21</v>
      </c>
      <c r="E1997">
        <v>1</v>
      </c>
      <c r="F1997">
        <v>0</v>
      </c>
      <c r="G1997">
        <v>9</v>
      </c>
      <c r="H1997" t="s">
        <v>21</v>
      </c>
      <c r="I1997" t="s">
        <v>92</v>
      </c>
      <c r="J1997">
        <v>490</v>
      </c>
      <c r="K1997">
        <v>8.6999999999999993</v>
      </c>
      <c r="L1997">
        <v>4263</v>
      </c>
    </row>
    <row r="1998" spans="1:12" x14ac:dyDescent="0.3">
      <c r="A1998">
        <v>15</v>
      </c>
      <c r="B1998">
        <v>23</v>
      </c>
      <c r="D1998">
        <v>6</v>
      </c>
      <c r="E1998">
        <v>1</v>
      </c>
      <c r="F1998">
        <v>0</v>
      </c>
      <c r="G1998">
        <v>7</v>
      </c>
      <c r="H1998" t="s">
        <v>15</v>
      </c>
      <c r="I1998" t="s">
        <v>87</v>
      </c>
      <c r="J1998">
        <v>530</v>
      </c>
      <c r="K1998">
        <v>8.3000000000000007</v>
      </c>
      <c r="L1998">
        <v>4399</v>
      </c>
    </row>
    <row r="1999" spans="1:12" x14ac:dyDescent="0.3">
      <c r="A1999">
        <v>11</v>
      </c>
      <c r="B1999">
        <v>22</v>
      </c>
      <c r="C1999">
        <v>2</v>
      </c>
      <c r="D1999">
        <v>12</v>
      </c>
      <c r="F1999">
        <v>0</v>
      </c>
      <c r="G1999">
        <v>7</v>
      </c>
      <c r="H1999" t="s">
        <v>25</v>
      </c>
      <c r="I1999" t="s">
        <v>88</v>
      </c>
      <c r="K1999">
        <v>8.1</v>
      </c>
      <c r="L1999">
        <v>5726.7</v>
      </c>
    </row>
    <row r="2000" spans="1:12" x14ac:dyDescent="0.3">
      <c r="A2000">
        <v>15</v>
      </c>
      <c r="B2000">
        <v>22</v>
      </c>
      <c r="C2000">
        <v>3</v>
      </c>
      <c r="D2000">
        <v>17</v>
      </c>
      <c r="E2000">
        <v>1</v>
      </c>
      <c r="F2000">
        <v>0</v>
      </c>
      <c r="G2000">
        <v>2</v>
      </c>
      <c r="H2000" t="s">
        <v>24</v>
      </c>
      <c r="I2000" t="s">
        <v>83</v>
      </c>
      <c r="J2000">
        <v>418</v>
      </c>
      <c r="K2000">
        <v>7.9</v>
      </c>
      <c r="L2000">
        <v>3302.2</v>
      </c>
    </row>
    <row r="2001" spans="1:12" x14ac:dyDescent="0.3">
      <c r="A2001">
        <v>9</v>
      </c>
      <c r="B2001">
        <v>20</v>
      </c>
      <c r="C2001">
        <v>0</v>
      </c>
      <c r="D2001">
        <v>17</v>
      </c>
      <c r="E2001">
        <v>1</v>
      </c>
      <c r="G2001">
        <v>9</v>
      </c>
      <c r="H2001" t="s">
        <v>18</v>
      </c>
      <c r="I2001" t="s">
        <v>78</v>
      </c>
      <c r="J2001">
        <v>543</v>
      </c>
      <c r="K2001">
        <v>7.7</v>
      </c>
      <c r="L2001">
        <v>4181.1000000000004</v>
      </c>
    </row>
    <row r="2002" spans="1:12" x14ac:dyDescent="0.3">
      <c r="C2002">
        <v>3</v>
      </c>
      <c r="D2002">
        <v>12</v>
      </c>
      <c r="F2002">
        <v>0</v>
      </c>
      <c r="G2002">
        <v>5</v>
      </c>
      <c r="H2002" t="s">
        <v>23</v>
      </c>
      <c r="I2002" t="s">
        <v>88</v>
      </c>
      <c r="J2002">
        <v>623</v>
      </c>
      <c r="K2002">
        <v>8.4</v>
      </c>
      <c r="L2002">
        <v>5233.2</v>
      </c>
    </row>
    <row r="2003" spans="1:12" x14ac:dyDescent="0.3">
      <c r="A2003">
        <v>11</v>
      </c>
      <c r="B2003">
        <v>23</v>
      </c>
      <c r="C2003">
        <v>2</v>
      </c>
      <c r="D2003">
        <v>18</v>
      </c>
      <c r="E2003">
        <v>1</v>
      </c>
      <c r="F2003">
        <v>0</v>
      </c>
      <c r="G2003">
        <v>9</v>
      </c>
      <c r="H2003" t="s">
        <v>26</v>
      </c>
      <c r="I2003" t="s">
        <v>72</v>
      </c>
      <c r="J2003">
        <v>421</v>
      </c>
      <c r="K2003">
        <v>8.5</v>
      </c>
      <c r="L2003">
        <v>3578.5</v>
      </c>
    </row>
    <row r="2004" spans="1:12" x14ac:dyDescent="0.3">
      <c r="A2004">
        <v>8</v>
      </c>
      <c r="B2004">
        <v>19</v>
      </c>
      <c r="C2004">
        <v>1</v>
      </c>
      <c r="D2004">
        <v>10</v>
      </c>
      <c r="E2004">
        <v>1</v>
      </c>
      <c r="F2004">
        <v>0</v>
      </c>
      <c r="G2004">
        <v>12</v>
      </c>
      <c r="H2004" t="s">
        <v>54</v>
      </c>
      <c r="I2004" t="s">
        <v>91</v>
      </c>
      <c r="J2004">
        <v>445</v>
      </c>
      <c r="K2004">
        <v>9.1999999999999993</v>
      </c>
      <c r="L2004">
        <v>4093.99999999999</v>
      </c>
    </row>
    <row r="2005" spans="1:12" x14ac:dyDescent="0.3">
      <c r="A2005">
        <v>6</v>
      </c>
      <c r="B2005">
        <v>20</v>
      </c>
      <c r="D2005">
        <v>10</v>
      </c>
      <c r="E2005">
        <v>1</v>
      </c>
      <c r="F2005">
        <v>0</v>
      </c>
      <c r="G2005">
        <v>9</v>
      </c>
      <c r="H2005" t="s">
        <v>21</v>
      </c>
      <c r="I2005" t="s">
        <v>70</v>
      </c>
      <c r="J2005">
        <v>284</v>
      </c>
      <c r="K2005">
        <v>8.6999999999999993</v>
      </c>
      <c r="L2005">
        <v>2470.7999999999902</v>
      </c>
    </row>
    <row r="2006" spans="1:12" x14ac:dyDescent="0.3">
      <c r="A2006">
        <v>20</v>
      </c>
      <c r="C2006">
        <v>2</v>
      </c>
      <c r="D2006">
        <v>20</v>
      </c>
      <c r="E2006">
        <v>1</v>
      </c>
      <c r="F2006">
        <v>0</v>
      </c>
      <c r="G2006">
        <v>4</v>
      </c>
      <c r="H2006" t="s">
        <v>24</v>
      </c>
      <c r="I2006" t="s">
        <v>90</v>
      </c>
      <c r="J2006">
        <v>619</v>
      </c>
      <c r="K2006">
        <v>7.9</v>
      </c>
      <c r="L2006">
        <v>4890.1000000000004</v>
      </c>
    </row>
    <row r="2007" spans="1:12" x14ac:dyDescent="0.3">
      <c r="A2007">
        <v>12</v>
      </c>
      <c r="B2007">
        <v>23</v>
      </c>
      <c r="C2007">
        <v>3</v>
      </c>
      <c r="E2007">
        <v>1</v>
      </c>
      <c r="F2007">
        <v>0</v>
      </c>
      <c r="G2007">
        <v>2</v>
      </c>
      <c r="H2007" t="s">
        <v>37</v>
      </c>
      <c r="I2007" t="s">
        <v>72</v>
      </c>
      <c r="J2007">
        <v>496</v>
      </c>
      <c r="L2007">
        <v>4116.8</v>
      </c>
    </row>
    <row r="2008" spans="1:12" x14ac:dyDescent="0.3">
      <c r="A2008">
        <v>8</v>
      </c>
      <c r="B2008">
        <v>18</v>
      </c>
      <c r="C2008">
        <v>3</v>
      </c>
      <c r="D2008">
        <v>18</v>
      </c>
      <c r="E2008">
        <v>1</v>
      </c>
      <c r="F2008">
        <v>0</v>
      </c>
      <c r="G2008">
        <v>8</v>
      </c>
      <c r="H2008" t="s">
        <v>34</v>
      </c>
      <c r="I2008" t="s">
        <v>91</v>
      </c>
      <c r="J2008" t="s">
        <v>233</v>
      </c>
      <c r="K2008">
        <v>7.6</v>
      </c>
      <c r="L2008">
        <v>4294</v>
      </c>
    </row>
    <row r="2009" spans="1:12" x14ac:dyDescent="0.3">
      <c r="A2009">
        <v>20</v>
      </c>
      <c r="C2009">
        <v>2</v>
      </c>
      <c r="D2009">
        <v>6</v>
      </c>
      <c r="E2009">
        <v>1</v>
      </c>
      <c r="F2009">
        <v>0</v>
      </c>
      <c r="G2009">
        <v>1</v>
      </c>
      <c r="H2009" t="s">
        <v>35</v>
      </c>
      <c r="I2009" t="s">
        <v>121</v>
      </c>
      <c r="J2009">
        <v>650</v>
      </c>
      <c r="K2009">
        <v>8.1999999999999993</v>
      </c>
      <c r="L2009">
        <v>5329.99999999999</v>
      </c>
    </row>
    <row r="2010" spans="1:12" x14ac:dyDescent="0.3">
      <c r="A2010">
        <v>15</v>
      </c>
      <c r="B2010">
        <v>22</v>
      </c>
      <c r="C2010">
        <v>0</v>
      </c>
      <c r="E2010">
        <v>1</v>
      </c>
      <c r="F2010">
        <v>0</v>
      </c>
      <c r="G2010">
        <v>1</v>
      </c>
      <c r="H2010" t="s">
        <v>24</v>
      </c>
      <c r="I2010" t="s">
        <v>84</v>
      </c>
      <c r="J2010">
        <v>384</v>
      </c>
      <c r="K2010">
        <v>7.9</v>
      </c>
      <c r="L2010">
        <v>3033.6</v>
      </c>
    </row>
    <row r="2011" spans="1:12" x14ac:dyDescent="0.3">
      <c r="A2011">
        <v>20</v>
      </c>
      <c r="B2011">
        <v>23</v>
      </c>
      <c r="C2011">
        <v>0</v>
      </c>
      <c r="D2011">
        <v>4</v>
      </c>
      <c r="E2011">
        <v>12</v>
      </c>
      <c r="F2011">
        <v>0</v>
      </c>
      <c r="G2011">
        <v>3</v>
      </c>
      <c r="H2011" t="s">
        <v>23</v>
      </c>
      <c r="I2011" t="s">
        <v>73</v>
      </c>
      <c r="J2011">
        <v>640</v>
      </c>
      <c r="K2011" t="s">
        <v>238</v>
      </c>
      <c r="L2011">
        <v>99999</v>
      </c>
    </row>
    <row r="2012" spans="1:12" x14ac:dyDescent="0.3">
      <c r="A2012">
        <v>7</v>
      </c>
      <c r="B2012">
        <v>18</v>
      </c>
      <c r="D2012">
        <v>10</v>
      </c>
      <c r="F2012">
        <v>0</v>
      </c>
      <c r="G2012">
        <v>3</v>
      </c>
      <c r="I2012" t="s">
        <v>83</v>
      </c>
      <c r="J2012">
        <v>514</v>
      </c>
      <c r="K2012">
        <v>8.3000000000000007</v>
      </c>
      <c r="L2012">
        <v>4266.2</v>
      </c>
    </row>
    <row r="2013" spans="1:12" x14ac:dyDescent="0.3">
      <c r="A2013">
        <v>23</v>
      </c>
      <c r="B2013">
        <v>23</v>
      </c>
      <c r="C2013">
        <v>3</v>
      </c>
      <c r="D2013">
        <v>14</v>
      </c>
      <c r="E2013">
        <v>12</v>
      </c>
      <c r="F2013">
        <v>0</v>
      </c>
      <c r="G2013">
        <v>9</v>
      </c>
      <c r="H2013" t="s">
        <v>23</v>
      </c>
      <c r="I2013" t="s">
        <v>80</v>
      </c>
      <c r="K2013">
        <v>8.4</v>
      </c>
      <c r="L2013">
        <v>5140.8</v>
      </c>
    </row>
    <row r="2014" spans="1:12" x14ac:dyDescent="0.3">
      <c r="A2014">
        <v>7</v>
      </c>
      <c r="B2014">
        <v>19</v>
      </c>
      <c r="C2014">
        <v>0</v>
      </c>
      <c r="D2014">
        <v>16</v>
      </c>
      <c r="E2014">
        <v>1</v>
      </c>
      <c r="F2014">
        <v>0</v>
      </c>
      <c r="G2014">
        <v>2</v>
      </c>
      <c r="H2014" t="s">
        <v>21</v>
      </c>
      <c r="J2014">
        <v>453</v>
      </c>
      <c r="K2014">
        <v>8.6999999999999993</v>
      </c>
      <c r="L2014">
        <v>3941.0999999999899</v>
      </c>
    </row>
    <row r="2015" spans="1:12" x14ac:dyDescent="0.3">
      <c r="A2015">
        <v>20</v>
      </c>
      <c r="B2015">
        <v>23</v>
      </c>
      <c r="C2015">
        <v>2</v>
      </c>
      <c r="D2015">
        <v>16</v>
      </c>
      <c r="E2015">
        <v>12</v>
      </c>
      <c r="F2015">
        <v>0</v>
      </c>
      <c r="G2015">
        <v>3</v>
      </c>
      <c r="H2015" t="s">
        <v>36</v>
      </c>
      <c r="I2015" t="s">
        <v>93</v>
      </c>
      <c r="J2015">
        <v>753</v>
      </c>
      <c r="K2015">
        <v>8.8000000000000007</v>
      </c>
      <c r="L2015">
        <v>6626.4</v>
      </c>
    </row>
    <row r="2016" spans="1:12" x14ac:dyDescent="0.3">
      <c r="A2016">
        <v>14</v>
      </c>
      <c r="C2016">
        <v>3</v>
      </c>
      <c r="D2016">
        <v>16</v>
      </c>
      <c r="E2016">
        <v>1</v>
      </c>
      <c r="F2016">
        <v>0</v>
      </c>
      <c r="H2016" t="s">
        <v>24</v>
      </c>
      <c r="I2016" t="s">
        <v>77</v>
      </c>
      <c r="J2016">
        <v>580</v>
      </c>
      <c r="K2016">
        <v>7.9</v>
      </c>
      <c r="L2016">
        <v>4582</v>
      </c>
    </row>
    <row r="2017" spans="1:12" x14ac:dyDescent="0.3">
      <c r="A2017">
        <v>14</v>
      </c>
      <c r="B2017">
        <v>23</v>
      </c>
      <c r="C2017">
        <v>0</v>
      </c>
      <c r="D2017">
        <v>18</v>
      </c>
      <c r="E2017">
        <v>1</v>
      </c>
      <c r="F2017">
        <v>0</v>
      </c>
      <c r="G2017">
        <v>12</v>
      </c>
      <c r="H2017" t="s">
        <v>33</v>
      </c>
      <c r="I2017" t="s">
        <v>100</v>
      </c>
      <c r="J2017">
        <v>524</v>
      </c>
      <c r="K2017">
        <v>9.3000000000000007</v>
      </c>
      <c r="L2017">
        <v>4873.2</v>
      </c>
    </row>
    <row r="2018" spans="1:12" x14ac:dyDescent="0.3">
      <c r="A2018">
        <v>6</v>
      </c>
      <c r="B2018">
        <v>22</v>
      </c>
      <c r="C2018">
        <v>1</v>
      </c>
      <c r="D2018">
        <v>9</v>
      </c>
      <c r="E2018">
        <v>1</v>
      </c>
      <c r="G2018">
        <v>3</v>
      </c>
      <c r="H2018" t="s">
        <v>15</v>
      </c>
      <c r="I2018" t="s">
        <v>106</v>
      </c>
      <c r="J2018">
        <v>355</v>
      </c>
      <c r="K2018">
        <v>8.3000000000000007</v>
      </c>
      <c r="L2018">
        <v>2946.5</v>
      </c>
    </row>
    <row r="2019" spans="1:12" x14ac:dyDescent="0.3">
      <c r="A2019">
        <v>5</v>
      </c>
      <c r="B2019">
        <v>21</v>
      </c>
      <c r="C2019">
        <v>3</v>
      </c>
      <c r="D2019">
        <v>17</v>
      </c>
      <c r="E2019">
        <v>1</v>
      </c>
      <c r="F2019">
        <v>0</v>
      </c>
      <c r="G2019">
        <v>10</v>
      </c>
      <c r="I2019" t="s">
        <v>113</v>
      </c>
      <c r="J2019">
        <v>447</v>
      </c>
      <c r="K2019">
        <v>9.1</v>
      </c>
      <c r="L2019">
        <v>4067.7</v>
      </c>
    </row>
    <row r="2020" spans="1:12" x14ac:dyDescent="0.3">
      <c r="A2020">
        <v>16</v>
      </c>
      <c r="B2020">
        <v>22</v>
      </c>
      <c r="C2020">
        <v>1</v>
      </c>
      <c r="D2020">
        <v>15</v>
      </c>
      <c r="E2020">
        <v>1</v>
      </c>
      <c r="F2020">
        <v>0</v>
      </c>
      <c r="G2020">
        <v>1</v>
      </c>
      <c r="H2020" t="s">
        <v>20</v>
      </c>
      <c r="I2020" t="s">
        <v>72</v>
      </c>
      <c r="J2020">
        <v>640</v>
      </c>
      <c r="K2020">
        <v>9.1</v>
      </c>
      <c r="L2020">
        <v>5824</v>
      </c>
    </row>
    <row r="2021" spans="1:12" x14ac:dyDescent="0.3">
      <c r="A2021">
        <v>11</v>
      </c>
      <c r="B2021">
        <v>23</v>
      </c>
      <c r="C2021">
        <v>0</v>
      </c>
      <c r="D2021">
        <v>8</v>
      </c>
      <c r="E2021">
        <v>1</v>
      </c>
      <c r="F2021">
        <v>0</v>
      </c>
      <c r="G2021">
        <v>5</v>
      </c>
      <c r="H2021" t="s">
        <v>22</v>
      </c>
      <c r="I2021" t="s">
        <v>93</v>
      </c>
      <c r="J2021">
        <v>444</v>
      </c>
      <c r="K2021">
        <v>7.8</v>
      </c>
      <c r="L2021">
        <v>3463.2</v>
      </c>
    </row>
    <row r="2022" spans="1:12" x14ac:dyDescent="0.3">
      <c r="A2022">
        <v>5</v>
      </c>
      <c r="B2022">
        <v>20</v>
      </c>
      <c r="C2022">
        <v>3</v>
      </c>
      <c r="D2022">
        <v>7</v>
      </c>
      <c r="E2022">
        <v>1</v>
      </c>
      <c r="F2022">
        <v>0</v>
      </c>
      <c r="G2022">
        <v>3</v>
      </c>
      <c r="H2022" t="s">
        <v>19</v>
      </c>
      <c r="I2022" t="s">
        <v>72</v>
      </c>
      <c r="J2022">
        <v>294</v>
      </c>
      <c r="L2022">
        <v>2616.6</v>
      </c>
    </row>
    <row r="2023" spans="1:12" x14ac:dyDescent="0.3">
      <c r="A2023">
        <v>22</v>
      </c>
      <c r="B2023">
        <v>22</v>
      </c>
      <c r="C2023">
        <v>1</v>
      </c>
      <c r="D2023">
        <v>16</v>
      </c>
      <c r="E2023">
        <v>1</v>
      </c>
      <c r="G2023">
        <v>1</v>
      </c>
      <c r="I2023" t="s">
        <v>97</v>
      </c>
      <c r="J2023">
        <v>699</v>
      </c>
      <c r="K2023">
        <v>9.1</v>
      </c>
      <c r="L2023">
        <v>6360.9</v>
      </c>
    </row>
    <row r="2024" spans="1:12" x14ac:dyDescent="0.3">
      <c r="A2024">
        <v>12</v>
      </c>
      <c r="B2024">
        <v>23</v>
      </c>
      <c r="C2024">
        <v>1</v>
      </c>
      <c r="D2024">
        <v>20</v>
      </c>
      <c r="E2024">
        <v>1</v>
      </c>
      <c r="F2024">
        <v>0</v>
      </c>
      <c r="G2024">
        <v>3</v>
      </c>
      <c r="H2024" t="s">
        <v>16</v>
      </c>
      <c r="I2024" t="s">
        <v>87</v>
      </c>
      <c r="J2024">
        <v>577</v>
      </c>
      <c r="L2024">
        <v>5135.3</v>
      </c>
    </row>
    <row r="2025" spans="1:12" x14ac:dyDescent="0.3">
      <c r="A2025">
        <v>7</v>
      </c>
      <c r="B2025">
        <v>18</v>
      </c>
      <c r="C2025">
        <v>2</v>
      </c>
      <c r="D2025">
        <v>19</v>
      </c>
      <c r="E2025">
        <v>1</v>
      </c>
      <c r="F2025">
        <v>0</v>
      </c>
      <c r="G2025">
        <v>3</v>
      </c>
      <c r="H2025" t="s">
        <v>33</v>
      </c>
      <c r="I2025" t="s">
        <v>132</v>
      </c>
      <c r="J2025">
        <v>486</v>
      </c>
      <c r="K2025">
        <v>9.3000000000000007</v>
      </c>
      <c r="L2025">
        <v>4519.8</v>
      </c>
    </row>
    <row r="2026" spans="1:12" x14ac:dyDescent="0.3">
      <c r="A2026">
        <v>11</v>
      </c>
      <c r="B2026">
        <v>22</v>
      </c>
      <c r="C2026">
        <v>3</v>
      </c>
      <c r="D2026">
        <v>21</v>
      </c>
      <c r="E2026">
        <v>1</v>
      </c>
      <c r="F2026">
        <v>0</v>
      </c>
      <c r="G2026">
        <v>6</v>
      </c>
      <c r="H2026" t="s">
        <v>37</v>
      </c>
      <c r="J2026">
        <v>596</v>
      </c>
      <c r="K2026">
        <v>8.3000000000000007</v>
      </c>
      <c r="L2026">
        <v>4946.8</v>
      </c>
    </row>
    <row r="2027" spans="1:12" x14ac:dyDescent="0.3">
      <c r="A2027">
        <v>17</v>
      </c>
      <c r="B2027">
        <v>22</v>
      </c>
      <c r="C2027">
        <v>1</v>
      </c>
      <c r="D2027">
        <v>6</v>
      </c>
      <c r="E2027">
        <v>1</v>
      </c>
      <c r="F2027">
        <v>0</v>
      </c>
      <c r="H2027" t="s">
        <v>18</v>
      </c>
      <c r="I2027" t="s">
        <v>84</v>
      </c>
      <c r="J2027">
        <v>561</v>
      </c>
      <c r="K2027">
        <v>7.7</v>
      </c>
      <c r="L2027">
        <v>4319.7</v>
      </c>
    </row>
    <row r="2028" spans="1:12" x14ac:dyDescent="0.3">
      <c r="A2028">
        <v>18</v>
      </c>
      <c r="B2028">
        <v>22</v>
      </c>
      <c r="C2028">
        <v>1</v>
      </c>
      <c r="E2028">
        <v>12</v>
      </c>
      <c r="F2028">
        <v>0</v>
      </c>
      <c r="G2028">
        <v>11</v>
      </c>
      <c r="H2028" t="s">
        <v>16</v>
      </c>
      <c r="I2028" t="s">
        <v>70</v>
      </c>
      <c r="J2028">
        <v>757</v>
      </c>
      <c r="K2028">
        <v>8.9</v>
      </c>
      <c r="L2028">
        <v>6737.3</v>
      </c>
    </row>
    <row r="2029" spans="1:12" x14ac:dyDescent="0.3">
      <c r="A2029">
        <v>14</v>
      </c>
      <c r="B2029">
        <v>22</v>
      </c>
      <c r="C2029">
        <v>3</v>
      </c>
      <c r="D2029">
        <v>6</v>
      </c>
      <c r="E2029">
        <v>1</v>
      </c>
      <c r="F2029">
        <v>0</v>
      </c>
      <c r="G2029">
        <v>7</v>
      </c>
      <c r="H2029" t="s">
        <v>52</v>
      </c>
      <c r="I2029" t="s">
        <v>93</v>
      </c>
      <c r="J2029">
        <v>560</v>
      </c>
      <c r="K2029">
        <v>9.3000000000000007</v>
      </c>
    </row>
    <row r="2030" spans="1:12" x14ac:dyDescent="0.3">
      <c r="A2030">
        <v>17</v>
      </c>
      <c r="B2030">
        <v>23</v>
      </c>
      <c r="C2030">
        <v>2</v>
      </c>
      <c r="D2030">
        <v>18</v>
      </c>
      <c r="E2030">
        <v>1</v>
      </c>
      <c r="F2030">
        <v>0</v>
      </c>
      <c r="G2030">
        <v>4</v>
      </c>
      <c r="H2030" t="s">
        <v>22</v>
      </c>
      <c r="I2030" t="s">
        <v>71</v>
      </c>
      <c r="J2030">
        <v>703</v>
      </c>
      <c r="K2030">
        <v>7.8</v>
      </c>
      <c r="L2030">
        <v>5483.4</v>
      </c>
    </row>
    <row r="2031" spans="1:12" x14ac:dyDescent="0.3">
      <c r="A2031">
        <v>21</v>
      </c>
      <c r="B2031">
        <v>22</v>
      </c>
      <c r="C2031">
        <v>3</v>
      </c>
      <c r="D2031">
        <v>17</v>
      </c>
      <c r="F2031">
        <v>0</v>
      </c>
      <c r="G2031">
        <v>11</v>
      </c>
      <c r="H2031" t="s">
        <v>18</v>
      </c>
      <c r="I2031" t="s">
        <v>91</v>
      </c>
      <c r="J2031">
        <v>512</v>
      </c>
      <c r="K2031">
        <v>7.7</v>
      </c>
      <c r="L2031">
        <v>3942.4</v>
      </c>
    </row>
    <row r="2032" spans="1:12" x14ac:dyDescent="0.3">
      <c r="A2032">
        <v>20</v>
      </c>
      <c r="B2032">
        <v>22</v>
      </c>
      <c r="C2032">
        <v>3</v>
      </c>
      <c r="D2032">
        <v>5</v>
      </c>
      <c r="E2032">
        <v>1</v>
      </c>
      <c r="F2032">
        <v>0</v>
      </c>
      <c r="G2032">
        <v>12</v>
      </c>
      <c r="H2032" t="s">
        <v>38</v>
      </c>
      <c r="I2032" t="s">
        <v>95</v>
      </c>
      <c r="J2032">
        <v>612</v>
      </c>
      <c r="K2032">
        <v>7.4</v>
      </c>
      <c r="L2032">
        <v>4528.8</v>
      </c>
    </row>
    <row r="2033" spans="1:12" x14ac:dyDescent="0.3">
      <c r="A2033">
        <v>21</v>
      </c>
      <c r="B2033">
        <v>23</v>
      </c>
      <c r="C2033">
        <v>2</v>
      </c>
      <c r="D2033">
        <v>5</v>
      </c>
      <c r="E2033">
        <v>1</v>
      </c>
      <c r="F2033">
        <v>0</v>
      </c>
      <c r="H2033" t="s">
        <v>27</v>
      </c>
      <c r="I2033" t="s">
        <v>83</v>
      </c>
      <c r="J2033">
        <v>417</v>
      </c>
      <c r="K2033">
        <v>8.4</v>
      </c>
    </row>
    <row r="2034" spans="1:12" x14ac:dyDescent="0.3">
      <c r="A2034">
        <v>11</v>
      </c>
      <c r="B2034">
        <v>22</v>
      </c>
      <c r="C2034">
        <v>3</v>
      </c>
      <c r="E2034">
        <v>1</v>
      </c>
      <c r="F2034">
        <v>0</v>
      </c>
      <c r="G2034">
        <v>11</v>
      </c>
      <c r="H2034" t="s">
        <v>24</v>
      </c>
      <c r="I2034" t="s">
        <v>91</v>
      </c>
      <c r="J2034">
        <v>565</v>
      </c>
      <c r="K2034" t="s">
        <v>241</v>
      </c>
      <c r="L2034">
        <v>4463.5</v>
      </c>
    </row>
    <row r="2035" spans="1:12" x14ac:dyDescent="0.3">
      <c r="A2035">
        <v>11</v>
      </c>
      <c r="B2035">
        <v>23</v>
      </c>
      <c r="C2035">
        <v>2</v>
      </c>
      <c r="D2035">
        <v>9</v>
      </c>
      <c r="E2035">
        <v>1</v>
      </c>
      <c r="F2035">
        <v>0</v>
      </c>
      <c r="G2035">
        <v>12</v>
      </c>
      <c r="H2035" t="s">
        <v>32</v>
      </c>
      <c r="I2035" t="s">
        <v>91</v>
      </c>
      <c r="J2035">
        <v>509</v>
      </c>
      <c r="K2035">
        <v>7.6</v>
      </c>
      <c r="L2035">
        <v>3868.3999999999901</v>
      </c>
    </row>
    <row r="2036" spans="1:12" x14ac:dyDescent="0.3">
      <c r="A2036">
        <v>12</v>
      </c>
      <c r="B2036">
        <v>22</v>
      </c>
      <c r="C2036">
        <v>1</v>
      </c>
      <c r="D2036">
        <v>4</v>
      </c>
      <c r="E2036">
        <v>1</v>
      </c>
      <c r="F2036">
        <v>0</v>
      </c>
      <c r="G2036">
        <v>7</v>
      </c>
      <c r="H2036" t="s">
        <v>36</v>
      </c>
      <c r="I2036" t="s">
        <v>84</v>
      </c>
      <c r="J2036">
        <v>518</v>
      </c>
      <c r="K2036">
        <v>8.8000000000000007</v>
      </c>
      <c r="L2036">
        <v>4558.3999999999996</v>
      </c>
    </row>
    <row r="2037" spans="1:12" x14ac:dyDescent="0.3">
      <c r="A2037">
        <v>5</v>
      </c>
      <c r="B2037">
        <v>19</v>
      </c>
      <c r="C2037">
        <v>2</v>
      </c>
      <c r="D2037">
        <v>4</v>
      </c>
      <c r="E2037">
        <v>1</v>
      </c>
      <c r="F2037">
        <v>0</v>
      </c>
      <c r="G2037">
        <v>7</v>
      </c>
      <c r="H2037" t="s">
        <v>32</v>
      </c>
      <c r="I2037" t="s">
        <v>104</v>
      </c>
      <c r="J2037">
        <v>236</v>
      </c>
      <c r="K2037">
        <v>7.6</v>
      </c>
      <c r="L2037">
        <v>1793.6</v>
      </c>
    </row>
    <row r="2038" spans="1:12" x14ac:dyDescent="0.3">
      <c r="A2038">
        <v>16</v>
      </c>
      <c r="B2038">
        <v>22</v>
      </c>
      <c r="C2038">
        <v>1</v>
      </c>
      <c r="D2038">
        <v>11</v>
      </c>
      <c r="F2038">
        <v>0</v>
      </c>
      <c r="G2038">
        <v>3</v>
      </c>
      <c r="H2038" t="s">
        <v>15</v>
      </c>
      <c r="I2038" t="s">
        <v>126</v>
      </c>
      <c r="J2038">
        <v>622</v>
      </c>
      <c r="K2038">
        <v>8.3000000000000007</v>
      </c>
      <c r="L2038">
        <v>5162.6000000000004</v>
      </c>
    </row>
    <row r="2039" spans="1:12" x14ac:dyDescent="0.3">
      <c r="A2039">
        <v>7</v>
      </c>
      <c r="B2039">
        <v>17</v>
      </c>
      <c r="C2039">
        <v>3</v>
      </c>
      <c r="D2039">
        <v>14</v>
      </c>
      <c r="E2039">
        <v>1</v>
      </c>
      <c r="F2039">
        <v>0</v>
      </c>
      <c r="G2039">
        <v>8</v>
      </c>
      <c r="H2039" t="s">
        <v>30</v>
      </c>
      <c r="I2039" t="s">
        <v>94</v>
      </c>
      <c r="J2039">
        <v>325</v>
      </c>
      <c r="K2039">
        <v>9.1999999999999993</v>
      </c>
      <c r="L2039">
        <v>2989.99999999999</v>
      </c>
    </row>
    <row r="2040" spans="1:12" x14ac:dyDescent="0.3">
      <c r="B2040">
        <v>17</v>
      </c>
      <c r="C2040">
        <v>0</v>
      </c>
      <c r="D2040">
        <v>12</v>
      </c>
      <c r="F2040">
        <v>0</v>
      </c>
      <c r="G2040">
        <v>2</v>
      </c>
      <c r="H2040" t="s">
        <v>19</v>
      </c>
      <c r="I2040" t="s">
        <v>114</v>
      </c>
      <c r="J2040">
        <v>389</v>
      </c>
      <c r="K2040">
        <v>8.9</v>
      </c>
      <c r="L2040">
        <v>3462.1</v>
      </c>
    </row>
    <row r="2041" spans="1:12" x14ac:dyDescent="0.3">
      <c r="A2041">
        <v>23</v>
      </c>
      <c r="C2041">
        <v>0</v>
      </c>
      <c r="D2041">
        <v>15</v>
      </c>
      <c r="E2041">
        <v>1</v>
      </c>
      <c r="F2041">
        <v>0</v>
      </c>
      <c r="G2041">
        <v>8</v>
      </c>
      <c r="H2041" t="s">
        <v>30</v>
      </c>
      <c r="I2041" t="s">
        <v>85</v>
      </c>
      <c r="J2041" t="s">
        <v>234</v>
      </c>
      <c r="K2041">
        <v>9.1999999999999993</v>
      </c>
      <c r="L2041" t="s">
        <v>366</v>
      </c>
    </row>
    <row r="2042" spans="1:12" x14ac:dyDescent="0.3">
      <c r="A2042">
        <v>12</v>
      </c>
      <c r="B2042">
        <v>22</v>
      </c>
      <c r="C2042">
        <v>2</v>
      </c>
      <c r="D2042">
        <v>11</v>
      </c>
      <c r="E2042">
        <v>1</v>
      </c>
      <c r="F2042">
        <v>0</v>
      </c>
      <c r="G2042">
        <v>11</v>
      </c>
      <c r="H2042" t="s">
        <v>18</v>
      </c>
      <c r="I2042" t="s">
        <v>124</v>
      </c>
      <c r="J2042">
        <v>465</v>
      </c>
      <c r="K2042">
        <v>7.7</v>
      </c>
      <c r="L2042">
        <v>3580.5</v>
      </c>
    </row>
    <row r="2043" spans="1:12" x14ac:dyDescent="0.3">
      <c r="A2043">
        <v>22</v>
      </c>
      <c r="B2043">
        <v>22</v>
      </c>
      <c r="C2043">
        <v>2</v>
      </c>
      <c r="D2043">
        <v>12</v>
      </c>
      <c r="E2043">
        <v>1</v>
      </c>
      <c r="F2043">
        <v>0</v>
      </c>
      <c r="G2043">
        <v>5</v>
      </c>
      <c r="H2043" t="s">
        <v>18</v>
      </c>
      <c r="I2043" t="s">
        <v>114</v>
      </c>
      <c r="J2043">
        <v>666</v>
      </c>
      <c r="K2043">
        <v>7.7</v>
      </c>
      <c r="L2043">
        <v>5128.2</v>
      </c>
    </row>
    <row r="2044" spans="1:12" x14ac:dyDescent="0.3">
      <c r="A2044">
        <v>17</v>
      </c>
      <c r="B2044">
        <v>22</v>
      </c>
      <c r="D2044">
        <v>8</v>
      </c>
      <c r="E2044">
        <v>1</v>
      </c>
      <c r="F2044">
        <v>0</v>
      </c>
      <c r="G2044">
        <v>12</v>
      </c>
      <c r="H2044" t="s">
        <v>20</v>
      </c>
      <c r="I2044" t="s">
        <v>102</v>
      </c>
      <c r="J2044">
        <v>511</v>
      </c>
      <c r="K2044">
        <v>9.1</v>
      </c>
      <c r="L2044">
        <v>4650.0999999999904</v>
      </c>
    </row>
    <row r="2045" spans="1:12" x14ac:dyDescent="0.3">
      <c r="A2045">
        <v>7</v>
      </c>
      <c r="B2045">
        <v>18</v>
      </c>
      <c r="C2045">
        <v>3</v>
      </c>
      <c r="D2045">
        <v>9</v>
      </c>
      <c r="E2045">
        <v>7</v>
      </c>
      <c r="F2045">
        <v>0</v>
      </c>
      <c r="G2045">
        <v>4</v>
      </c>
      <c r="H2045" t="s">
        <v>30</v>
      </c>
      <c r="I2045" t="s">
        <v>99</v>
      </c>
      <c r="J2045">
        <v>480</v>
      </c>
      <c r="K2045">
        <v>9.1999999999999993</v>
      </c>
      <c r="L2045">
        <v>4416</v>
      </c>
    </row>
    <row r="2046" spans="1:12" x14ac:dyDescent="0.3">
      <c r="A2046">
        <v>13</v>
      </c>
      <c r="B2046">
        <v>22</v>
      </c>
      <c r="C2046">
        <v>0</v>
      </c>
      <c r="D2046">
        <v>10</v>
      </c>
      <c r="E2046">
        <v>12</v>
      </c>
      <c r="F2046">
        <v>0</v>
      </c>
      <c r="G2046">
        <v>1</v>
      </c>
      <c r="H2046" t="s">
        <v>16</v>
      </c>
      <c r="I2046" t="s">
        <v>81</v>
      </c>
      <c r="J2046">
        <v>449</v>
      </c>
      <c r="K2046">
        <v>8.9</v>
      </c>
      <c r="L2046">
        <v>3996.1</v>
      </c>
    </row>
    <row r="2047" spans="1:12" x14ac:dyDescent="0.3">
      <c r="A2047">
        <v>23</v>
      </c>
      <c r="B2047">
        <v>23</v>
      </c>
      <c r="C2047">
        <v>2</v>
      </c>
      <c r="D2047">
        <v>12</v>
      </c>
      <c r="E2047">
        <v>1</v>
      </c>
      <c r="F2047">
        <v>0</v>
      </c>
      <c r="G2047">
        <v>12</v>
      </c>
      <c r="H2047" t="s">
        <v>14</v>
      </c>
      <c r="I2047" t="s">
        <v>77</v>
      </c>
      <c r="J2047">
        <v>579</v>
      </c>
      <c r="K2047">
        <v>8.9</v>
      </c>
      <c r="L2047">
        <v>5153.1000000000004</v>
      </c>
    </row>
    <row r="2048" spans="1:12" x14ac:dyDescent="0.3">
      <c r="A2048">
        <v>16</v>
      </c>
      <c r="B2048">
        <v>23</v>
      </c>
      <c r="C2048">
        <v>1</v>
      </c>
      <c r="D2048">
        <v>9</v>
      </c>
      <c r="E2048">
        <v>1</v>
      </c>
      <c r="F2048">
        <v>0</v>
      </c>
      <c r="G2048">
        <v>2</v>
      </c>
      <c r="H2048" t="s">
        <v>49</v>
      </c>
      <c r="J2048" t="s">
        <v>223</v>
      </c>
      <c r="K2048">
        <v>8.5</v>
      </c>
      <c r="L2048">
        <v>4760</v>
      </c>
    </row>
    <row r="2049" spans="1:12" x14ac:dyDescent="0.3">
      <c r="A2049">
        <v>22</v>
      </c>
      <c r="B2049">
        <v>23</v>
      </c>
      <c r="C2049">
        <v>0</v>
      </c>
      <c r="D2049">
        <v>6</v>
      </c>
      <c r="E2049">
        <v>1</v>
      </c>
      <c r="F2049">
        <v>0</v>
      </c>
      <c r="G2049">
        <v>11</v>
      </c>
      <c r="H2049" t="s">
        <v>15</v>
      </c>
      <c r="I2049" t="s">
        <v>88</v>
      </c>
      <c r="J2049">
        <v>548</v>
      </c>
      <c r="K2049">
        <v>8.3000000000000007</v>
      </c>
      <c r="L2049">
        <v>4548.3999999999996</v>
      </c>
    </row>
    <row r="2050" spans="1:12" x14ac:dyDescent="0.3">
      <c r="A2050">
        <v>15</v>
      </c>
      <c r="B2050">
        <v>22</v>
      </c>
      <c r="C2050">
        <v>2</v>
      </c>
      <c r="D2050">
        <v>4</v>
      </c>
      <c r="E2050">
        <v>1</v>
      </c>
      <c r="F2050">
        <v>0</v>
      </c>
      <c r="G2050">
        <v>5</v>
      </c>
      <c r="H2050" t="s">
        <v>35</v>
      </c>
      <c r="I2050" t="s">
        <v>94</v>
      </c>
      <c r="J2050">
        <v>525</v>
      </c>
      <c r="K2050">
        <v>8.1999999999999993</v>
      </c>
      <c r="L2050">
        <v>4305</v>
      </c>
    </row>
    <row r="2051" spans="1:12" x14ac:dyDescent="0.3">
      <c r="A2051">
        <v>16</v>
      </c>
      <c r="B2051">
        <v>23</v>
      </c>
      <c r="C2051">
        <v>2</v>
      </c>
      <c r="D2051">
        <v>16</v>
      </c>
      <c r="E2051">
        <v>1</v>
      </c>
      <c r="F2051">
        <v>0</v>
      </c>
      <c r="G2051">
        <v>6</v>
      </c>
      <c r="H2051" t="s">
        <v>26</v>
      </c>
      <c r="I2051" t="s">
        <v>71</v>
      </c>
      <c r="J2051">
        <v>685</v>
      </c>
      <c r="K2051">
        <v>8.5</v>
      </c>
      <c r="L2051">
        <v>5822.5</v>
      </c>
    </row>
    <row r="2052" spans="1:12" x14ac:dyDescent="0.3">
      <c r="A2052">
        <v>11</v>
      </c>
      <c r="B2052">
        <v>22</v>
      </c>
      <c r="C2052">
        <v>2</v>
      </c>
      <c r="D2052">
        <v>13</v>
      </c>
      <c r="E2052">
        <v>1</v>
      </c>
      <c r="F2052">
        <v>0</v>
      </c>
      <c r="G2052">
        <v>9</v>
      </c>
      <c r="H2052" t="s">
        <v>30</v>
      </c>
      <c r="I2052" t="s">
        <v>95</v>
      </c>
      <c r="J2052">
        <v>385</v>
      </c>
      <c r="K2052">
        <v>9.1999999999999993</v>
      </c>
      <c r="L2052">
        <v>3541.99999999999</v>
      </c>
    </row>
    <row r="2053" spans="1:12" x14ac:dyDescent="0.3">
      <c r="A2053">
        <v>7</v>
      </c>
      <c r="B2053">
        <v>19</v>
      </c>
      <c r="D2053">
        <v>14</v>
      </c>
      <c r="E2053">
        <v>1</v>
      </c>
      <c r="F2053">
        <v>0</v>
      </c>
      <c r="G2053">
        <v>4</v>
      </c>
      <c r="H2053" t="s">
        <v>52</v>
      </c>
      <c r="I2053" t="s">
        <v>83</v>
      </c>
      <c r="J2053">
        <v>559</v>
      </c>
      <c r="K2053">
        <v>9.3000000000000007</v>
      </c>
      <c r="L2053">
        <v>5198.7</v>
      </c>
    </row>
    <row r="2054" spans="1:12" x14ac:dyDescent="0.3">
      <c r="A2054">
        <v>23</v>
      </c>
      <c r="B2054">
        <v>22</v>
      </c>
      <c r="C2054">
        <v>2</v>
      </c>
      <c r="D2054">
        <v>20</v>
      </c>
      <c r="E2054">
        <v>1</v>
      </c>
      <c r="F2054">
        <v>0</v>
      </c>
      <c r="G2054">
        <v>11</v>
      </c>
      <c r="H2054" t="s">
        <v>33</v>
      </c>
      <c r="I2054" t="s">
        <v>97</v>
      </c>
      <c r="J2054">
        <v>545</v>
      </c>
      <c r="K2054">
        <v>9.3000000000000007</v>
      </c>
      <c r="L2054">
        <v>5068.5</v>
      </c>
    </row>
    <row r="2055" spans="1:12" x14ac:dyDescent="0.3">
      <c r="A2055">
        <v>10</v>
      </c>
      <c r="B2055">
        <v>18</v>
      </c>
      <c r="C2055">
        <v>2</v>
      </c>
      <c r="D2055">
        <v>9</v>
      </c>
      <c r="E2055">
        <v>1</v>
      </c>
      <c r="F2055">
        <v>0</v>
      </c>
      <c r="H2055" t="s">
        <v>30</v>
      </c>
      <c r="I2055" t="s">
        <v>109</v>
      </c>
      <c r="J2055">
        <v>490</v>
      </c>
      <c r="K2055">
        <v>9.1999999999999993</v>
      </c>
      <c r="L2055">
        <v>4508</v>
      </c>
    </row>
    <row r="2056" spans="1:12" x14ac:dyDescent="0.3">
      <c r="A2056">
        <v>21</v>
      </c>
      <c r="B2056">
        <v>22</v>
      </c>
      <c r="C2056">
        <v>0</v>
      </c>
      <c r="D2056">
        <v>3</v>
      </c>
      <c r="E2056">
        <v>1</v>
      </c>
      <c r="F2056">
        <v>0</v>
      </c>
      <c r="G2056">
        <v>5</v>
      </c>
      <c r="H2056" t="s">
        <v>32</v>
      </c>
      <c r="I2056" t="s">
        <v>77</v>
      </c>
      <c r="J2056" t="s">
        <v>235</v>
      </c>
      <c r="K2056">
        <v>7.6</v>
      </c>
      <c r="L2056">
        <v>3511.2</v>
      </c>
    </row>
    <row r="2057" spans="1:12" x14ac:dyDescent="0.3">
      <c r="A2057">
        <v>23</v>
      </c>
      <c r="C2057">
        <v>1</v>
      </c>
      <c r="D2057">
        <v>12</v>
      </c>
      <c r="E2057">
        <v>1</v>
      </c>
      <c r="F2057">
        <v>0</v>
      </c>
      <c r="G2057">
        <v>12</v>
      </c>
      <c r="H2057" t="s">
        <v>32</v>
      </c>
      <c r="I2057" t="s">
        <v>81</v>
      </c>
      <c r="J2057">
        <v>582</v>
      </c>
      <c r="K2057">
        <v>7.6</v>
      </c>
      <c r="L2057">
        <v>4423.2</v>
      </c>
    </row>
    <row r="2058" spans="1:12" x14ac:dyDescent="0.3">
      <c r="A2058">
        <v>12</v>
      </c>
      <c r="B2058">
        <v>22</v>
      </c>
      <c r="C2058">
        <v>1</v>
      </c>
      <c r="D2058">
        <v>15</v>
      </c>
      <c r="E2058">
        <v>1</v>
      </c>
      <c r="F2058">
        <v>0</v>
      </c>
      <c r="G2058">
        <v>6</v>
      </c>
      <c r="H2058" t="s">
        <v>36</v>
      </c>
      <c r="I2058" t="s">
        <v>82</v>
      </c>
      <c r="J2058">
        <v>517</v>
      </c>
      <c r="K2058">
        <v>8.8000000000000007</v>
      </c>
      <c r="L2058">
        <v>4549.6000000000004</v>
      </c>
    </row>
    <row r="2059" spans="1:12" x14ac:dyDescent="0.3">
      <c r="A2059">
        <v>20</v>
      </c>
      <c r="B2059">
        <v>22</v>
      </c>
      <c r="C2059">
        <v>3</v>
      </c>
      <c r="D2059">
        <v>7</v>
      </c>
      <c r="E2059">
        <v>12</v>
      </c>
      <c r="F2059">
        <v>0</v>
      </c>
      <c r="G2059">
        <v>2</v>
      </c>
      <c r="H2059" t="s">
        <v>38</v>
      </c>
      <c r="I2059" t="s">
        <v>84</v>
      </c>
      <c r="J2059">
        <v>659</v>
      </c>
      <c r="K2059">
        <v>7.4</v>
      </c>
      <c r="L2059">
        <v>4876.6000000000004</v>
      </c>
    </row>
    <row r="2060" spans="1:12" x14ac:dyDescent="0.3">
      <c r="A2060">
        <v>13</v>
      </c>
      <c r="B2060">
        <v>22</v>
      </c>
      <c r="C2060">
        <v>3</v>
      </c>
      <c r="D2060">
        <v>10</v>
      </c>
      <c r="E2060">
        <v>1</v>
      </c>
      <c r="F2060">
        <v>0</v>
      </c>
      <c r="G2060">
        <v>8</v>
      </c>
      <c r="H2060" t="s">
        <v>16</v>
      </c>
      <c r="I2060" t="s">
        <v>91</v>
      </c>
      <c r="K2060">
        <v>8.9</v>
      </c>
      <c r="L2060" t="s">
        <v>367</v>
      </c>
    </row>
    <row r="2061" spans="1:12" x14ac:dyDescent="0.3">
      <c r="A2061">
        <v>6</v>
      </c>
      <c r="B2061">
        <v>19</v>
      </c>
      <c r="C2061">
        <v>2</v>
      </c>
      <c r="D2061">
        <v>10</v>
      </c>
      <c r="E2061">
        <v>1</v>
      </c>
      <c r="F2061">
        <v>0</v>
      </c>
      <c r="G2061">
        <v>9</v>
      </c>
      <c r="H2061" t="s">
        <v>23</v>
      </c>
      <c r="I2061" t="s">
        <v>88</v>
      </c>
      <c r="J2061">
        <v>475</v>
      </c>
      <c r="K2061">
        <v>8.4</v>
      </c>
      <c r="L2061">
        <v>3990</v>
      </c>
    </row>
    <row r="2062" spans="1:12" x14ac:dyDescent="0.3">
      <c r="A2062">
        <v>14</v>
      </c>
      <c r="B2062">
        <v>22</v>
      </c>
      <c r="C2062">
        <v>3</v>
      </c>
      <c r="D2062">
        <v>16</v>
      </c>
      <c r="E2062">
        <v>1</v>
      </c>
      <c r="F2062">
        <v>0</v>
      </c>
      <c r="G2062">
        <v>12</v>
      </c>
      <c r="H2062" t="s">
        <v>25</v>
      </c>
      <c r="I2062" t="s">
        <v>106</v>
      </c>
      <c r="J2062">
        <v>678</v>
      </c>
      <c r="K2062" t="s">
        <v>243</v>
      </c>
    </row>
    <row r="2063" spans="1:12" x14ac:dyDescent="0.3">
      <c r="A2063">
        <v>17</v>
      </c>
      <c r="B2063">
        <v>22</v>
      </c>
      <c r="C2063">
        <v>0</v>
      </c>
      <c r="D2063">
        <v>7</v>
      </c>
      <c r="E2063">
        <v>12</v>
      </c>
      <c r="F2063">
        <v>0</v>
      </c>
      <c r="G2063">
        <v>10</v>
      </c>
      <c r="H2063" t="s">
        <v>28</v>
      </c>
      <c r="I2063" t="s">
        <v>72</v>
      </c>
      <c r="J2063">
        <v>618</v>
      </c>
      <c r="K2063">
        <v>7.7</v>
      </c>
      <c r="L2063">
        <v>4758.6000000000004</v>
      </c>
    </row>
    <row r="2064" spans="1:12" x14ac:dyDescent="0.3">
      <c r="A2064">
        <v>11</v>
      </c>
      <c r="B2064">
        <v>22</v>
      </c>
      <c r="E2064">
        <v>12</v>
      </c>
      <c r="F2064">
        <v>0</v>
      </c>
      <c r="G2064">
        <v>7</v>
      </c>
      <c r="H2064" t="s">
        <v>35</v>
      </c>
      <c r="I2064" t="s">
        <v>82</v>
      </c>
      <c r="J2064">
        <v>642</v>
      </c>
      <c r="K2064">
        <v>8.1999999999999993</v>
      </c>
      <c r="L2064">
        <v>5264.4</v>
      </c>
    </row>
    <row r="2065" spans="1:12" x14ac:dyDescent="0.3">
      <c r="A2065">
        <v>23</v>
      </c>
      <c r="B2065">
        <v>22</v>
      </c>
      <c r="C2065">
        <v>1</v>
      </c>
      <c r="D2065">
        <v>4</v>
      </c>
      <c r="E2065">
        <v>1</v>
      </c>
      <c r="F2065">
        <v>0</v>
      </c>
      <c r="G2065">
        <v>7</v>
      </c>
      <c r="H2065" t="s">
        <v>24</v>
      </c>
      <c r="I2065" t="s">
        <v>70</v>
      </c>
      <c r="J2065">
        <v>461</v>
      </c>
      <c r="K2065">
        <v>7.9</v>
      </c>
      <c r="L2065">
        <v>3641.9</v>
      </c>
    </row>
    <row r="2066" spans="1:12" x14ac:dyDescent="0.3">
      <c r="B2066">
        <v>18</v>
      </c>
      <c r="C2066">
        <v>1</v>
      </c>
      <c r="D2066">
        <v>12</v>
      </c>
      <c r="E2066">
        <v>1</v>
      </c>
      <c r="F2066">
        <v>0</v>
      </c>
      <c r="G2066">
        <v>2</v>
      </c>
      <c r="H2066" t="s">
        <v>60</v>
      </c>
      <c r="I2066" t="s">
        <v>107</v>
      </c>
      <c r="J2066">
        <v>407</v>
      </c>
      <c r="K2066">
        <v>9.1</v>
      </c>
      <c r="L2066">
        <v>3703.7</v>
      </c>
    </row>
    <row r="2067" spans="1:12" x14ac:dyDescent="0.3">
      <c r="A2067">
        <v>20</v>
      </c>
      <c r="B2067">
        <v>22</v>
      </c>
      <c r="C2067">
        <v>3</v>
      </c>
      <c r="D2067">
        <v>20</v>
      </c>
      <c r="E2067">
        <v>12</v>
      </c>
      <c r="F2067">
        <v>0</v>
      </c>
      <c r="G2067">
        <v>9</v>
      </c>
      <c r="H2067" t="s">
        <v>25</v>
      </c>
      <c r="I2067" t="s">
        <v>85</v>
      </c>
      <c r="J2067">
        <v>662</v>
      </c>
      <c r="K2067">
        <v>8.1</v>
      </c>
      <c r="L2067">
        <v>5362.2</v>
      </c>
    </row>
    <row r="2068" spans="1:12" x14ac:dyDescent="0.3">
      <c r="A2068">
        <v>16</v>
      </c>
      <c r="B2068">
        <v>23</v>
      </c>
      <c r="C2068">
        <v>0</v>
      </c>
      <c r="D2068">
        <v>15</v>
      </c>
      <c r="E2068">
        <v>1</v>
      </c>
      <c r="F2068">
        <v>0</v>
      </c>
      <c r="G2068">
        <v>3</v>
      </c>
      <c r="H2068" t="s">
        <v>26</v>
      </c>
      <c r="I2068" t="s">
        <v>74</v>
      </c>
      <c r="J2068">
        <v>646</v>
      </c>
      <c r="K2068">
        <v>8.5</v>
      </c>
      <c r="L2068">
        <v>5491</v>
      </c>
    </row>
    <row r="2069" spans="1:12" x14ac:dyDescent="0.3">
      <c r="A2069">
        <v>21</v>
      </c>
      <c r="B2069">
        <v>23</v>
      </c>
      <c r="C2069">
        <v>2</v>
      </c>
      <c r="D2069">
        <v>11</v>
      </c>
      <c r="E2069">
        <v>1</v>
      </c>
      <c r="F2069">
        <v>0</v>
      </c>
      <c r="G2069">
        <v>7</v>
      </c>
      <c r="H2069" t="s">
        <v>15</v>
      </c>
      <c r="I2069" t="s">
        <v>71</v>
      </c>
      <c r="J2069">
        <v>584</v>
      </c>
      <c r="K2069">
        <v>8.3000000000000007</v>
      </c>
    </row>
    <row r="2070" spans="1:12" x14ac:dyDescent="0.3">
      <c r="A2070">
        <v>23</v>
      </c>
      <c r="B2070">
        <v>22</v>
      </c>
      <c r="C2070">
        <v>0</v>
      </c>
      <c r="D2070">
        <v>7</v>
      </c>
      <c r="E2070">
        <v>1</v>
      </c>
      <c r="F2070">
        <v>0</v>
      </c>
      <c r="G2070">
        <v>5</v>
      </c>
      <c r="H2070" t="s">
        <v>16</v>
      </c>
      <c r="I2070" t="s">
        <v>90</v>
      </c>
      <c r="J2070">
        <v>469</v>
      </c>
      <c r="K2070">
        <v>8.9</v>
      </c>
      <c r="L2070">
        <v>4174.1000000000004</v>
      </c>
    </row>
    <row r="2071" spans="1:12" x14ac:dyDescent="0.3">
      <c r="A2071">
        <v>18</v>
      </c>
      <c r="B2071">
        <v>22</v>
      </c>
      <c r="C2071">
        <v>1</v>
      </c>
      <c r="D2071">
        <v>21</v>
      </c>
      <c r="E2071">
        <v>1</v>
      </c>
      <c r="F2071">
        <v>0</v>
      </c>
      <c r="H2071" t="s">
        <v>15</v>
      </c>
      <c r="I2071" t="s">
        <v>105</v>
      </c>
      <c r="J2071">
        <v>552</v>
      </c>
      <c r="K2071">
        <v>8.3000000000000007</v>
      </c>
      <c r="L2071">
        <v>4581.6000000000004</v>
      </c>
    </row>
    <row r="2072" spans="1:12" x14ac:dyDescent="0.3">
      <c r="A2072">
        <v>7</v>
      </c>
      <c r="B2072">
        <v>22</v>
      </c>
      <c r="C2072">
        <v>0</v>
      </c>
      <c r="D2072">
        <v>7</v>
      </c>
      <c r="G2072">
        <v>1</v>
      </c>
      <c r="H2072" t="s">
        <v>36</v>
      </c>
      <c r="I2072" t="s">
        <v>73</v>
      </c>
      <c r="J2072">
        <v>302</v>
      </c>
      <c r="K2072">
        <v>8.8000000000000007</v>
      </c>
    </row>
    <row r="2073" spans="1:12" x14ac:dyDescent="0.3">
      <c r="C2073">
        <v>1</v>
      </c>
      <c r="D2073">
        <v>8</v>
      </c>
      <c r="F2073">
        <v>0</v>
      </c>
      <c r="H2073" t="s">
        <v>48</v>
      </c>
      <c r="I2073" t="s">
        <v>106</v>
      </c>
      <c r="J2073">
        <v>427</v>
      </c>
      <c r="K2073">
        <v>8.6999999999999993</v>
      </c>
      <c r="L2073">
        <v>3714.8999999999901</v>
      </c>
    </row>
    <row r="2074" spans="1:12" x14ac:dyDescent="0.3">
      <c r="A2074">
        <v>14</v>
      </c>
      <c r="B2074">
        <v>23</v>
      </c>
      <c r="C2074">
        <v>0</v>
      </c>
      <c r="D2074">
        <v>6</v>
      </c>
      <c r="E2074">
        <v>1</v>
      </c>
      <c r="F2074">
        <v>0</v>
      </c>
      <c r="G2074">
        <v>10</v>
      </c>
      <c r="H2074" t="s">
        <v>38</v>
      </c>
      <c r="I2074" t="s">
        <v>125</v>
      </c>
      <c r="J2074">
        <v>488</v>
      </c>
      <c r="K2074">
        <v>7.4</v>
      </c>
      <c r="L2074">
        <v>3611.2</v>
      </c>
    </row>
    <row r="2075" spans="1:12" x14ac:dyDescent="0.3">
      <c r="A2075">
        <v>21</v>
      </c>
      <c r="B2075">
        <v>22</v>
      </c>
      <c r="C2075">
        <v>0</v>
      </c>
      <c r="D2075">
        <v>22</v>
      </c>
      <c r="E2075">
        <v>1</v>
      </c>
      <c r="F2075">
        <v>0</v>
      </c>
      <c r="G2075">
        <v>3</v>
      </c>
      <c r="H2075" t="s">
        <v>18</v>
      </c>
      <c r="I2075" t="s">
        <v>85</v>
      </c>
      <c r="J2075">
        <v>487</v>
      </c>
      <c r="K2075">
        <v>7.7</v>
      </c>
      <c r="L2075">
        <v>3749.9</v>
      </c>
    </row>
    <row r="2076" spans="1:12" x14ac:dyDescent="0.3">
      <c r="A2076">
        <v>18</v>
      </c>
      <c r="B2076">
        <v>22</v>
      </c>
      <c r="C2076">
        <v>1</v>
      </c>
      <c r="D2076">
        <v>5</v>
      </c>
      <c r="E2076">
        <v>12</v>
      </c>
      <c r="F2076">
        <v>0</v>
      </c>
      <c r="G2076">
        <v>4</v>
      </c>
      <c r="H2076" t="s">
        <v>39</v>
      </c>
      <c r="I2076" t="s">
        <v>95</v>
      </c>
      <c r="J2076">
        <v>626</v>
      </c>
      <c r="K2076" t="s">
        <v>244</v>
      </c>
      <c r="L2076">
        <v>5508.8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1A389-B6F4-46ED-9CED-C827C85E2B13}">
  <dimension ref="B6:N36"/>
  <sheetViews>
    <sheetView topLeftCell="A6" workbookViewId="0">
      <selection activeCell="O11" sqref="O11"/>
    </sheetView>
  </sheetViews>
  <sheetFormatPr defaultColWidth="9.109375" defaultRowHeight="14.4" x14ac:dyDescent="0.3"/>
  <cols>
    <col min="1" max="8" width="9.109375" style="15"/>
    <col min="9" max="9" width="4.33203125" style="15" bestFit="1" customWidth="1"/>
    <col min="10" max="10" width="18.44140625" style="15" bestFit="1" customWidth="1"/>
    <col min="11" max="11" width="13.88671875" style="15" customWidth="1"/>
    <col min="12" max="12" width="27.44140625" style="15" customWidth="1"/>
    <col min="13" max="16384" width="9.109375" style="15"/>
  </cols>
  <sheetData>
    <row r="6" spans="2:12" ht="31.8" thickBot="1" x14ac:dyDescent="0.65">
      <c r="B6" s="13"/>
      <c r="C6" s="14"/>
      <c r="D6" s="14"/>
      <c r="E6" s="14"/>
      <c r="F6" s="14"/>
      <c r="G6" s="14"/>
      <c r="H6" s="14"/>
      <c r="I6" s="14"/>
      <c r="J6" s="14"/>
      <c r="K6" s="14"/>
    </row>
    <row r="7" spans="2:12" ht="31.8" thickBot="1" x14ac:dyDescent="0.65">
      <c r="B7" s="14"/>
      <c r="C7" s="14"/>
      <c r="D7" s="14"/>
      <c r="E7" s="14"/>
      <c r="I7" s="18" t="s">
        <v>403</v>
      </c>
      <c r="J7" s="19" t="s">
        <v>404</v>
      </c>
      <c r="K7" s="19" t="s">
        <v>405</v>
      </c>
      <c r="L7" s="19" t="s">
        <v>406</v>
      </c>
    </row>
    <row r="8" spans="2:12" ht="48.6" thickBot="1" x14ac:dyDescent="0.65">
      <c r="B8" s="13"/>
      <c r="C8" s="14"/>
      <c r="D8" s="14"/>
      <c r="E8" s="14"/>
      <c r="I8" s="20">
        <v>1</v>
      </c>
      <c r="J8" s="24" t="s">
        <v>407</v>
      </c>
      <c r="K8" s="21" t="s">
        <v>408</v>
      </c>
      <c r="L8" s="24" t="s">
        <v>409</v>
      </c>
    </row>
    <row r="9" spans="2:12" ht="36.6" thickBot="1" x14ac:dyDescent="0.65">
      <c r="B9" s="16"/>
      <c r="C9" s="14"/>
      <c r="D9" s="14"/>
      <c r="E9" s="14"/>
      <c r="I9" s="22">
        <v>2</v>
      </c>
      <c r="J9" s="23" t="s">
        <v>410</v>
      </c>
      <c r="K9" s="23" t="s">
        <v>411</v>
      </c>
      <c r="L9" s="23" t="s">
        <v>412</v>
      </c>
    </row>
    <row r="10" spans="2:12" ht="31.8" thickBot="1" x14ac:dyDescent="0.65">
      <c r="B10" s="16"/>
      <c r="C10" s="14"/>
      <c r="D10" s="14"/>
      <c r="E10" s="14"/>
      <c r="I10" s="20">
        <v>3</v>
      </c>
      <c r="J10" s="21" t="s">
        <v>413</v>
      </c>
      <c r="K10" s="21" t="s">
        <v>414</v>
      </c>
      <c r="L10" s="21" t="s">
        <v>415</v>
      </c>
    </row>
    <row r="11" spans="2:12" ht="48.6" thickBot="1" x14ac:dyDescent="0.65">
      <c r="B11" s="16"/>
      <c r="C11" s="14"/>
      <c r="D11" s="14"/>
      <c r="E11" s="14"/>
      <c r="I11" s="22">
        <v>4</v>
      </c>
      <c r="J11" s="23" t="s">
        <v>418</v>
      </c>
      <c r="K11" s="23" t="s">
        <v>419</v>
      </c>
      <c r="L11" s="23" t="s">
        <v>420</v>
      </c>
    </row>
    <row r="12" spans="2:12" ht="48.6" thickBot="1" x14ac:dyDescent="0.65">
      <c r="B12" s="14"/>
      <c r="C12" s="14"/>
      <c r="D12" s="14"/>
      <c r="E12" s="14"/>
      <c r="I12" s="20">
        <v>5</v>
      </c>
      <c r="J12" s="21" t="s">
        <v>421</v>
      </c>
      <c r="K12" s="21" t="s">
        <v>422</v>
      </c>
      <c r="L12" s="21" t="s">
        <v>423</v>
      </c>
    </row>
    <row r="13" spans="2:12" ht="36.6" thickBot="1" x14ac:dyDescent="0.65">
      <c r="B13" s="14"/>
      <c r="C13" s="14"/>
      <c r="D13" s="14"/>
      <c r="E13" s="14"/>
      <c r="I13" s="22">
        <v>6</v>
      </c>
      <c r="J13" s="23" t="s">
        <v>416</v>
      </c>
      <c r="K13" s="23" t="s">
        <v>424</v>
      </c>
      <c r="L13" s="23" t="s">
        <v>417</v>
      </c>
    </row>
    <row r="14" spans="2:12" ht="31.2" x14ac:dyDescent="0.6">
      <c r="B14" s="14"/>
      <c r="C14" s="14"/>
      <c r="D14" s="14"/>
      <c r="E14" s="14"/>
    </row>
    <row r="15" spans="2:12" ht="31.2" x14ac:dyDescent="0.6">
      <c r="B15" s="13"/>
      <c r="C15" s="14"/>
      <c r="D15" s="14"/>
      <c r="E15" s="14"/>
    </row>
    <row r="16" spans="2:12" ht="31.2" x14ac:dyDescent="0.6">
      <c r="B16" s="16"/>
      <c r="C16" s="14"/>
      <c r="D16" s="14"/>
      <c r="E16" s="14"/>
    </row>
    <row r="17" spans="2:14" ht="31.2" x14ac:dyDescent="0.6">
      <c r="B17" s="16"/>
      <c r="C17" s="14"/>
      <c r="D17" s="14"/>
      <c r="E17" s="14"/>
    </row>
    <row r="18" spans="2:14" ht="31.2" x14ac:dyDescent="0.6">
      <c r="B18" s="17"/>
      <c r="C18" s="14"/>
      <c r="D18" s="14"/>
      <c r="E18" s="14"/>
      <c r="J18" s="14"/>
      <c r="K18" s="14"/>
    </row>
    <row r="19" spans="2:14" ht="31.2" x14ac:dyDescent="0.6">
      <c r="B19" s="16"/>
      <c r="C19" s="14"/>
      <c r="D19" s="14"/>
      <c r="E19" s="14"/>
      <c r="F19" s="25"/>
      <c r="J19" s="14"/>
      <c r="K19" s="14"/>
    </row>
    <row r="20" spans="2:14" ht="31.2" x14ac:dyDescent="0.6">
      <c r="B20" s="16"/>
      <c r="C20" s="14"/>
      <c r="D20" s="14"/>
      <c r="E20" s="14"/>
      <c r="F20" s="14"/>
      <c r="G20" s="14"/>
      <c r="H20" s="14"/>
      <c r="I20" s="14"/>
      <c r="J20" s="14"/>
      <c r="K20" s="14"/>
    </row>
    <row r="21" spans="2:14" ht="31.2" x14ac:dyDescent="0.6">
      <c r="B21" s="14"/>
      <c r="C21" s="14"/>
      <c r="D21" s="14"/>
      <c r="E21" s="14"/>
      <c r="F21" s="14"/>
      <c r="G21" s="14"/>
      <c r="H21" s="14"/>
      <c r="I21" s="14"/>
      <c r="J21" s="14"/>
      <c r="K21" s="14"/>
    </row>
    <row r="22" spans="2:14" ht="31.2" x14ac:dyDescent="0.6">
      <c r="B22" s="14"/>
      <c r="C22" s="14"/>
      <c r="D22" s="14"/>
      <c r="E22" s="14"/>
      <c r="F22" s="14"/>
      <c r="G22" s="14"/>
      <c r="H22" s="14"/>
      <c r="I22" s="14"/>
      <c r="J22" s="14"/>
      <c r="K22" s="14"/>
    </row>
    <row r="23" spans="2:14" ht="31.2" x14ac:dyDescent="0.6">
      <c r="B23" s="14"/>
      <c r="C23" s="14"/>
      <c r="D23" s="14"/>
      <c r="E23" s="14"/>
      <c r="F23" s="14"/>
      <c r="G23" s="14"/>
      <c r="H23" s="14"/>
      <c r="I23" s="14"/>
      <c r="J23" s="14"/>
      <c r="K23" s="14"/>
    </row>
    <row r="24" spans="2:14" ht="31.2" x14ac:dyDescent="0.6">
      <c r="B24" s="13"/>
      <c r="C24" s="14"/>
      <c r="D24" s="14"/>
      <c r="E24" s="14"/>
      <c r="F24" s="14"/>
      <c r="G24" s="14"/>
      <c r="H24" s="14"/>
      <c r="I24" s="14"/>
      <c r="J24" s="14"/>
      <c r="K24" s="14"/>
    </row>
    <row r="25" spans="2:14" ht="31.2" x14ac:dyDescent="0.6">
      <c r="B25" s="16"/>
      <c r="C25" s="14"/>
      <c r="D25" s="14"/>
      <c r="E25" s="14"/>
      <c r="F25" s="14"/>
      <c r="G25" s="14"/>
      <c r="H25" s="14"/>
      <c r="I25" s="14"/>
      <c r="J25" s="14"/>
      <c r="K25" s="14"/>
    </row>
    <row r="26" spans="2:14" ht="31.2" x14ac:dyDescent="0.6">
      <c r="B26" s="16"/>
      <c r="C26" s="14"/>
      <c r="D26" s="14"/>
      <c r="E26" s="14"/>
      <c r="F26" s="14"/>
      <c r="G26" s="14"/>
      <c r="H26" s="14"/>
      <c r="I26" s="14"/>
      <c r="J26" s="14"/>
      <c r="K26" s="14"/>
    </row>
    <row r="27" spans="2:14" ht="31.2" x14ac:dyDescent="0.6">
      <c r="B27" s="14"/>
      <c r="C27" s="14"/>
      <c r="D27" s="14"/>
      <c r="E27" s="14"/>
      <c r="F27" s="14"/>
      <c r="G27" s="14"/>
      <c r="H27" s="14"/>
      <c r="I27" s="14"/>
      <c r="J27" s="14"/>
      <c r="K27" s="14"/>
    </row>
    <row r="28" spans="2:14" ht="31.2" x14ac:dyDescent="0.6">
      <c r="B28" s="13"/>
      <c r="C28" s="14"/>
      <c r="D28" s="14"/>
      <c r="E28" s="14"/>
      <c r="F28" s="14"/>
      <c r="G28" s="14"/>
      <c r="H28" s="14"/>
      <c r="I28" s="14"/>
      <c r="J28" s="14"/>
      <c r="K28" s="14"/>
      <c r="L28" s="14"/>
      <c r="M28" s="14"/>
      <c r="N28" s="14"/>
    </row>
    <row r="29" spans="2:14" ht="31.2" x14ac:dyDescent="0.6">
      <c r="B29" s="14"/>
      <c r="C29" s="14"/>
      <c r="D29" s="14"/>
      <c r="E29" s="14"/>
      <c r="F29" s="14"/>
      <c r="G29" s="14"/>
      <c r="H29" s="14"/>
      <c r="I29" s="14"/>
      <c r="J29" s="14"/>
      <c r="K29" s="14"/>
      <c r="L29" s="14"/>
      <c r="M29" s="14"/>
      <c r="N29" s="14"/>
    </row>
    <row r="30" spans="2:14" ht="31.2" x14ac:dyDescent="0.6">
      <c r="B30" s="14"/>
      <c r="C30" s="14"/>
      <c r="D30" s="14"/>
      <c r="E30" s="14"/>
      <c r="F30" s="14"/>
      <c r="G30" s="14"/>
      <c r="H30" s="14"/>
      <c r="I30" s="14"/>
      <c r="J30" s="14"/>
      <c r="K30" s="14"/>
      <c r="L30" s="14"/>
      <c r="M30" s="14"/>
      <c r="N30" s="14"/>
    </row>
    <row r="31" spans="2:14" ht="31.2" x14ac:dyDescent="0.6">
      <c r="B31" s="16"/>
      <c r="C31" s="14"/>
      <c r="D31" s="14"/>
      <c r="E31" s="14"/>
      <c r="F31" s="14"/>
      <c r="G31" s="14"/>
      <c r="H31" s="14"/>
      <c r="I31" s="14"/>
      <c r="J31" s="14"/>
      <c r="K31" s="14"/>
      <c r="L31" s="14"/>
      <c r="M31" s="14"/>
      <c r="N31" s="14"/>
    </row>
    <row r="32" spans="2:14" ht="31.2" x14ac:dyDescent="0.6">
      <c r="B32" s="16"/>
      <c r="C32" s="14"/>
      <c r="D32" s="14"/>
      <c r="E32" s="14"/>
      <c r="F32" s="14"/>
      <c r="G32" s="14"/>
      <c r="H32" s="14"/>
      <c r="I32" s="14"/>
      <c r="J32" s="14"/>
      <c r="K32" s="14"/>
      <c r="L32" s="14"/>
      <c r="M32" s="14"/>
      <c r="N32" s="14"/>
    </row>
    <row r="33" spans="2:14" ht="31.2" x14ac:dyDescent="0.6">
      <c r="B33" s="14"/>
      <c r="C33" s="14"/>
      <c r="D33" s="14"/>
      <c r="E33" s="14"/>
      <c r="F33" s="14"/>
      <c r="G33" s="14"/>
      <c r="H33" s="14"/>
      <c r="I33" s="14"/>
      <c r="J33" s="14"/>
      <c r="K33" s="14"/>
      <c r="L33" s="14"/>
      <c r="M33" s="14"/>
      <c r="N33" s="14"/>
    </row>
    <row r="34" spans="2:14" ht="31.2" x14ac:dyDescent="0.6">
      <c r="B34" s="14"/>
      <c r="C34" s="14"/>
      <c r="D34" s="14"/>
      <c r="E34" s="14"/>
      <c r="F34" s="14"/>
      <c r="G34" s="14"/>
      <c r="H34" s="14"/>
      <c r="I34" s="14"/>
      <c r="J34" s="14"/>
      <c r="K34" s="14"/>
      <c r="L34" s="14"/>
      <c r="M34" s="14"/>
      <c r="N34" s="14"/>
    </row>
    <row r="35" spans="2:14" ht="31.2" x14ac:dyDescent="0.6">
      <c r="B35" s="14"/>
      <c r="C35" s="14"/>
      <c r="D35" s="14"/>
      <c r="E35" s="14"/>
      <c r="F35" s="14"/>
      <c r="G35" s="14"/>
      <c r="H35" s="14"/>
      <c r="I35" s="14"/>
      <c r="J35" s="14"/>
      <c r="K35" s="14"/>
      <c r="L35" s="14"/>
      <c r="M35" s="14"/>
      <c r="N35" s="14"/>
    </row>
    <row r="36" spans="2:14" ht="31.2" x14ac:dyDescent="0.6">
      <c r="B36" s="14"/>
      <c r="C36" s="14"/>
      <c r="D36" s="14"/>
      <c r="E36" s="14"/>
      <c r="F36" s="14"/>
      <c r="G36" s="14"/>
      <c r="H36" s="14"/>
      <c r="I36" s="14"/>
      <c r="J36" s="14"/>
      <c r="K36" s="14"/>
      <c r="L36" s="14"/>
      <c r="M36" s="14"/>
      <c r="N36"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2F76-57C7-411D-9225-BB84E603B966}">
  <dimension ref="A1:L2076"/>
  <sheetViews>
    <sheetView workbookViewId="0"/>
  </sheetViews>
  <sheetFormatPr defaultRowHeight="14.4" x14ac:dyDescent="0.3"/>
  <cols>
    <col min="11" max="11" width="8.88671875" style="3"/>
    <col min="17" max="17" width="21.5546875" bestFit="1" customWidth="1"/>
    <col min="18" max="18" width="12" bestFit="1" customWidth="1"/>
  </cols>
  <sheetData>
    <row r="1" spans="1:12" x14ac:dyDescent="0.3">
      <c r="A1" s="1" t="s">
        <v>0</v>
      </c>
      <c r="B1" s="1" t="s">
        <v>1</v>
      </c>
      <c r="C1" s="1" t="s">
        <v>2</v>
      </c>
      <c r="D1" s="1" t="s">
        <v>3</v>
      </c>
      <c r="E1" s="1" t="s">
        <v>4</v>
      </c>
      <c r="F1" s="1" t="s">
        <v>5</v>
      </c>
      <c r="G1" s="1" t="s">
        <v>6</v>
      </c>
      <c r="H1" s="1" t="s">
        <v>7</v>
      </c>
      <c r="I1" s="1" t="s">
        <v>8</v>
      </c>
      <c r="J1" s="1" t="s">
        <v>9</v>
      </c>
      <c r="K1" s="2" t="s">
        <v>10</v>
      </c>
      <c r="L1" s="1" t="s">
        <v>11</v>
      </c>
    </row>
    <row r="2" spans="1:12" x14ac:dyDescent="0.3">
      <c r="A2">
        <v>15</v>
      </c>
      <c r="B2">
        <v>23</v>
      </c>
      <c r="C2">
        <v>1</v>
      </c>
      <c r="D2">
        <v>7</v>
      </c>
      <c r="E2">
        <v>0</v>
      </c>
      <c r="F2">
        <v>0</v>
      </c>
      <c r="G2">
        <v>2</v>
      </c>
      <c r="H2" t="s">
        <v>12</v>
      </c>
      <c r="I2" t="s">
        <v>70</v>
      </c>
      <c r="J2">
        <v>460</v>
      </c>
      <c r="K2" s="3">
        <v>8.1</v>
      </c>
      <c r="L2">
        <v>3726</v>
      </c>
    </row>
    <row r="3" spans="1:12" x14ac:dyDescent="0.3">
      <c r="A3">
        <v>13</v>
      </c>
      <c r="B3">
        <v>23</v>
      </c>
      <c r="C3">
        <v>2</v>
      </c>
      <c r="D3">
        <v>12</v>
      </c>
      <c r="E3">
        <v>1</v>
      </c>
      <c r="F3">
        <v>0</v>
      </c>
      <c r="G3">
        <v>8</v>
      </c>
      <c r="H3" t="s">
        <v>13</v>
      </c>
      <c r="I3" t="s">
        <v>71</v>
      </c>
      <c r="J3">
        <v>525</v>
      </c>
      <c r="K3" s="3">
        <v>8.3000000000000007</v>
      </c>
      <c r="L3">
        <v>4357.5</v>
      </c>
    </row>
    <row r="4" spans="1:12" x14ac:dyDescent="0.3">
      <c r="A4">
        <v>22</v>
      </c>
      <c r="B4">
        <v>22</v>
      </c>
      <c r="C4">
        <v>2</v>
      </c>
      <c r="D4">
        <v>9</v>
      </c>
      <c r="E4">
        <v>1</v>
      </c>
      <c r="F4">
        <v>0</v>
      </c>
      <c r="G4">
        <v>11</v>
      </c>
      <c r="H4" t="s">
        <v>14</v>
      </c>
      <c r="I4" t="s">
        <v>368</v>
      </c>
      <c r="J4">
        <v>500</v>
      </c>
      <c r="K4" s="3">
        <v>8.9</v>
      </c>
      <c r="L4">
        <v>4450</v>
      </c>
    </row>
    <row r="5" spans="1:12" x14ac:dyDescent="0.3">
      <c r="A5">
        <v>5</v>
      </c>
      <c r="B5">
        <v>18</v>
      </c>
      <c r="C5">
        <v>0</v>
      </c>
      <c r="D5">
        <v>0</v>
      </c>
      <c r="E5">
        <v>1</v>
      </c>
      <c r="F5">
        <v>0</v>
      </c>
      <c r="G5">
        <v>1</v>
      </c>
      <c r="H5" t="s">
        <v>15</v>
      </c>
      <c r="I5" t="s">
        <v>72</v>
      </c>
      <c r="J5">
        <v>411</v>
      </c>
      <c r="K5" s="3">
        <v>8.3000000000000007</v>
      </c>
      <c r="L5">
        <v>3411.3</v>
      </c>
    </row>
    <row r="6" spans="1:12" x14ac:dyDescent="0.3">
      <c r="A6">
        <v>19</v>
      </c>
      <c r="B6">
        <v>23</v>
      </c>
      <c r="C6">
        <v>2</v>
      </c>
      <c r="D6">
        <v>4</v>
      </c>
      <c r="E6">
        <v>1</v>
      </c>
      <c r="F6">
        <v>0</v>
      </c>
      <c r="G6">
        <v>2</v>
      </c>
      <c r="H6" t="s">
        <v>16</v>
      </c>
      <c r="I6" t="s">
        <v>73</v>
      </c>
      <c r="J6">
        <v>564</v>
      </c>
      <c r="K6" s="3">
        <v>8.9</v>
      </c>
      <c r="L6">
        <v>5019.6000000000004</v>
      </c>
    </row>
    <row r="7" spans="1:12" x14ac:dyDescent="0.3">
      <c r="A7">
        <v>0</v>
      </c>
      <c r="B7">
        <v>22</v>
      </c>
      <c r="C7">
        <v>1</v>
      </c>
      <c r="D7">
        <v>14</v>
      </c>
      <c r="E7">
        <v>0</v>
      </c>
      <c r="F7">
        <v>0</v>
      </c>
      <c r="G7">
        <v>11</v>
      </c>
      <c r="H7" t="s">
        <v>17</v>
      </c>
      <c r="I7" t="s">
        <v>70</v>
      </c>
      <c r="J7">
        <v>352</v>
      </c>
      <c r="K7" s="3">
        <v>8.6999999999999993</v>
      </c>
      <c r="L7">
        <v>3062.3999999999901</v>
      </c>
    </row>
    <row r="8" spans="1:12" x14ac:dyDescent="0.3">
      <c r="A8">
        <v>11</v>
      </c>
      <c r="B8">
        <v>22</v>
      </c>
      <c r="C8">
        <v>3</v>
      </c>
      <c r="D8">
        <v>17</v>
      </c>
      <c r="E8">
        <v>1</v>
      </c>
      <c r="F8">
        <v>0</v>
      </c>
      <c r="G8">
        <v>3</v>
      </c>
      <c r="H8" t="s">
        <v>15</v>
      </c>
      <c r="I8" t="s">
        <v>74</v>
      </c>
      <c r="J8">
        <v>711</v>
      </c>
      <c r="K8" s="3">
        <v>8.3000000000000007</v>
      </c>
      <c r="L8">
        <v>5901.3</v>
      </c>
    </row>
    <row r="9" spans="1:12" x14ac:dyDescent="0.3">
      <c r="A9">
        <v>7</v>
      </c>
      <c r="B9">
        <v>21</v>
      </c>
      <c r="C9">
        <v>3</v>
      </c>
      <c r="D9">
        <v>19</v>
      </c>
      <c r="E9">
        <v>7</v>
      </c>
      <c r="F9">
        <v>0</v>
      </c>
      <c r="G9">
        <v>1</v>
      </c>
      <c r="H9" t="s">
        <v>18</v>
      </c>
      <c r="I9" t="s">
        <v>75</v>
      </c>
      <c r="J9">
        <v>658</v>
      </c>
      <c r="K9" s="3">
        <v>7.7</v>
      </c>
      <c r="L9">
        <v>5066.6000000000004</v>
      </c>
    </row>
    <row r="10" spans="1:12" x14ac:dyDescent="0.3">
      <c r="A10">
        <v>6</v>
      </c>
      <c r="B10">
        <v>20</v>
      </c>
      <c r="C10">
        <v>1</v>
      </c>
      <c r="D10">
        <v>6</v>
      </c>
      <c r="E10">
        <v>1</v>
      </c>
      <c r="F10">
        <v>0</v>
      </c>
      <c r="G10">
        <v>5</v>
      </c>
      <c r="H10" t="s">
        <v>19</v>
      </c>
      <c r="I10" t="s">
        <v>76</v>
      </c>
      <c r="J10">
        <v>256</v>
      </c>
      <c r="K10" s="3">
        <v>8.9</v>
      </c>
      <c r="L10">
        <v>2278.4</v>
      </c>
    </row>
    <row r="11" spans="1:12" x14ac:dyDescent="0.3">
      <c r="A11">
        <v>22</v>
      </c>
      <c r="B11">
        <v>23</v>
      </c>
      <c r="C11">
        <v>0</v>
      </c>
      <c r="D11">
        <v>20</v>
      </c>
      <c r="E11">
        <v>1</v>
      </c>
      <c r="F11">
        <v>0</v>
      </c>
      <c r="G11">
        <v>11</v>
      </c>
      <c r="H11" t="s">
        <v>20</v>
      </c>
      <c r="I11" t="s">
        <v>77</v>
      </c>
      <c r="J11">
        <v>677</v>
      </c>
      <c r="K11" s="3">
        <v>9.1</v>
      </c>
      <c r="L11">
        <v>6160.7</v>
      </c>
    </row>
    <row r="12" spans="1:12" x14ac:dyDescent="0.3">
      <c r="A12">
        <v>11</v>
      </c>
      <c r="B12">
        <v>22</v>
      </c>
      <c r="C12">
        <v>3</v>
      </c>
      <c r="D12">
        <v>9</v>
      </c>
      <c r="E12">
        <v>12</v>
      </c>
      <c r="F12">
        <v>0</v>
      </c>
      <c r="G12">
        <v>9</v>
      </c>
      <c r="H12" t="s">
        <v>15</v>
      </c>
      <c r="I12" t="s">
        <v>78</v>
      </c>
      <c r="J12">
        <v>676</v>
      </c>
      <c r="K12" s="3">
        <v>0</v>
      </c>
      <c r="L12">
        <v>5610.8</v>
      </c>
    </row>
    <row r="13" spans="1:12" x14ac:dyDescent="0.3">
      <c r="A13">
        <v>18</v>
      </c>
      <c r="B13">
        <v>22</v>
      </c>
      <c r="C13">
        <v>2</v>
      </c>
      <c r="D13">
        <v>0</v>
      </c>
      <c r="E13">
        <v>12</v>
      </c>
      <c r="F13">
        <v>0</v>
      </c>
      <c r="G13">
        <v>2</v>
      </c>
      <c r="H13" t="s">
        <v>21</v>
      </c>
      <c r="I13" t="s">
        <v>79</v>
      </c>
      <c r="J13">
        <v>535</v>
      </c>
      <c r="K13" s="3">
        <v>8.6999999999999993</v>
      </c>
      <c r="L13">
        <v>4654.5</v>
      </c>
    </row>
    <row r="14" spans="1:12" x14ac:dyDescent="0.3">
      <c r="A14">
        <v>21</v>
      </c>
      <c r="B14">
        <v>23</v>
      </c>
      <c r="C14">
        <v>1</v>
      </c>
      <c r="D14">
        <v>8</v>
      </c>
      <c r="E14">
        <v>1</v>
      </c>
      <c r="F14">
        <v>0</v>
      </c>
      <c r="G14">
        <v>1</v>
      </c>
      <c r="H14" t="s">
        <v>22</v>
      </c>
      <c r="I14" t="s">
        <v>80</v>
      </c>
      <c r="J14">
        <v>407</v>
      </c>
      <c r="K14" s="3">
        <v>0</v>
      </c>
      <c r="L14">
        <v>3174.6</v>
      </c>
    </row>
    <row r="15" spans="1:12" x14ac:dyDescent="0.3">
      <c r="A15">
        <v>16</v>
      </c>
      <c r="B15">
        <v>23</v>
      </c>
      <c r="C15">
        <v>2</v>
      </c>
      <c r="D15">
        <v>13</v>
      </c>
      <c r="E15">
        <v>1</v>
      </c>
      <c r="F15">
        <v>0</v>
      </c>
      <c r="G15">
        <v>1</v>
      </c>
      <c r="H15" t="s">
        <v>23</v>
      </c>
      <c r="I15" t="s">
        <v>368</v>
      </c>
      <c r="J15">
        <v>508</v>
      </c>
      <c r="K15" s="3">
        <v>8.4</v>
      </c>
      <c r="L15">
        <v>4267.2</v>
      </c>
    </row>
    <row r="16" spans="1:12" x14ac:dyDescent="0.3">
      <c r="A16">
        <v>9</v>
      </c>
      <c r="B16">
        <v>22</v>
      </c>
      <c r="C16">
        <v>0</v>
      </c>
      <c r="D16">
        <v>5</v>
      </c>
      <c r="E16">
        <v>7</v>
      </c>
      <c r="F16">
        <v>0</v>
      </c>
      <c r="G16">
        <v>6</v>
      </c>
      <c r="H16" t="s">
        <v>24</v>
      </c>
      <c r="I16" t="s">
        <v>81</v>
      </c>
      <c r="J16">
        <v>365</v>
      </c>
      <c r="K16" s="3">
        <v>7.9</v>
      </c>
      <c r="L16">
        <v>2883.5</v>
      </c>
    </row>
    <row r="17" spans="1:12" x14ac:dyDescent="0.3">
      <c r="A17">
        <v>9</v>
      </c>
      <c r="B17">
        <v>20</v>
      </c>
      <c r="C17">
        <v>0</v>
      </c>
      <c r="D17">
        <v>17</v>
      </c>
      <c r="E17">
        <v>7</v>
      </c>
      <c r="F17">
        <v>0</v>
      </c>
      <c r="G17">
        <v>12</v>
      </c>
      <c r="H17" t="s">
        <v>25</v>
      </c>
      <c r="I17" t="s">
        <v>79</v>
      </c>
      <c r="J17">
        <v>556</v>
      </c>
      <c r="K17" s="3">
        <v>8.1</v>
      </c>
      <c r="L17">
        <v>4503.5999999999904</v>
      </c>
    </row>
    <row r="18" spans="1:12" x14ac:dyDescent="0.3">
      <c r="A18">
        <v>21</v>
      </c>
      <c r="B18">
        <v>22</v>
      </c>
      <c r="C18">
        <v>1</v>
      </c>
      <c r="D18">
        <v>22</v>
      </c>
      <c r="E18">
        <v>12</v>
      </c>
      <c r="F18">
        <v>0</v>
      </c>
      <c r="G18">
        <v>7</v>
      </c>
      <c r="H18" t="s">
        <v>26</v>
      </c>
      <c r="I18" t="s">
        <v>82</v>
      </c>
      <c r="J18">
        <v>661</v>
      </c>
      <c r="K18" s="3">
        <v>8.5</v>
      </c>
      <c r="L18">
        <v>5618.5</v>
      </c>
    </row>
    <row r="19" spans="1:12" x14ac:dyDescent="0.3">
      <c r="A19">
        <v>7</v>
      </c>
      <c r="B19">
        <v>20</v>
      </c>
      <c r="C19">
        <v>0</v>
      </c>
      <c r="D19">
        <v>22</v>
      </c>
      <c r="E19">
        <v>1</v>
      </c>
      <c r="F19">
        <v>0</v>
      </c>
      <c r="G19">
        <v>1</v>
      </c>
      <c r="H19" t="s">
        <v>18</v>
      </c>
      <c r="I19" t="s">
        <v>83</v>
      </c>
      <c r="J19">
        <v>352</v>
      </c>
      <c r="K19" s="3">
        <v>7.7</v>
      </c>
      <c r="L19">
        <v>2710.4</v>
      </c>
    </row>
    <row r="20" spans="1:12" x14ac:dyDescent="0.3">
      <c r="A20">
        <v>8</v>
      </c>
      <c r="B20">
        <v>22</v>
      </c>
      <c r="C20">
        <v>0</v>
      </c>
      <c r="D20">
        <v>11</v>
      </c>
      <c r="E20">
        <v>1</v>
      </c>
      <c r="F20">
        <v>0</v>
      </c>
      <c r="G20">
        <v>6</v>
      </c>
      <c r="H20" t="s">
        <v>23</v>
      </c>
      <c r="I20" t="s">
        <v>84</v>
      </c>
      <c r="J20">
        <v>509</v>
      </c>
      <c r="K20" s="3">
        <v>8.4</v>
      </c>
      <c r="L20">
        <v>4275.6000000000004</v>
      </c>
    </row>
    <row r="21" spans="1:12" x14ac:dyDescent="0.3">
      <c r="A21">
        <v>21</v>
      </c>
      <c r="B21">
        <v>23</v>
      </c>
      <c r="C21">
        <v>0</v>
      </c>
      <c r="D21">
        <v>12</v>
      </c>
      <c r="E21">
        <v>1</v>
      </c>
      <c r="F21">
        <v>0</v>
      </c>
      <c r="G21">
        <v>2</v>
      </c>
      <c r="H21" t="s">
        <v>27</v>
      </c>
      <c r="I21" t="s">
        <v>72</v>
      </c>
      <c r="J21">
        <v>478</v>
      </c>
      <c r="K21" s="3">
        <v>8.4</v>
      </c>
      <c r="L21">
        <v>4015.2</v>
      </c>
    </row>
    <row r="22" spans="1:12" x14ac:dyDescent="0.3">
      <c r="A22">
        <v>8</v>
      </c>
      <c r="B22">
        <v>23</v>
      </c>
      <c r="C22">
        <v>0</v>
      </c>
      <c r="D22">
        <v>4</v>
      </c>
      <c r="E22">
        <v>1</v>
      </c>
      <c r="F22">
        <v>0</v>
      </c>
      <c r="G22">
        <v>8</v>
      </c>
      <c r="H22" t="s">
        <v>18</v>
      </c>
      <c r="I22" t="s">
        <v>78</v>
      </c>
      <c r="J22">
        <v>399</v>
      </c>
      <c r="K22" s="3">
        <v>7.7</v>
      </c>
      <c r="L22">
        <v>3072.3</v>
      </c>
    </row>
    <row r="23" spans="1:12" x14ac:dyDescent="0.3">
      <c r="A23">
        <v>11</v>
      </c>
      <c r="B23">
        <v>22</v>
      </c>
      <c r="C23">
        <v>3</v>
      </c>
      <c r="D23">
        <v>8</v>
      </c>
      <c r="E23">
        <v>1</v>
      </c>
      <c r="F23">
        <v>0</v>
      </c>
      <c r="G23">
        <v>1</v>
      </c>
      <c r="H23" t="s">
        <v>22</v>
      </c>
      <c r="I23" t="s">
        <v>85</v>
      </c>
      <c r="J23">
        <v>479</v>
      </c>
      <c r="K23" s="3">
        <v>7.8</v>
      </c>
      <c r="L23">
        <v>3736.2</v>
      </c>
    </row>
    <row r="24" spans="1:12" x14ac:dyDescent="0.3">
      <c r="A24">
        <v>10</v>
      </c>
      <c r="B24">
        <v>19</v>
      </c>
      <c r="C24">
        <v>2</v>
      </c>
      <c r="D24">
        <v>5</v>
      </c>
      <c r="E24">
        <v>1</v>
      </c>
      <c r="F24">
        <v>0</v>
      </c>
      <c r="G24">
        <v>1</v>
      </c>
      <c r="H24" t="s">
        <v>24</v>
      </c>
      <c r="I24" t="s">
        <v>84</v>
      </c>
      <c r="J24">
        <v>366</v>
      </c>
      <c r="K24" s="3">
        <v>7.9</v>
      </c>
      <c r="L24">
        <v>2891.4</v>
      </c>
    </row>
    <row r="25" spans="1:12" x14ac:dyDescent="0.3">
      <c r="A25">
        <v>7</v>
      </c>
      <c r="B25">
        <v>22</v>
      </c>
      <c r="C25">
        <v>3</v>
      </c>
      <c r="D25">
        <v>20</v>
      </c>
      <c r="E25">
        <v>1</v>
      </c>
      <c r="F25">
        <v>0</v>
      </c>
      <c r="G25">
        <v>8</v>
      </c>
      <c r="H25" t="s">
        <v>28</v>
      </c>
      <c r="I25" t="s">
        <v>82</v>
      </c>
      <c r="J25">
        <v>683</v>
      </c>
      <c r="K25" s="3">
        <v>7.7</v>
      </c>
      <c r="L25">
        <v>5259.1</v>
      </c>
    </row>
    <row r="26" spans="1:12" x14ac:dyDescent="0.3">
      <c r="A26">
        <v>15</v>
      </c>
      <c r="B26">
        <v>22</v>
      </c>
      <c r="C26">
        <v>3</v>
      </c>
      <c r="D26">
        <v>16</v>
      </c>
      <c r="E26">
        <v>12</v>
      </c>
      <c r="F26">
        <v>0</v>
      </c>
      <c r="G26">
        <v>9</v>
      </c>
      <c r="H26" t="s">
        <v>23</v>
      </c>
      <c r="I26" t="s">
        <v>86</v>
      </c>
      <c r="J26">
        <v>633</v>
      </c>
      <c r="K26" s="3">
        <v>8.4</v>
      </c>
      <c r="L26">
        <v>0</v>
      </c>
    </row>
    <row r="27" spans="1:12" x14ac:dyDescent="0.3">
      <c r="A27">
        <v>14</v>
      </c>
      <c r="B27">
        <v>22</v>
      </c>
      <c r="C27">
        <v>2</v>
      </c>
      <c r="D27">
        <v>21</v>
      </c>
      <c r="E27">
        <v>12</v>
      </c>
      <c r="F27">
        <v>0</v>
      </c>
      <c r="G27">
        <v>2</v>
      </c>
      <c r="H27" t="s">
        <v>29</v>
      </c>
      <c r="I27" t="s">
        <v>368</v>
      </c>
      <c r="J27">
        <v>668</v>
      </c>
      <c r="K27" s="3">
        <v>8.6999999999999993</v>
      </c>
      <c r="L27">
        <v>5811.5999999999904</v>
      </c>
    </row>
    <row r="28" spans="1:12" x14ac:dyDescent="0.3">
      <c r="A28">
        <v>13</v>
      </c>
      <c r="B28">
        <v>0</v>
      </c>
      <c r="C28">
        <v>3</v>
      </c>
      <c r="D28">
        <v>20</v>
      </c>
      <c r="E28">
        <v>1</v>
      </c>
      <c r="F28">
        <v>0</v>
      </c>
      <c r="G28">
        <v>8</v>
      </c>
      <c r="H28" t="s">
        <v>18</v>
      </c>
      <c r="I28" t="s">
        <v>87</v>
      </c>
      <c r="J28">
        <v>638</v>
      </c>
      <c r="K28" s="3">
        <v>7.7</v>
      </c>
      <c r="L28">
        <v>4912.6000000000004</v>
      </c>
    </row>
    <row r="29" spans="1:12" x14ac:dyDescent="0.3">
      <c r="A29">
        <v>5</v>
      </c>
      <c r="B29">
        <v>0</v>
      </c>
      <c r="C29">
        <v>3</v>
      </c>
      <c r="D29">
        <v>6</v>
      </c>
      <c r="E29">
        <v>1</v>
      </c>
      <c r="F29">
        <v>0</v>
      </c>
      <c r="G29">
        <v>1</v>
      </c>
      <c r="H29" t="s">
        <v>22</v>
      </c>
      <c r="I29" t="s">
        <v>87</v>
      </c>
      <c r="J29">
        <v>0</v>
      </c>
      <c r="K29" s="3">
        <v>7.8</v>
      </c>
      <c r="L29">
        <v>3985.7999999999902</v>
      </c>
    </row>
    <row r="30" spans="1:12" x14ac:dyDescent="0.3">
      <c r="A30">
        <v>6</v>
      </c>
      <c r="B30">
        <v>22</v>
      </c>
      <c r="C30">
        <v>0</v>
      </c>
      <c r="D30">
        <v>5</v>
      </c>
      <c r="E30">
        <v>1</v>
      </c>
      <c r="F30">
        <v>0</v>
      </c>
      <c r="G30">
        <v>0</v>
      </c>
      <c r="H30" t="s">
        <v>30</v>
      </c>
      <c r="I30" t="s">
        <v>88</v>
      </c>
      <c r="J30">
        <v>228</v>
      </c>
      <c r="K30" s="3">
        <v>9.1999999999999993</v>
      </c>
      <c r="L30">
        <v>2097.6</v>
      </c>
    </row>
    <row r="31" spans="1:12" x14ac:dyDescent="0.3">
      <c r="A31">
        <v>6</v>
      </c>
      <c r="B31">
        <v>22</v>
      </c>
      <c r="C31">
        <v>2</v>
      </c>
      <c r="D31">
        <v>9</v>
      </c>
      <c r="E31">
        <v>1</v>
      </c>
      <c r="F31">
        <v>0</v>
      </c>
      <c r="G31">
        <v>6</v>
      </c>
      <c r="H31" t="s">
        <v>16</v>
      </c>
      <c r="I31" t="s">
        <v>87</v>
      </c>
      <c r="J31">
        <v>569</v>
      </c>
      <c r="K31" s="3">
        <v>8.9</v>
      </c>
      <c r="L31">
        <v>5064.1000000000004</v>
      </c>
    </row>
    <row r="32" spans="1:12" x14ac:dyDescent="0.3">
      <c r="A32">
        <v>8</v>
      </c>
      <c r="B32">
        <v>18</v>
      </c>
      <c r="C32">
        <v>2</v>
      </c>
      <c r="D32">
        <v>12</v>
      </c>
      <c r="E32">
        <v>1</v>
      </c>
      <c r="F32">
        <v>0</v>
      </c>
      <c r="G32">
        <v>9</v>
      </c>
      <c r="H32" t="s">
        <v>19</v>
      </c>
      <c r="I32" t="s">
        <v>89</v>
      </c>
      <c r="J32">
        <v>469</v>
      </c>
      <c r="K32" s="3">
        <v>8.9</v>
      </c>
      <c r="L32">
        <v>4174.1000000000004</v>
      </c>
    </row>
    <row r="33" spans="1:12" x14ac:dyDescent="0.3">
      <c r="A33">
        <v>15</v>
      </c>
      <c r="B33">
        <v>22</v>
      </c>
      <c r="C33">
        <v>0</v>
      </c>
      <c r="D33">
        <v>7</v>
      </c>
      <c r="E33">
        <v>1</v>
      </c>
      <c r="F33">
        <v>0</v>
      </c>
      <c r="G33">
        <v>9</v>
      </c>
      <c r="H33" t="s">
        <v>31</v>
      </c>
      <c r="I33" t="s">
        <v>78</v>
      </c>
      <c r="J33">
        <v>453</v>
      </c>
      <c r="K33" s="3">
        <v>7.9</v>
      </c>
      <c r="L33">
        <v>0</v>
      </c>
    </row>
    <row r="34" spans="1:12" x14ac:dyDescent="0.3">
      <c r="A34">
        <v>17</v>
      </c>
      <c r="B34">
        <v>23</v>
      </c>
      <c r="C34">
        <v>0</v>
      </c>
      <c r="D34">
        <v>8</v>
      </c>
      <c r="E34">
        <v>1</v>
      </c>
      <c r="F34">
        <v>0</v>
      </c>
      <c r="G34">
        <v>3</v>
      </c>
      <c r="H34" t="s">
        <v>32</v>
      </c>
      <c r="I34" t="s">
        <v>90</v>
      </c>
      <c r="J34">
        <v>531</v>
      </c>
      <c r="K34" s="3">
        <v>7.6</v>
      </c>
      <c r="L34">
        <v>4035.6</v>
      </c>
    </row>
    <row r="35" spans="1:12" x14ac:dyDescent="0.3">
      <c r="A35">
        <v>19</v>
      </c>
      <c r="B35">
        <v>23</v>
      </c>
      <c r="C35">
        <v>1</v>
      </c>
      <c r="D35">
        <v>13</v>
      </c>
      <c r="E35">
        <v>1</v>
      </c>
      <c r="F35">
        <v>0</v>
      </c>
      <c r="G35">
        <v>8</v>
      </c>
      <c r="H35" t="s">
        <v>15</v>
      </c>
      <c r="I35" t="s">
        <v>88</v>
      </c>
      <c r="J35">
        <v>527</v>
      </c>
      <c r="K35" s="3">
        <v>8.3000000000000007</v>
      </c>
      <c r="L35">
        <v>4374.1000000000004</v>
      </c>
    </row>
    <row r="36" spans="1:12" x14ac:dyDescent="0.3">
      <c r="A36">
        <v>23</v>
      </c>
      <c r="B36">
        <v>22</v>
      </c>
      <c r="C36">
        <v>0</v>
      </c>
      <c r="D36">
        <v>9</v>
      </c>
      <c r="E36">
        <v>12</v>
      </c>
      <c r="F36">
        <v>0</v>
      </c>
      <c r="G36">
        <v>12</v>
      </c>
      <c r="H36" t="s">
        <v>33</v>
      </c>
      <c r="I36" t="s">
        <v>83</v>
      </c>
      <c r="J36">
        <v>0</v>
      </c>
      <c r="K36" s="3">
        <v>9.3000000000000007</v>
      </c>
      <c r="L36">
        <v>5291.7</v>
      </c>
    </row>
    <row r="37" spans="1:12" x14ac:dyDescent="0.3">
      <c r="A37">
        <v>23</v>
      </c>
      <c r="B37">
        <v>23</v>
      </c>
      <c r="C37">
        <v>1</v>
      </c>
      <c r="D37">
        <v>10</v>
      </c>
      <c r="E37">
        <v>12</v>
      </c>
      <c r="F37">
        <v>0</v>
      </c>
      <c r="G37">
        <v>9</v>
      </c>
      <c r="H37" t="s">
        <v>34</v>
      </c>
      <c r="I37" t="s">
        <v>91</v>
      </c>
      <c r="J37">
        <v>500</v>
      </c>
      <c r="K37" s="3">
        <v>7.6</v>
      </c>
      <c r="L37">
        <v>3800</v>
      </c>
    </row>
    <row r="38" spans="1:12" x14ac:dyDescent="0.3">
      <c r="A38">
        <v>12</v>
      </c>
      <c r="B38">
        <v>22</v>
      </c>
      <c r="C38">
        <v>3</v>
      </c>
      <c r="D38">
        <v>22</v>
      </c>
      <c r="E38">
        <v>1</v>
      </c>
      <c r="F38">
        <v>0</v>
      </c>
      <c r="G38">
        <v>5</v>
      </c>
      <c r="H38" t="s">
        <v>35</v>
      </c>
      <c r="I38" t="s">
        <v>92</v>
      </c>
      <c r="J38">
        <v>522</v>
      </c>
      <c r="K38" s="3">
        <v>8.1999999999999993</v>
      </c>
      <c r="L38">
        <v>4280.3999999999996</v>
      </c>
    </row>
    <row r="39" spans="1:12" x14ac:dyDescent="0.3">
      <c r="A39">
        <v>16</v>
      </c>
      <c r="B39">
        <v>23</v>
      </c>
      <c r="C39">
        <v>0</v>
      </c>
      <c r="D39">
        <v>8</v>
      </c>
      <c r="E39">
        <v>1</v>
      </c>
      <c r="F39">
        <v>0</v>
      </c>
      <c r="G39">
        <v>12</v>
      </c>
      <c r="H39" t="s">
        <v>22</v>
      </c>
      <c r="I39" t="s">
        <v>89</v>
      </c>
      <c r="J39">
        <v>503</v>
      </c>
      <c r="K39" s="3">
        <v>7.8</v>
      </c>
      <c r="L39">
        <v>3923.4</v>
      </c>
    </row>
    <row r="40" spans="1:12" x14ac:dyDescent="0.3">
      <c r="A40">
        <v>5</v>
      </c>
      <c r="B40">
        <v>20</v>
      </c>
      <c r="C40">
        <v>0</v>
      </c>
      <c r="D40">
        <v>14</v>
      </c>
      <c r="E40">
        <v>1</v>
      </c>
      <c r="F40">
        <v>0</v>
      </c>
      <c r="G40">
        <v>7</v>
      </c>
      <c r="H40" t="s">
        <v>35</v>
      </c>
      <c r="I40" t="s">
        <v>93</v>
      </c>
      <c r="J40">
        <v>492</v>
      </c>
      <c r="K40" s="3">
        <v>8.1999999999999993</v>
      </c>
      <c r="L40">
        <v>0</v>
      </c>
    </row>
    <row r="41" spans="1:12" x14ac:dyDescent="0.3">
      <c r="A41">
        <v>7</v>
      </c>
      <c r="B41">
        <v>23</v>
      </c>
      <c r="C41">
        <v>2</v>
      </c>
      <c r="D41">
        <v>21</v>
      </c>
      <c r="E41">
        <v>7</v>
      </c>
      <c r="F41">
        <v>0</v>
      </c>
      <c r="G41">
        <v>8</v>
      </c>
      <c r="H41" t="s">
        <v>21</v>
      </c>
      <c r="I41" t="s">
        <v>94</v>
      </c>
      <c r="J41">
        <v>681</v>
      </c>
      <c r="K41" s="3">
        <v>0</v>
      </c>
      <c r="L41">
        <v>5924.7</v>
      </c>
    </row>
    <row r="42" spans="1:12" x14ac:dyDescent="0.3">
      <c r="A42">
        <v>14</v>
      </c>
      <c r="B42">
        <v>22</v>
      </c>
      <c r="C42">
        <v>3</v>
      </c>
      <c r="D42">
        <v>3</v>
      </c>
      <c r="E42">
        <v>1</v>
      </c>
      <c r="F42">
        <v>0</v>
      </c>
      <c r="G42">
        <v>9</v>
      </c>
      <c r="H42" t="s">
        <v>35</v>
      </c>
      <c r="I42" t="s">
        <v>95</v>
      </c>
      <c r="J42">
        <v>434</v>
      </c>
      <c r="K42" s="3">
        <v>8.1999999999999993</v>
      </c>
      <c r="L42">
        <v>3558.7999999999902</v>
      </c>
    </row>
    <row r="43" spans="1:12" x14ac:dyDescent="0.3">
      <c r="A43">
        <v>7</v>
      </c>
      <c r="B43">
        <v>18</v>
      </c>
      <c r="C43">
        <v>3</v>
      </c>
      <c r="D43">
        <v>4</v>
      </c>
      <c r="E43">
        <v>1</v>
      </c>
      <c r="F43">
        <v>0</v>
      </c>
      <c r="G43">
        <v>8</v>
      </c>
      <c r="H43" t="s">
        <v>23</v>
      </c>
      <c r="I43" t="s">
        <v>88</v>
      </c>
      <c r="J43">
        <v>417</v>
      </c>
      <c r="K43" s="3">
        <v>8.4</v>
      </c>
      <c r="L43">
        <v>3502.8</v>
      </c>
    </row>
    <row r="44" spans="1:12" x14ac:dyDescent="0.3">
      <c r="A44">
        <v>21</v>
      </c>
      <c r="B44">
        <v>22</v>
      </c>
      <c r="C44">
        <v>2</v>
      </c>
      <c r="D44">
        <v>15</v>
      </c>
      <c r="E44">
        <v>1</v>
      </c>
      <c r="F44">
        <v>0</v>
      </c>
      <c r="G44">
        <v>6</v>
      </c>
      <c r="H44" t="s">
        <v>22</v>
      </c>
      <c r="I44" t="s">
        <v>72</v>
      </c>
      <c r="J44">
        <v>436</v>
      </c>
      <c r="K44" s="3">
        <v>7.8</v>
      </c>
      <c r="L44">
        <v>3400.7999999999902</v>
      </c>
    </row>
    <row r="45" spans="1:12" x14ac:dyDescent="0.3">
      <c r="A45">
        <v>20</v>
      </c>
      <c r="B45">
        <v>23</v>
      </c>
      <c r="C45">
        <v>3</v>
      </c>
      <c r="D45">
        <v>4</v>
      </c>
      <c r="E45">
        <v>12</v>
      </c>
      <c r="F45">
        <v>0</v>
      </c>
      <c r="G45">
        <v>9</v>
      </c>
      <c r="H45" t="s">
        <v>24</v>
      </c>
      <c r="I45" t="s">
        <v>71</v>
      </c>
      <c r="J45">
        <v>585</v>
      </c>
      <c r="K45" s="3">
        <v>7.9</v>
      </c>
      <c r="L45">
        <v>4621.5</v>
      </c>
    </row>
    <row r="46" spans="1:12" x14ac:dyDescent="0.3">
      <c r="A46">
        <v>19</v>
      </c>
      <c r="B46">
        <v>22</v>
      </c>
      <c r="C46">
        <v>3</v>
      </c>
      <c r="D46">
        <v>7</v>
      </c>
      <c r="E46">
        <v>12</v>
      </c>
      <c r="F46">
        <v>0</v>
      </c>
      <c r="G46">
        <v>4</v>
      </c>
      <c r="H46" t="s">
        <v>36</v>
      </c>
      <c r="I46" t="s">
        <v>96</v>
      </c>
      <c r="J46">
        <v>715</v>
      </c>
      <c r="K46" s="3">
        <v>0</v>
      </c>
      <c r="L46">
        <v>6292</v>
      </c>
    </row>
    <row r="47" spans="1:12" x14ac:dyDescent="0.3">
      <c r="A47">
        <v>15</v>
      </c>
      <c r="B47">
        <v>22</v>
      </c>
      <c r="C47">
        <v>0</v>
      </c>
      <c r="D47">
        <v>5</v>
      </c>
      <c r="E47">
        <v>1</v>
      </c>
      <c r="F47">
        <v>0</v>
      </c>
      <c r="G47">
        <v>11</v>
      </c>
      <c r="H47" t="s">
        <v>37</v>
      </c>
      <c r="I47" t="s">
        <v>74</v>
      </c>
      <c r="J47">
        <v>303</v>
      </c>
      <c r="K47" s="3">
        <v>8.3000000000000007</v>
      </c>
      <c r="L47">
        <v>2514.9</v>
      </c>
    </row>
    <row r="48" spans="1:12" x14ac:dyDescent="0.3">
      <c r="A48">
        <v>14</v>
      </c>
      <c r="B48">
        <v>23</v>
      </c>
      <c r="C48">
        <v>2</v>
      </c>
      <c r="D48">
        <v>7</v>
      </c>
      <c r="E48">
        <v>1</v>
      </c>
      <c r="F48">
        <v>0</v>
      </c>
      <c r="G48">
        <v>12</v>
      </c>
      <c r="H48" t="s">
        <v>38</v>
      </c>
      <c r="I48" t="s">
        <v>97</v>
      </c>
      <c r="J48">
        <v>584</v>
      </c>
      <c r="K48" s="3">
        <v>7.4</v>
      </c>
      <c r="L48">
        <v>4321.6000000000004</v>
      </c>
    </row>
    <row r="49" spans="1:12" x14ac:dyDescent="0.3">
      <c r="A49">
        <v>18</v>
      </c>
      <c r="B49">
        <v>23</v>
      </c>
      <c r="C49">
        <v>2</v>
      </c>
      <c r="D49">
        <v>7</v>
      </c>
      <c r="E49">
        <v>1</v>
      </c>
      <c r="F49">
        <v>0</v>
      </c>
      <c r="G49">
        <v>11</v>
      </c>
      <c r="H49" t="s">
        <v>13</v>
      </c>
      <c r="I49" t="s">
        <v>77</v>
      </c>
      <c r="J49">
        <v>470</v>
      </c>
      <c r="K49" s="3">
        <v>8.3000000000000007</v>
      </c>
      <c r="L49">
        <v>3901</v>
      </c>
    </row>
    <row r="50" spans="1:12" x14ac:dyDescent="0.3">
      <c r="A50">
        <v>9</v>
      </c>
      <c r="B50">
        <v>18</v>
      </c>
      <c r="C50">
        <v>2</v>
      </c>
      <c r="D50">
        <v>10</v>
      </c>
      <c r="E50">
        <v>7</v>
      </c>
      <c r="F50">
        <v>0</v>
      </c>
      <c r="G50">
        <v>1</v>
      </c>
      <c r="H50" t="s">
        <v>27</v>
      </c>
      <c r="I50" t="s">
        <v>87</v>
      </c>
      <c r="J50">
        <v>444</v>
      </c>
      <c r="K50" s="3">
        <v>8.4</v>
      </c>
      <c r="L50">
        <v>3729.6</v>
      </c>
    </row>
    <row r="51" spans="1:12" x14ac:dyDescent="0.3">
      <c r="A51">
        <v>15</v>
      </c>
      <c r="B51">
        <v>23</v>
      </c>
      <c r="C51">
        <v>2</v>
      </c>
      <c r="D51">
        <v>10</v>
      </c>
      <c r="E51">
        <v>12</v>
      </c>
      <c r="F51">
        <v>0</v>
      </c>
      <c r="G51">
        <v>7</v>
      </c>
      <c r="H51" t="s">
        <v>32</v>
      </c>
      <c r="I51" t="s">
        <v>71</v>
      </c>
      <c r="J51">
        <v>557</v>
      </c>
      <c r="K51" s="3">
        <v>7.6</v>
      </c>
      <c r="L51">
        <v>4233.2</v>
      </c>
    </row>
    <row r="52" spans="1:12" x14ac:dyDescent="0.3">
      <c r="A52">
        <v>15</v>
      </c>
      <c r="B52">
        <v>22</v>
      </c>
      <c r="C52">
        <v>2</v>
      </c>
      <c r="D52">
        <v>16</v>
      </c>
      <c r="E52">
        <v>1</v>
      </c>
      <c r="F52">
        <v>0</v>
      </c>
      <c r="G52">
        <v>4</v>
      </c>
      <c r="H52" t="s">
        <v>39</v>
      </c>
      <c r="I52" t="s">
        <v>85</v>
      </c>
      <c r="J52">
        <v>650</v>
      </c>
      <c r="K52" s="3">
        <v>8.8000000000000007</v>
      </c>
      <c r="L52">
        <v>5720</v>
      </c>
    </row>
    <row r="53" spans="1:12" x14ac:dyDescent="0.3">
      <c r="A53">
        <v>20</v>
      </c>
      <c r="B53">
        <v>23</v>
      </c>
      <c r="C53">
        <v>3</v>
      </c>
      <c r="D53">
        <v>13</v>
      </c>
      <c r="E53">
        <v>12</v>
      </c>
      <c r="F53">
        <v>0</v>
      </c>
      <c r="G53">
        <v>8</v>
      </c>
      <c r="H53" t="s">
        <v>25</v>
      </c>
      <c r="I53" t="s">
        <v>98</v>
      </c>
      <c r="J53">
        <v>734</v>
      </c>
      <c r="K53" s="3">
        <v>8.1</v>
      </c>
      <c r="L53">
        <v>5945.4</v>
      </c>
    </row>
    <row r="54" spans="1:12" x14ac:dyDescent="0.3">
      <c r="A54">
        <v>15</v>
      </c>
      <c r="B54">
        <v>23</v>
      </c>
      <c r="C54">
        <v>0</v>
      </c>
      <c r="D54">
        <v>19</v>
      </c>
      <c r="E54">
        <v>1</v>
      </c>
      <c r="F54">
        <v>0</v>
      </c>
      <c r="G54">
        <v>6</v>
      </c>
      <c r="H54" t="s">
        <v>20</v>
      </c>
      <c r="I54" t="s">
        <v>81</v>
      </c>
      <c r="J54">
        <v>556</v>
      </c>
      <c r="K54" s="3">
        <v>9.1</v>
      </c>
      <c r="L54">
        <v>5059.5999999999904</v>
      </c>
    </row>
    <row r="55" spans="1:12" x14ac:dyDescent="0.3">
      <c r="A55">
        <v>7</v>
      </c>
      <c r="B55">
        <v>21</v>
      </c>
      <c r="C55">
        <v>3</v>
      </c>
      <c r="D55">
        <v>20</v>
      </c>
      <c r="E55">
        <v>1</v>
      </c>
      <c r="F55">
        <v>0</v>
      </c>
      <c r="G55">
        <v>2</v>
      </c>
      <c r="H55" t="s">
        <v>36</v>
      </c>
      <c r="I55" t="s">
        <v>77</v>
      </c>
      <c r="J55">
        <v>520</v>
      </c>
      <c r="K55" s="3">
        <v>8.8000000000000007</v>
      </c>
      <c r="L55">
        <v>4576</v>
      </c>
    </row>
    <row r="56" spans="1:12" x14ac:dyDescent="0.3">
      <c r="A56">
        <v>17</v>
      </c>
      <c r="B56">
        <v>22</v>
      </c>
      <c r="C56">
        <v>3</v>
      </c>
      <c r="D56">
        <v>7</v>
      </c>
      <c r="E56">
        <v>1</v>
      </c>
      <c r="F56">
        <v>0</v>
      </c>
      <c r="G56">
        <v>8</v>
      </c>
      <c r="H56" t="s">
        <v>30</v>
      </c>
      <c r="I56" t="s">
        <v>85</v>
      </c>
      <c r="J56">
        <v>480</v>
      </c>
      <c r="K56" s="3">
        <v>9.1999999999999993</v>
      </c>
      <c r="L56">
        <v>4416</v>
      </c>
    </row>
    <row r="57" spans="1:12" x14ac:dyDescent="0.3">
      <c r="A57">
        <v>10</v>
      </c>
      <c r="B57">
        <v>19</v>
      </c>
      <c r="C57">
        <v>0</v>
      </c>
      <c r="D57">
        <v>11</v>
      </c>
      <c r="E57">
        <v>1</v>
      </c>
      <c r="F57">
        <v>0</v>
      </c>
      <c r="G57">
        <v>1</v>
      </c>
      <c r="H57" t="s">
        <v>38</v>
      </c>
      <c r="I57" t="s">
        <v>99</v>
      </c>
      <c r="J57">
        <v>0</v>
      </c>
      <c r="K57" s="3">
        <v>7.4</v>
      </c>
      <c r="L57">
        <v>2101.6</v>
      </c>
    </row>
    <row r="58" spans="1:12" x14ac:dyDescent="0.3">
      <c r="A58">
        <v>9</v>
      </c>
      <c r="B58">
        <v>19</v>
      </c>
      <c r="C58">
        <v>2</v>
      </c>
      <c r="D58">
        <v>17</v>
      </c>
      <c r="E58">
        <v>1</v>
      </c>
      <c r="F58">
        <v>0</v>
      </c>
      <c r="G58">
        <v>4</v>
      </c>
      <c r="H58" t="s">
        <v>16</v>
      </c>
      <c r="I58" t="s">
        <v>87</v>
      </c>
      <c r="J58">
        <v>380</v>
      </c>
      <c r="K58" s="3">
        <v>0</v>
      </c>
      <c r="L58">
        <v>3382</v>
      </c>
    </row>
    <row r="59" spans="1:12" x14ac:dyDescent="0.3">
      <c r="A59">
        <v>12</v>
      </c>
      <c r="B59">
        <v>22</v>
      </c>
      <c r="C59">
        <v>3</v>
      </c>
      <c r="D59">
        <v>6</v>
      </c>
      <c r="E59">
        <v>12</v>
      </c>
      <c r="F59">
        <v>0</v>
      </c>
      <c r="G59">
        <v>4</v>
      </c>
      <c r="H59" t="s">
        <v>20</v>
      </c>
      <c r="I59" t="s">
        <v>72</v>
      </c>
      <c r="J59">
        <v>513</v>
      </c>
      <c r="K59" s="3">
        <v>9.1</v>
      </c>
      <c r="L59">
        <v>4668.3</v>
      </c>
    </row>
    <row r="60" spans="1:12" x14ac:dyDescent="0.3">
      <c r="A60">
        <v>23</v>
      </c>
      <c r="B60">
        <v>22</v>
      </c>
      <c r="C60">
        <v>0</v>
      </c>
      <c r="D60">
        <v>17</v>
      </c>
      <c r="E60">
        <v>1</v>
      </c>
      <c r="F60">
        <v>0</v>
      </c>
      <c r="G60">
        <v>9</v>
      </c>
      <c r="H60" t="s">
        <v>25</v>
      </c>
      <c r="I60" t="s">
        <v>97</v>
      </c>
      <c r="J60">
        <v>679</v>
      </c>
      <c r="K60" s="3">
        <v>8.1</v>
      </c>
      <c r="L60">
        <v>5499.9</v>
      </c>
    </row>
    <row r="61" spans="1:12" x14ac:dyDescent="0.3">
      <c r="A61">
        <v>8</v>
      </c>
      <c r="B61">
        <v>18</v>
      </c>
      <c r="C61">
        <v>1</v>
      </c>
      <c r="D61">
        <v>7</v>
      </c>
      <c r="E61">
        <v>1</v>
      </c>
      <c r="F61">
        <v>0</v>
      </c>
      <c r="G61">
        <v>12</v>
      </c>
      <c r="H61" t="s">
        <v>26</v>
      </c>
      <c r="I61" t="s">
        <v>92</v>
      </c>
      <c r="J61">
        <v>212</v>
      </c>
      <c r="K61" s="3">
        <v>8.5</v>
      </c>
      <c r="L61">
        <v>1802</v>
      </c>
    </row>
    <row r="62" spans="1:12" x14ac:dyDescent="0.3">
      <c r="A62">
        <v>13</v>
      </c>
      <c r="B62">
        <v>22</v>
      </c>
      <c r="C62">
        <v>3</v>
      </c>
      <c r="D62">
        <v>18</v>
      </c>
      <c r="E62">
        <v>1</v>
      </c>
      <c r="F62">
        <v>0</v>
      </c>
      <c r="G62">
        <v>4</v>
      </c>
      <c r="H62" t="s">
        <v>30</v>
      </c>
      <c r="I62" t="s">
        <v>78</v>
      </c>
      <c r="J62">
        <v>717</v>
      </c>
      <c r="K62" s="3">
        <v>9.1999999999999993</v>
      </c>
      <c r="L62">
        <v>6596.4</v>
      </c>
    </row>
    <row r="63" spans="1:12" x14ac:dyDescent="0.3">
      <c r="A63">
        <v>18</v>
      </c>
      <c r="B63">
        <v>22</v>
      </c>
      <c r="C63">
        <v>0</v>
      </c>
      <c r="D63">
        <v>16</v>
      </c>
      <c r="E63">
        <v>1</v>
      </c>
      <c r="F63">
        <v>0</v>
      </c>
      <c r="G63">
        <v>6</v>
      </c>
      <c r="H63" t="s">
        <v>24</v>
      </c>
      <c r="I63" t="s">
        <v>84</v>
      </c>
      <c r="J63">
        <v>501</v>
      </c>
      <c r="K63" s="3">
        <v>7.9</v>
      </c>
      <c r="L63">
        <v>3957.9</v>
      </c>
    </row>
    <row r="64" spans="1:12" x14ac:dyDescent="0.3">
      <c r="A64">
        <v>11</v>
      </c>
      <c r="B64">
        <v>23</v>
      </c>
      <c r="C64">
        <v>0</v>
      </c>
      <c r="D64">
        <v>21</v>
      </c>
      <c r="E64">
        <v>1</v>
      </c>
      <c r="F64">
        <v>0</v>
      </c>
      <c r="G64">
        <v>3</v>
      </c>
      <c r="H64" t="s">
        <v>369</v>
      </c>
      <c r="I64" t="s">
        <v>73</v>
      </c>
      <c r="J64">
        <v>511</v>
      </c>
      <c r="K64" s="3">
        <v>8.4</v>
      </c>
      <c r="L64">
        <v>4292.3999999999996</v>
      </c>
    </row>
    <row r="65" spans="1:12" x14ac:dyDescent="0.3">
      <c r="A65">
        <v>14</v>
      </c>
      <c r="B65">
        <v>22</v>
      </c>
      <c r="C65">
        <v>2</v>
      </c>
      <c r="D65">
        <v>13</v>
      </c>
      <c r="E65">
        <v>1</v>
      </c>
      <c r="F65">
        <v>0</v>
      </c>
      <c r="G65">
        <v>6</v>
      </c>
      <c r="H65" t="s">
        <v>15</v>
      </c>
      <c r="I65" t="s">
        <v>368</v>
      </c>
      <c r="J65">
        <v>490</v>
      </c>
      <c r="K65" s="3">
        <v>8.3000000000000007</v>
      </c>
      <c r="L65">
        <v>4067</v>
      </c>
    </row>
    <row r="66" spans="1:12" x14ac:dyDescent="0.3">
      <c r="A66">
        <v>13</v>
      </c>
      <c r="B66">
        <v>22</v>
      </c>
      <c r="C66">
        <v>2</v>
      </c>
      <c r="D66">
        <v>15</v>
      </c>
      <c r="E66">
        <v>1</v>
      </c>
      <c r="F66">
        <v>0</v>
      </c>
      <c r="G66">
        <v>3</v>
      </c>
      <c r="H66" t="s">
        <v>23</v>
      </c>
      <c r="I66" t="s">
        <v>96</v>
      </c>
      <c r="J66">
        <v>563</v>
      </c>
      <c r="K66" s="3">
        <v>8.4</v>
      </c>
      <c r="L66">
        <v>0</v>
      </c>
    </row>
    <row r="67" spans="1:12" x14ac:dyDescent="0.3">
      <c r="A67">
        <v>23</v>
      </c>
      <c r="B67">
        <v>23</v>
      </c>
      <c r="C67">
        <v>2</v>
      </c>
      <c r="D67">
        <v>10</v>
      </c>
      <c r="E67">
        <v>1</v>
      </c>
      <c r="F67">
        <v>0</v>
      </c>
      <c r="G67">
        <v>12</v>
      </c>
      <c r="H67" t="s">
        <v>16</v>
      </c>
      <c r="I67" t="s">
        <v>100</v>
      </c>
      <c r="J67">
        <v>713</v>
      </c>
      <c r="K67" s="3">
        <v>8.9</v>
      </c>
      <c r="L67">
        <v>6345.7</v>
      </c>
    </row>
    <row r="68" spans="1:12" x14ac:dyDescent="0.3">
      <c r="A68">
        <v>9</v>
      </c>
      <c r="B68">
        <v>21</v>
      </c>
      <c r="C68">
        <v>3</v>
      </c>
      <c r="D68">
        <v>22</v>
      </c>
      <c r="E68">
        <v>1</v>
      </c>
      <c r="F68">
        <v>0</v>
      </c>
      <c r="G68">
        <v>0</v>
      </c>
      <c r="H68" t="s">
        <v>36</v>
      </c>
      <c r="I68" t="s">
        <v>85</v>
      </c>
      <c r="J68">
        <v>527</v>
      </c>
      <c r="K68" s="3">
        <v>0</v>
      </c>
      <c r="L68">
        <v>4637.6000000000004</v>
      </c>
    </row>
    <row r="69" spans="1:12" x14ac:dyDescent="0.3">
      <c r="A69">
        <v>18</v>
      </c>
      <c r="B69">
        <v>23</v>
      </c>
      <c r="C69">
        <v>1</v>
      </c>
      <c r="D69">
        <v>10</v>
      </c>
      <c r="E69">
        <v>1</v>
      </c>
      <c r="F69">
        <v>0</v>
      </c>
      <c r="G69">
        <v>10</v>
      </c>
      <c r="H69" t="s">
        <v>20</v>
      </c>
      <c r="I69" t="s">
        <v>87</v>
      </c>
      <c r="J69">
        <v>495</v>
      </c>
      <c r="K69" s="3">
        <v>9.1</v>
      </c>
      <c r="L69">
        <v>4504.5</v>
      </c>
    </row>
    <row r="70" spans="1:12" x14ac:dyDescent="0.3">
      <c r="A70">
        <v>7</v>
      </c>
      <c r="B70">
        <v>17</v>
      </c>
      <c r="C70">
        <v>3</v>
      </c>
      <c r="D70">
        <v>4</v>
      </c>
      <c r="E70">
        <v>1</v>
      </c>
      <c r="F70">
        <v>0</v>
      </c>
      <c r="G70">
        <v>1</v>
      </c>
      <c r="H70" t="s">
        <v>36</v>
      </c>
      <c r="I70" t="s">
        <v>101</v>
      </c>
      <c r="J70">
        <v>341</v>
      </c>
      <c r="K70" s="3">
        <v>8.8000000000000007</v>
      </c>
      <c r="L70">
        <v>3000.8</v>
      </c>
    </row>
    <row r="71" spans="1:12" x14ac:dyDescent="0.3">
      <c r="A71">
        <v>8</v>
      </c>
      <c r="B71">
        <v>18</v>
      </c>
      <c r="C71">
        <v>0</v>
      </c>
      <c r="D71">
        <v>17</v>
      </c>
      <c r="E71">
        <v>1</v>
      </c>
      <c r="F71">
        <v>0</v>
      </c>
      <c r="G71">
        <v>2</v>
      </c>
      <c r="H71" t="s">
        <v>36</v>
      </c>
      <c r="I71" t="s">
        <v>368</v>
      </c>
      <c r="J71">
        <v>294</v>
      </c>
      <c r="K71" s="3">
        <v>8.8000000000000007</v>
      </c>
      <c r="L71">
        <v>2587.1999999999998</v>
      </c>
    </row>
    <row r="72" spans="1:12" x14ac:dyDescent="0.3">
      <c r="A72">
        <v>5</v>
      </c>
      <c r="B72">
        <v>17</v>
      </c>
      <c r="C72">
        <v>2</v>
      </c>
      <c r="D72">
        <v>7</v>
      </c>
      <c r="E72">
        <v>7</v>
      </c>
      <c r="F72">
        <v>0</v>
      </c>
      <c r="G72">
        <v>9</v>
      </c>
      <c r="H72" t="s">
        <v>22</v>
      </c>
      <c r="I72" t="s">
        <v>90</v>
      </c>
      <c r="J72">
        <v>456</v>
      </c>
      <c r="K72" s="3">
        <v>7.8</v>
      </c>
      <c r="L72">
        <v>3556.7999999999902</v>
      </c>
    </row>
    <row r="73" spans="1:12" x14ac:dyDescent="0.3">
      <c r="A73">
        <v>22</v>
      </c>
      <c r="B73">
        <v>23</v>
      </c>
      <c r="C73">
        <v>0</v>
      </c>
      <c r="D73">
        <v>11</v>
      </c>
      <c r="E73">
        <v>1</v>
      </c>
      <c r="F73">
        <v>0</v>
      </c>
      <c r="G73">
        <v>1</v>
      </c>
      <c r="H73" t="s">
        <v>25</v>
      </c>
      <c r="I73" t="s">
        <v>84</v>
      </c>
      <c r="J73">
        <v>681</v>
      </c>
      <c r="K73" s="3">
        <v>8.1</v>
      </c>
      <c r="L73">
        <v>5516.0999999999904</v>
      </c>
    </row>
    <row r="74" spans="1:12" x14ac:dyDescent="0.3">
      <c r="A74">
        <v>20</v>
      </c>
      <c r="B74">
        <v>23</v>
      </c>
      <c r="C74">
        <v>1</v>
      </c>
      <c r="D74">
        <v>13</v>
      </c>
      <c r="E74">
        <v>1</v>
      </c>
      <c r="F74">
        <v>0</v>
      </c>
      <c r="G74">
        <v>11</v>
      </c>
      <c r="H74" t="s">
        <v>33</v>
      </c>
      <c r="I74" t="s">
        <v>93</v>
      </c>
      <c r="J74">
        <v>544</v>
      </c>
      <c r="K74" s="3">
        <v>9.3000000000000007</v>
      </c>
      <c r="L74">
        <v>5059.2</v>
      </c>
    </row>
    <row r="75" spans="1:12" x14ac:dyDescent="0.3">
      <c r="A75">
        <v>23</v>
      </c>
      <c r="B75">
        <v>22</v>
      </c>
      <c r="C75">
        <v>0</v>
      </c>
      <c r="D75">
        <v>12</v>
      </c>
      <c r="E75">
        <v>1</v>
      </c>
      <c r="F75">
        <v>0</v>
      </c>
      <c r="G75">
        <v>6</v>
      </c>
      <c r="H75" t="s">
        <v>369</v>
      </c>
      <c r="I75" t="s">
        <v>90</v>
      </c>
      <c r="J75">
        <v>635</v>
      </c>
      <c r="K75" s="3">
        <v>7.7</v>
      </c>
      <c r="L75">
        <v>4889.5</v>
      </c>
    </row>
    <row r="76" spans="1:12" x14ac:dyDescent="0.3">
      <c r="A76">
        <v>16</v>
      </c>
      <c r="B76">
        <v>23</v>
      </c>
      <c r="C76">
        <v>3</v>
      </c>
      <c r="D76">
        <v>13</v>
      </c>
      <c r="E76">
        <v>12</v>
      </c>
      <c r="F76">
        <v>0</v>
      </c>
      <c r="G76">
        <v>7</v>
      </c>
      <c r="H76" t="s">
        <v>23</v>
      </c>
      <c r="I76" t="s">
        <v>102</v>
      </c>
      <c r="J76">
        <v>562</v>
      </c>
      <c r="K76" s="3">
        <v>8.4</v>
      </c>
      <c r="L76">
        <v>4720.8</v>
      </c>
    </row>
    <row r="77" spans="1:12" x14ac:dyDescent="0.3">
      <c r="A77">
        <v>19</v>
      </c>
      <c r="B77">
        <v>22</v>
      </c>
      <c r="C77">
        <v>0</v>
      </c>
      <c r="D77">
        <v>0</v>
      </c>
      <c r="E77">
        <v>0</v>
      </c>
      <c r="F77">
        <v>0</v>
      </c>
      <c r="G77">
        <v>9</v>
      </c>
      <c r="H77" t="s">
        <v>13</v>
      </c>
      <c r="I77" t="s">
        <v>96</v>
      </c>
      <c r="J77">
        <v>480</v>
      </c>
      <c r="K77" s="3">
        <v>8.3000000000000007</v>
      </c>
      <c r="L77">
        <v>3984</v>
      </c>
    </row>
    <row r="78" spans="1:12" x14ac:dyDescent="0.3">
      <c r="A78">
        <v>6</v>
      </c>
      <c r="B78">
        <v>0</v>
      </c>
      <c r="C78">
        <v>0</v>
      </c>
      <c r="D78">
        <v>9</v>
      </c>
      <c r="E78">
        <v>1</v>
      </c>
      <c r="F78">
        <v>0</v>
      </c>
      <c r="G78">
        <v>11</v>
      </c>
      <c r="H78" t="s">
        <v>40</v>
      </c>
      <c r="I78" t="s">
        <v>82</v>
      </c>
      <c r="J78">
        <v>370</v>
      </c>
      <c r="K78" s="3">
        <v>7.4</v>
      </c>
      <c r="L78">
        <v>2738</v>
      </c>
    </row>
    <row r="79" spans="1:12" x14ac:dyDescent="0.3">
      <c r="A79">
        <v>9</v>
      </c>
      <c r="B79">
        <v>18</v>
      </c>
      <c r="C79">
        <v>1</v>
      </c>
      <c r="D79">
        <v>14</v>
      </c>
      <c r="E79">
        <v>1</v>
      </c>
      <c r="F79">
        <v>0</v>
      </c>
      <c r="G79">
        <v>8</v>
      </c>
      <c r="H79" t="s">
        <v>22</v>
      </c>
      <c r="I79" t="s">
        <v>90</v>
      </c>
      <c r="J79">
        <v>306</v>
      </c>
      <c r="K79" s="3">
        <v>7.8</v>
      </c>
      <c r="L79">
        <v>2386.7999999999902</v>
      </c>
    </row>
    <row r="80" spans="1:12" x14ac:dyDescent="0.3">
      <c r="A80">
        <v>9</v>
      </c>
      <c r="B80">
        <v>20</v>
      </c>
      <c r="C80">
        <v>1</v>
      </c>
      <c r="D80">
        <v>22</v>
      </c>
      <c r="E80">
        <v>1</v>
      </c>
      <c r="F80">
        <v>0</v>
      </c>
      <c r="G80">
        <v>8</v>
      </c>
      <c r="H80" t="s">
        <v>33</v>
      </c>
      <c r="I80" t="s">
        <v>89</v>
      </c>
      <c r="J80">
        <v>0</v>
      </c>
      <c r="K80" s="3">
        <v>9.3000000000000007</v>
      </c>
      <c r="L80">
        <v>5226.6000000000004</v>
      </c>
    </row>
    <row r="81" spans="1:12" x14ac:dyDescent="0.3">
      <c r="A81">
        <v>23</v>
      </c>
      <c r="B81">
        <v>22</v>
      </c>
      <c r="C81">
        <v>0</v>
      </c>
      <c r="D81">
        <v>12</v>
      </c>
      <c r="E81">
        <v>1</v>
      </c>
      <c r="F81">
        <v>0</v>
      </c>
      <c r="G81">
        <v>12</v>
      </c>
      <c r="H81" t="s">
        <v>41</v>
      </c>
      <c r="I81" t="s">
        <v>72</v>
      </c>
      <c r="J81">
        <v>417</v>
      </c>
      <c r="K81" s="3">
        <v>8.1</v>
      </c>
      <c r="L81">
        <v>3377.7</v>
      </c>
    </row>
    <row r="82" spans="1:12" x14ac:dyDescent="0.3">
      <c r="A82">
        <v>16</v>
      </c>
      <c r="B82">
        <v>23</v>
      </c>
      <c r="C82">
        <v>1</v>
      </c>
      <c r="D82">
        <v>16</v>
      </c>
      <c r="E82">
        <v>1</v>
      </c>
      <c r="F82">
        <v>0</v>
      </c>
      <c r="G82">
        <v>7</v>
      </c>
      <c r="H82" t="s">
        <v>33</v>
      </c>
      <c r="I82" t="s">
        <v>103</v>
      </c>
      <c r="J82">
        <v>495</v>
      </c>
      <c r="K82" s="3">
        <v>9.3000000000000007</v>
      </c>
      <c r="L82">
        <v>4603.5</v>
      </c>
    </row>
    <row r="83" spans="1:12" x14ac:dyDescent="0.3">
      <c r="A83">
        <v>5</v>
      </c>
      <c r="B83">
        <v>20</v>
      </c>
      <c r="C83">
        <v>3</v>
      </c>
      <c r="D83">
        <v>13</v>
      </c>
      <c r="E83">
        <v>1</v>
      </c>
      <c r="F83">
        <v>0</v>
      </c>
      <c r="G83">
        <v>3</v>
      </c>
      <c r="H83" t="s">
        <v>32</v>
      </c>
      <c r="I83" t="s">
        <v>93</v>
      </c>
      <c r="J83">
        <v>488</v>
      </c>
      <c r="K83" s="3">
        <v>7.6</v>
      </c>
      <c r="L83">
        <v>3708.7999999999902</v>
      </c>
    </row>
    <row r="84" spans="1:12" x14ac:dyDescent="0.3">
      <c r="A84">
        <v>10</v>
      </c>
      <c r="B84">
        <v>17</v>
      </c>
      <c r="C84">
        <v>2</v>
      </c>
      <c r="D84">
        <v>4</v>
      </c>
      <c r="E84">
        <v>1</v>
      </c>
      <c r="F84">
        <v>0</v>
      </c>
      <c r="G84">
        <v>8</v>
      </c>
      <c r="H84" t="s">
        <v>369</v>
      </c>
      <c r="I84" t="s">
        <v>81</v>
      </c>
      <c r="J84">
        <v>225</v>
      </c>
      <c r="K84" s="3">
        <v>9.1</v>
      </c>
      <c r="L84">
        <v>2047.5</v>
      </c>
    </row>
    <row r="85" spans="1:12" x14ac:dyDescent="0.3">
      <c r="A85">
        <v>0</v>
      </c>
      <c r="B85">
        <v>23</v>
      </c>
      <c r="C85">
        <v>0</v>
      </c>
      <c r="D85">
        <v>15</v>
      </c>
      <c r="E85">
        <v>1</v>
      </c>
      <c r="F85">
        <v>0</v>
      </c>
      <c r="G85">
        <v>10</v>
      </c>
      <c r="H85" t="s">
        <v>16</v>
      </c>
      <c r="I85" t="s">
        <v>71</v>
      </c>
      <c r="J85">
        <v>417</v>
      </c>
      <c r="K85" s="3">
        <v>8.9</v>
      </c>
      <c r="L85">
        <v>3711.3</v>
      </c>
    </row>
    <row r="86" spans="1:12" x14ac:dyDescent="0.3">
      <c r="A86">
        <v>20</v>
      </c>
      <c r="B86">
        <v>22</v>
      </c>
      <c r="C86">
        <v>0</v>
      </c>
      <c r="D86">
        <v>17</v>
      </c>
      <c r="E86">
        <v>1</v>
      </c>
      <c r="F86">
        <v>0</v>
      </c>
      <c r="G86">
        <v>7</v>
      </c>
      <c r="H86" t="s">
        <v>26</v>
      </c>
      <c r="I86" t="s">
        <v>104</v>
      </c>
      <c r="J86">
        <v>670</v>
      </c>
      <c r="K86" s="3">
        <v>8.5</v>
      </c>
      <c r="L86">
        <v>5695</v>
      </c>
    </row>
    <row r="87" spans="1:12" x14ac:dyDescent="0.3">
      <c r="A87">
        <v>5</v>
      </c>
      <c r="B87">
        <v>19</v>
      </c>
      <c r="C87">
        <v>3</v>
      </c>
      <c r="D87">
        <v>15</v>
      </c>
      <c r="E87">
        <v>1</v>
      </c>
      <c r="F87">
        <v>0</v>
      </c>
      <c r="G87">
        <v>0</v>
      </c>
      <c r="H87" t="s">
        <v>33</v>
      </c>
      <c r="I87" t="s">
        <v>92</v>
      </c>
      <c r="J87">
        <v>356</v>
      </c>
      <c r="K87" s="3">
        <v>9.3000000000000007</v>
      </c>
      <c r="L87">
        <v>3310.8</v>
      </c>
    </row>
    <row r="88" spans="1:12" x14ac:dyDescent="0.3">
      <c r="A88">
        <v>9</v>
      </c>
      <c r="B88">
        <v>19</v>
      </c>
      <c r="C88">
        <v>3</v>
      </c>
      <c r="D88">
        <v>3</v>
      </c>
      <c r="E88">
        <v>1</v>
      </c>
      <c r="F88">
        <v>0</v>
      </c>
      <c r="G88">
        <v>3</v>
      </c>
      <c r="H88" t="s">
        <v>30</v>
      </c>
      <c r="I88" t="s">
        <v>105</v>
      </c>
      <c r="J88">
        <v>0</v>
      </c>
      <c r="K88" s="3">
        <v>9.1999999999999993</v>
      </c>
      <c r="L88">
        <v>3247.6</v>
      </c>
    </row>
    <row r="89" spans="1:12" x14ac:dyDescent="0.3">
      <c r="A89">
        <v>8</v>
      </c>
      <c r="B89">
        <v>20</v>
      </c>
      <c r="C89">
        <v>2</v>
      </c>
      <c r="D89">
        <v>6</v>
      </c>
      <c r="E89">
        <v>7</v>
      </c>
      <c r="F89">
        <v>0</v>
      </c>
      <c r="G89">
        <v>6</v>
      </c>
      <c r="H89" t="s">
        <v>38</v>
      </c>
      <c r="I89" t="s">
        <v>71</v>
      </c>
      <c r="J89">
        <v>397</v>
      </c>
      <c r="K89" s="3">
        <v>7.4</v>
      </c>
      <c r="L89">
        <v>2937.8</v>
      </c>
    </row>
    <row r="90" spans="1:12" x14ac:dyDescent="0.3">
      <c r="A90">
        <v>15</v>
      </c>
      <c r="B90">
        <v>23</v>
      </c>
      <c r="C90">
        <v>2</v>
      </c>
      <c r="D90">
        <v>7</v>
      </c>
      <c r="E90">
        <v>1</v>
      </c>
      <c r="F90">
        <v>0</v>
      </c>
      <c r="G90">
        <v>1</v>
      </c>
      <c r="H90" t="s">
        <v>16</v>
      </c>
      <c r="I90" t="s">
        <v>97</v>
      </c>
      <c r="J90">
        <v>389</v>
      </c>
      <c r="K90" s="3">
        <v>8.9</v>
      </c>
      <c r="L90">
        <v>3462.1</v>
      </c>
    </row>
    <row r="91" spans="1:12" x14ac:dyDescent="0.3">
      <c r="A91">
        <v>6</v>
      </c>
      <c r="B91">
        <v>19</v>
      </c>
      <c r="C91">
        <v>2</v>
      </c>
      <c r="D91">
        <v>15</v>
      </c>
      <c r="E91">
        <v>1</v>
      </c>
      <c r="F91">
        <v>0</v>
      </c>
      <c r="G91">
        <v>12</v>
      </c>
      <c r="H91" t="s">
        <v>20</v>
      </c>
      <c r="I91" t="s">
        <v>79</v>
      </c>
      <c r="J91">
        <v>480</v>
      </c>
      <c r="K91" s="3">
        <v>9.1</v>
      </c>
      <c r="L91">
        <v>4368</v>
      </c>
    </row>
    <row r="92" spans="1:12" x14ac:dyDescent="0.3">
      <c r="A92">
        <v>21</v>
      </c>
      <c r="B92">
        <v>23</v>
      </c>
      <c r="C92">
        <v>0</v>
      </c>
      <c r="D92">
        <v>19</v>
      </c>
      <c r="E92">
        <v>1</v>
      </c>
      <c r="F92">
        <v>0</v>
      </c>
      <c r="G92">
        <v>0</v>
      </c>
      <c r="H92" t="s">
        <v>42</v>
      </c>
      <c r="I92" t="s">
        <v>106</v>
      </c>
      <c r="J92">
        <v>757</v>
      </c>
      <c r="K92" s="3">
        <v>7.8</v>
      </c>
      <c r="L92">
        <v>5904.5999999999904</v>
      </c>
    </row>
    <row r="93" spans="1:12" x14ac:dyDescent="0.3">
      <c r="A93">
        <v>10</v>
      </c>
      <c r="B93">
        <v>19</v>
      </c>
      <c r="C93">
        <v>0</v>
      </c>
      <c r="D93">
        <v>5</v>
      </c>
      <c r="E93">
        <v>7</v>
      </c>
      <c r="F93">
        <v>0</v>
      </c>
      <c r="G93">
        <v>2</v>
      </c>
      <c r="H93" t="s">
        <v>19</v>
      </c>
      <c r="I93" t="s">
        <v>85</v>
      </c>
      <c r="J93">
        <v>390</v>
      </c>
      <c r="K93" s="3">
        <v>8.9</v>
      </c>
      <c r="L93">
        <v>3471</v>
      </c>
    </row>
    <row r="94" spans="1:12" x14ac:dyDescent="0.3">
      <c r="A94">
        <v>5</v>
      </c>
      <c r="B94">
        <v>22</v>
      </c>
      <c r="C94">
        <v>2</v>
      </c>
      <c r="D94">
        <v>11</v>
      </c>
      <c r="E94">
        <v>1</v>
      </c>
      <c r="F94">
        <v>0</v>
      </c>
      <c r="G94">
        <v>2</v>
      </c>
      <c r="H94" t="s">
        <v>16</v>
      </c>
      <c r="I94" t="s">
        <v>81</v>
      </c>
      <c r="J94">
        <v>525</v>
      </c>
      <c r="K94" s="3">
        <v>8.9</v>
      </c>
      <c r="L94">
        <v>4672.5</v>
      </c>
    </row>
    <row r="95" spans="1:12" x14ac:dyDescent="0.3">
      <c r="A95">
        <v>14</v>
      </c>
      <c r="B95">
        <v>23</v>
      </c>
      <c r="C95">
        <v>1</v>
      </c>
      <c r="D95">
        <v>18</v>
      </c>
      <c r="E95">
        <v>1</v>
      </c>
      <c r="F95">
        <v>0</v>
      </c>
      <c r="G95">
        <v>6</v>
      </c>
      <c r="H95" t="s">
        <v>38</v>
      </c>
      <c r="I95" t="s">
        <v>81</v>
      </c>
      <c r="J95">
        <v>474</v>
      </c>
      <c r="K95" s="3">
        <v>7.4</v>
      </c>
      <c r="L95">
        <v>3507.6</v>
      </c>
    </row>
    <row r="96" spans="1:12" x14ac:dyDescent="0.3">
      <c r="A96">
        <v>14</v>
      </c>
      <c r="B96">
        <v>22</v>
      </c>
      <c r="C96">
        <v>3</v>
      </c>
      <c r="D96">
        <v>13</v>
      </c>
      <c r="E96">
        <v>1</v>
      </c>
      <c r="F96">
        <v>0</v>
      </c>
      <c r="G96">
        <v>3</v>
      </c>
      <c r="H96" t="s">
        <v>25</v>
      </c>
      <c r="I96" t="s">
        <v>79</v>
      </c>
      <c r="J96">
        <v>639</v>
      </c>
      <c r="K96" s="3">
        <v>8.1</v>
      </c>
      <c r="L96">
        <v>5175.8999999999996</v>
      </c>
    </row>
    <row r="97" spans="1:12" x14ac:dyDescent="0.3">
      <c r="A97">
        <v>7</v>
      </c>
      <c r="B97">
        <v>17</v>
      </c>
      <c r="C97">
        <v>0</v>
      </c>
      <c r="D97">
        <v>15</v>
      </c>
      <c r="E97">
        <v>1</v>
      </c>
      <c r="F97">
        <v>0</v>
      </c>
      <c r="G97">
        <v>2</v>
      </c>
      <c r="H97" t="s">
        <v>38</v>
      </c>
      <c r="I97" t="s">
        <v>74</v>
      </c>
      <c r="J97">
        <v>406</v>
      </c>
      <c r="K97" s="3">
        <v>7.4</v>
      </c>
      <c r="L97">
        <v>3004.4</v>
      </c>
    </row>
    <row r="98" spans="1:12" x14ac:dyDescent="0.3">
      <c r="A98">
        <v>19</v>
      </c>
      <c r="B98">
        <v>22</v>
      </c>
      <c r="C98">
        <v>3</v>
      </c>
      <c r="D98">
        <v>8</v>
      </c>
      <c r="E98">
        <v>1</v>
      </c>
      <c r="F98">
        <v>0</v>
      </c>
      <c r="G98">
        <v>4</v>
      </c>
      <c r="H98" t="s">
        <v>43</v>
      </c>
      <c r="I98" t="s">
        <v>107</v>
      </c>
      <c r="J98">
        <v>409</v>
      </c>
      <c r="K98" s="3">
        <v>7.6</v>
      </c>
      <c r="L98">
        <v>0</v>
      </c>
    </row>
    <row r="99" spans="1:12" x14ac:dyDescent="0.3">
      <c r="A99">
        <v>19</v>
      </c>
      <c r="B99">
        <v>22</v>
      </c>
      <c r="C99">
        <v>1</v>
      </c>
      <c r="D99">
        <v>3</v>
      </c>
      <c r="E99">
        <v>1</v>
      </c>
      <c r="F99">
        <v>0</v>
      </c>
      <c r="G99">
        <v>10</v>
      </c>
      <c r="H99" t="s">
        <v>32</v>
      </c>
      <c r="I99" t="s">
        <v>106</v>
      </c>
      <c r="J99">
        <v>512</v>
      </c>
      <c r="K99" s="3">
        <v>7.6</v>
      </c>
      <c r="L99">
        <v>3891.2</v>
      </c>
    </row>
    <row r="100" spans="1:12" x14ac:dyDescent="0.3">
      <c r="A100">
        <v>0</v>
      </c>
      <c r="B100">
        <v>23</v>
      </c>
      <c r="C100">
        <v>1</v>
      </c>
      <c r="D100">
        <v>3</v>
      </c>
      <c r="E100">
        <v>12</v>
      </c>
      <c r="F100">
        <v>0</v>
      </c>
      <c r="G100">
        <v>6</v>
      </c>
      <c r="H100" t="s">
        <v>38</v>
      </c>
      <c r="I100" t="s">
        <v>73</v>
      </c>
      <c r="J100">
        <v>596</v>
      </c>
      <c r="K100" s="3">
        <v>7.4</v>
      </c>
      <c r="L100">
        <v>4410.3999999999996</v>
      </c>
    </row>
    <row r="101" spans="1:12" x14ac:dyDescent="0.3">
      <c r="A101">
        <v>0</v>
      </c>
      <c r="B101">
        <v>23</v>
      </c>
      <c r="C101">
        <v>1</v>
      </c>
      <c r="D101">
        <v>19</v>
      </c>
      <c r="E101">
        <v>12</v>
      </c>
      <c r="F101">
        <v>0</v>
      </c>
      <c r="G101">
        <v>9</v>
      </c>
      <c r="H101" t="s">
        <v>36</v>
      </c>
      <c r="I101" t="s">
        <v>80</v>
      </c>
      <c r="J101">
        <v>634</v>
      </c>
      <c r="K101" s="3">
        <v>8.8000000000000007</v>
      </c>
      <c r="L101">
        <v>5579.2</v>
      </c>
    </row>
    <row r="102" spans="1:12" x14ac:dyDescent="0.3">
      <c r="A102">
        <v>15</v>
      </c>
      <c r="B102">
        <v>23</v>
      </c>
      <c r="C102">
        <v>0</v>
      </c>
      <c r="D102">
        <v>4</v>
      </c>
      <c r="E102">
        <v>1</v>
      </c>
      <c r="F102">
        <v>0</v>
      </c>
      <c r="G102">
        <v>10</v>
      </c>
      <c r="H102" t="s">
        <v>36</v>
      </c>
      <c r="I102" t="s">
        <v>108</v>
      </c>
      <c r="J102">
        <v>382</v>
      </c>
      <c r="K102" s="3">
        <v>8.8000000000000007</v>
      </c>
      <c r="L102">
        <v>3361.6</v>
      </c>
    </row>
    <row r="103" spans="1:12" x14ac:dyDescent="0.3">
      <c r="A103">
        <v>8</v>
      </c>
      <c r="B103">
        <v>18</v>
      </c>
      <c r="C103">
        <v>3</v>
      </c>
      <c r="D103">
        <v>10</v>
      </c>
      <c r="E103">
        <v>1</v>
      </c>
      <c r="F103">
        <v>0</v>
      </c>
      <c r="G103">
        <v>11</v>
      </c>
      <c r="H103" t="s">
        <v>26</v>
      </c>
      <c r="I103" t="s">
        <v>107</v>
      </c>
      <c r="J103">
        <v>296</v>
      </c>
      <c r="K103" s="3">
        <v>8.5</v>
      </c>
      <c r="L103">
        <v>2516</v>
      </c>
    </row>
    <row r="104" spans="1:12" x14ac:dyDescent="0.3">
      <c r="A104">
        <v>17</v>
      </c>
      <c r="B104">
        <v>0</v>
      </c>
      <c r="C104">
        <v>1</v>
      </c>
      <c r="D104">
        <v>6</v>
      </c>
      <c r="E104">
        <v>1</v>
      </c>
      <c r="F104">
        <v>0</v>
      </c>
      <c r="G104">
        <v>8</v>
      </c>
      <c r="H104" t="s">
        <v>25</v>
      </c>
      <c r="I104" t="s">
        <v>106</v>
      </c>
      <c r="J104">
        <v>504</v>
      </c>
      <c r="K104" s="3">
        <v>8.1</v>
      </c>
      <c r="L104">
        <v>4082.3999999999901</v>
      </c>
    </row>
    <row r="105" spans="1:12" x14ac:dyDescent="0.3">
      <c r="A105">
        <v>10</v>
      </c>
      <c r="B105">
        <v>18</v>
      </c>
      <c r="C105">
        <v>3</v>
      </c>
      <c r="D105">
        <v>16</v>
      </c>
      <c r="E105">
        <v>1</v>
      </c>
      <c r="F105">
        <v>0</v>
      </c>
      <c r="G105">
        <v>5</v>
      </c>
      <c r="H105" t="s">
        <v>16</v>
      </c>
      <c r="I105" t="s">
        <v>107</v>
      </c>
      <c r="J105">
        <v>405</v>
      </c>
      <c r="K105" s="3">
        <v>8.9</v>
      </c>
      <c r="L105">
        <v>3604.5</v>
      </c>
    </row>
    <row r="106" spans="1:12" x14ac:dyDescent="0.3">
      <c r="A106">
        <v>6</v>
      </c>
      <c r="B106">
        <v>20</v>
      </c>
      <c r="C106">
        <v>1</v>
      </c>
      <c r="D106">
        <v>3</v>
      </c>
      <c r="E106">
        <v>7</v>
      </c>
      <c r="F106">
        <v>0</v>
      </c>
      <c r="G106">
        <v>9</v>
      </c>
      <c r="H106" t="s">
        <v>19</v>
      </c>
      <c r="I106" t="s">
        <v>74</v>
      </c>
      <c r="J106">
        <v>0</v>
      </c>
      <c r="K106" s="3">
        <v>8.9</v>
      </c>
      <c r="L106">
        <v>4289.8</v>
      </c>
    </row>
    <row r="107" spans="1:12" x14ac:dyDescent="0.3">
      <c r="A107">
        <v>14</v>
      </c>
      <c r="B107">
        <v>23</v>
      </c>
      <c r="C107">
        <v>1</v>
      </c>
      <c r="D107">
        <v>19</v>
      </c>
      <c r="E107">
        <v>1</v>
      </c>
      <c r="F107">
        <v>0</v>
      </c>
      <c r="G107">
        <v>5</v>
      </c>
      <c r="H107" t="s">
        <v>25</v>
      </c>
      <c r="I107" t="s">
        <v>71</v>
      </c>
      <c r="J107">
        <v>608</v>
      </c>
      <c r="K107" s="3">
        <v>8.1</v>
      </c>
      <c r="L107">
        <v>4924.8</v>
      </c>
    </row>
    <row r="108" spans="1:12" x14ac:dyDescent="0.3">
      <c r="A108">
        <v>0</v>
      </c>
      <c r="B108">
        <v>0</v>
      </c>
      <c r="C108">
        <v>3</v>
      </c>
      <c r="D108">
        <v>14</v>
      </c>
      <c r="E108">
        <v>1</v>
      </c>
      <c r="F108">
        <v>0</v>
      </c>
      <c r="G108">
        <v>4</v>
      </c>
      <c r="H108" t="s">
        <v>33</v>
      </c>
      <c r="I108" t="s">
        <v>368</v>
      </c>
      <c r="J108">
        <v>697</v>
      </c>
      <c r="K108" s="3">
        <v>9.3000000000000007</v>
      </c>
      <c r="L108">
        <v>6482.1</v>
      </c>
    </row>
    <row r="109" spans="1:12" x14ac:dyDescent="0.3">
      <c r="A109">
        <v>15</v>
      </c>
      <c r="B109">
        <v>23</v>
      </c>
      <c r="C109">
        <v>2</v>
      </c>
      <c r="D109">
        <v>21</v>
      </c>
      <c r="E109">
        <v>1</v>
      </c>
      <c r="F109">
        <v>0</v>
      </c>
      <c r="G109">
        <v>2</v>
      </c>
      <c r="H109" t="s">
        <v>44</v>
      </c>
      <c r="I109" t="s">
        <v>93</v>
      </c>
      <c r="J109">
        <v>591</v>
      </c>
      <c r="K109" s="3">
        <v>8.1999999999999993</v>
      </c>
      <c r="L109">
        <v>4846.2</v>
      </c>
    </row>
    <row r="110" spans="1:12" x14ac:dyDescent="0.3">
      <c r="A110">
        <v>13</v>
      </c>
      <c r="B110">
        <v>23</v>
      </c>
      <c r="C110">
        <v>2</v>
      </c>
      <c r="D110">
        <v>17</v>
      </c>
      <c r="E110">
        <v>1</v>
      </c>
      <c r="F110">
        <v>0</v>
      </c>
      <c r="G110">
        <v>4</v>
      </c>
      <c r="H110" t="s">
        <v>35</v>
      </c>
      <c r="I110" t="s">
        <v>70</v>
      </c>
      <c r="J110">
        <v>532</v>
      </c>
      <c r="K110" s="3">
        <v>8.1999999999999993</v>
      </c>
      <c r="L110">
        <v>4362.3999999999996</v>
      </c>
    </row>
    <row r="111" spans="1:12" x14ac:dyDescent="0.3">
      <c r="A111">
        <v>16</v>
      </c>
      <c r="B111">
        <v>23</v>
      </c>
      <c r="C111">
        <v>3</v>
      </c>
      <c r="D111">
        <v>20</v>
      </c>
      <c r="E111">
        <v>1</v>
      </c>
      <c r="F111">
        <v>0</v>
      </c>
      <c r="G111">
        <v>11</v>
      </c>
      <c r="H111" t="s">
        <v>19</v>
      </c>
      <c r="I111" t="s">
        <v>94</v>
      </c>
      <c r="J111">
        <v>533</v>
      </c>
      <c r="K111" s="3">
        <v>8.9</v>
      </c>
      <c r="L111">
        <v>4743.7</v>
      </c>
    </row>
    <row r="112" spans="1:12" x14ac:dyDescent="0.3">
      <c r="A112">
        <v>15</v>
      </c>
      <c r="B112">
        <v>22</v>
      </c>
      <c r="C112">
        <v>0</v>
      </c>
      <c r="D112">
        <v>12</v>
      </c>
      <c r="E112">
        <v>1</v>
      </c>
      <c r="F112">
        <v>0</v>
      </c>
      <c r="G112">
        <v>1</v>
      </c>
      <c r="H112" t="s">
        <v>24</v>
      </c>
      <c r="I112" t="s">
        <v>106</v>
      </c>
      <c r="J112">
        <v>429</v>
      </c>
      <c r="K112" s="3">
        <v>7.9</v>
      </c>
      <c r="L112">
        <v>3389.1</v>
      </c>
    </row>
    <row r="113" spans="1:12" x14ac:dyDescent="0.3">
      <c r="A113">
        <v>17</v>
      </c>
      <c r="B113">
        <v>23</v>
      </c>
      <c r="C113">
        <v>1</v>
      </c>
      <c r="D113">
        <v>0</v>
      </c>
      <c r="E113">
        <v>1</v>
      </c>
      <c r="F113">
        <v>0</v>
      </c>
      <c r="G113">
        <v>3</v>
      </c>
      <c r="H113" t="s">
        <v>45</v>
      </c>
      <c r="I113" t="s">
        <v>72</v>
      </c>
      <c r="J113">
        <v>493</v>
      </c>
      <c r="K113" s="3">
        <v>7.9</v>
      </c>
      <c r="L113">
        <v>3894.7</v>
      </c>
    </row>
    <row r="114" spans="1:12" x14ac:dyDescent="0.3">
      <c r="A114">
        <v>23</v>
      </c>
      <c r="B114">
        <v>23</v>
      </c>
      <c r="C114">
        <v>3</v>
      </c>
      <c r="D114">
        <v>16</v>
      </c>
      <c r="E114">
        <v>1</v>
      </c>
      <c r="F114">
        <v>0</v>
      </c>
      <c r="G114">
        <v>12</v>
      </c>
      <c r="H114" t="s">
        <v>46</v>
      </c>
      <c r="I114" t="s">
        <v>84</v>
      </c>
      <c r="J114">
        <v>589</v>
      </c>
      <c r="K114" s="3">
        <v>8.3000000000000007</v>
      </c>
      <c r="L114">
        <v>4888.7</v>
      </c>
    </row>
    <row r="115" spans="1:12" x14ac:dyDescent="0.3">
      <c r="A115">
        <v>10</v>
      </c>
      <c r="B115">
        <v>18</v>
      </c>
      <c r="C115">
        <v>2</v>
      </c>
      <c r="D115">
        <v>9</v>
      </c>
      <c r="E115">
        <v>1</v>
      </c>
      <c r="F115">
        <v>0</v>
      </c>
      <c r="G115">
        <v>0</v>
      </c>
      <c r="H115" t="s">
        <v>30</v>
      </c>
      <c r="I115" t="s">
        <v>109</v>
      </c>
      <c r="J115">
        <v>490</v>
      </c>
      <c r="K115" s="3">
        <v>9.1999999999999993</v>
      </c>
      <c r="L115">
        <v>4508</v>
      </c>
    </row>
    <row r="116" spans="1:12" x14ac:dyDescent="0.3">
      <c r="A116">
        <v>8</v>
      </c>
      <c r="B116">
        <v>17</v>
      </c>
      <c r="C116">
        <v>1</v>
      </c>
      <c r="D116">
        <v>8</v>
      </c>
      <c r="E116">
        <v>1</v>
      </c>
      <c r="F116">
        <v>0</v>
      </c>
      <c r="G116">
        <v>7</v>
      </c>
      <c r="H116" t="s">
        <v>36</v>
      </c>
      <c r="I116" t="s">
        <v>80</v>
      </c>
      <c r="J116">
        <v>412</v>
      </c>
      <c r="K116" s="3">
        <v>8.8000000000000007</v>
      </c>
      <c r="L116">
        <v>3625.6</v>
      </c>
    </row>
    <row r="117" spans="1:12" x14ac:dyDescent="0.3">
      <c r="A117">
        <v>10</v>
      </c>
      <c r="B117">
        <v>22</v>
      </c>
      <c r="C117">
        <v>2</v>
      </c>
      <c r="D117">
        <v>16</v>
      </c>
      <c r="E117">
        <v>1</v>
      </c>
      <c r="F117">
        <v>0</v>
      </c>
      <c r="G117">
        <v>3</v>
      </c>
      <c r="H117" t="s">
        <v>33</v>
      </c>
      <c r="I117" t="s">
        <v>91</v>
      </c>
      <c r="J117">
        <v>613</v>
      </c>
      <c r="K117" s="3">
        <v>9.3000000000000007</v>
      </c>
      <c r="L117">
        <v>5700.9</v>
      </c>
    </row>
    <row r="118" spans="1:12" x14ac:dyDescent="0.3">
      <c r="A118">
        <v>15</v>
      </c>
      <c r="B118">
        <v>23</v>
      </c>
      <c r="C118">
        <v>1</v>
      </c>
      <c r="D118">
        <v>10</v>
      </c>
      <c r="E118">
        <v>1</v>
      </c>
      <c r="F118">
        <v>0</v>
      </c>
      <c r="G118">
        <v>6</v>
      </c>
      <c r="H118" t="s">
        <v>21</v>
      </c>
      <c r="I118" t="s">
        <v>94</v>
      </c>
      <c r="J118">
        <v>573</v>
      </c>
      <c r="K118" s="3">
        <v>8.6999999999999993</v>
      </c>
      <c r="L118">
        <v>4985.0999999999904</v>
      </c>
    </row>
    <row r="119" spans="1:12" x14ac:dyDescent="0.3">
      <c r="A119">
        <v>10</v>
      </c>
      <c r="B119">
        <v>23</v>
      </c>
      <c r="C119">
        <v>1</v>
      </c>
      <c r="D119">
        <v>17</v>
      </c>
      <c r="E119">
        <v>1</v>
      </c>
      <c r="F119">
        <v>0</v>
      </c>
      <c r="G119">
        <v>10</v>
      </c>
      <c r="H119" t="s">
        <v>30</v>
      </c>
      <c r="I119" t="s">
        <v>107</v>
      </c>
      <c r="J119">
        <v>444</v>
      </c>
      <c r="K119" s="3">
        <v>9.1999999999999993</v>
      </c>
      <c r="L119">
        <v>4084.7999999999902</v>
      </c>
    </row>
    <row r="120" spans="1:12" x14ac:dyDescent="0.3">
      <c r="A120">
        <v>6</v>
      </c>
      <c r="B120">
        <v>18</v>
      </c>
      <c r="C120">
        <v>0</v>
      </c>
      <c r="D120">
        <v>12</v>
      </c>
      <c r="E120">
        <v>7</v>
      </c>
      <c r="F120">
        <v>0</v>
      </c>
      <c r="G120">
        <v>4</v>
      </c>
      <c r="H120" t="s">
        <v>21</v>
      </c>
      <c r="I120" t="s">
        <v>75</v>
      </c>
      <c r="J120">
        <v>491</v>
      </c>
      <c r="K120" s="3">
        <v>8.6999999999999993</v>
      </c>
      <c r="L120">
        <v>4271.7</v>
      </c>
    </row>
    <row r="121" spans="1:12" x14ac:dyDescent="0.3">
      <c r="A121">
        <v>23</v>
      </c>
      <c r="B121">
        <v>23</v>
      </c>
      <c r="C121">
        <v>3</v>
      </c>
      <c r="D121">
        <v>14</v>
      </c>
      <c r="E121">
        <v>1</v>
      </c>
      <c r="F121">
        <v>0</v>
      </c>
      <c r="G121">
        <v>10</v>
      </c>
      <c r="H121" t="s">
        <v>369</v>
      </c>
      <c r="I121" t="s">
        <v>92</v>
      </c>
      <c r="J121">
        <v>686</v>
      </c>
      <c r="K121" s="3">
        <v>8.1</v>
      </c>
      <c r="L121">
        <v>5556.5999999999904</v>
      </c>
    </row>
    <row r="122" spans="1:12" x14ac:dyDescent="0.3">
      <c r="A122">
        <v>23</v>
      </c>
      <c r="B122">
        <v>22</v>
      </c>
      <c r="C122">
        <v>3</v>
      </c>
      <c r="D122">
        <v>6</v>
      </c>
      <c r="E122">
        <v>1</v>
      </c>
      <c r="F122">
        <v>0</v>
      </c>
      <c r="G122">
        <v>2</v>
      </c>
      <c r="H122" t="s">
        <v>47</v>
      </c>
      <c r="I122" t="s">
        <v>80</v>
      </c>
      <c r="J122">
        <v>431</v>
      </c>
      <c r="K122" s="3">
        <v>9.1</v>
      </c>
      <c r="L122">
        <v>3922.1</v>
      </c>
    </row>
    <row r="123" spans="1:12" x14ac:dyDescent="0.3">
      <c r="A123">
        <v>21</v>
      </c>
      <c r="B123">
        <v>23</v>
      </c>
      <c r="C123">
        <v>2</v>
      </c>
      <c r="D123">
        <v>14</v>
      </c>
      <c r="E123">
        <v>12</v>
      </c>
      <c r="F123">
        <v>0</v>
      </c>
      <c r="G123">
        <v>10</v>
      </c>
      <c r="H123" t="s">
        <v>25</v>
      </c>
      <c r="I123" t="s">
        <v>368</v>
      </c>
      <c r="J123">
        <v>838</v>
      </c>
      <c r="K123" s="3">
        <v>8.1</v>
      </c>
      <c r="L123">
        <v>6787.7999999999902</v>
      </c>
    </row>
    <row r="124" spans="1:12" x14ac:dyDescent="0.3">
      <c r="A124">
        <v>7</v>
      </c>
      <c r="B124">
        <v>23</v>
      </c>
      <c r="C124">
        <v>2</v>
      </c>
      <c r="D124">
        <v>14</v>
      </c>
      <c r="E124">
        <v>1</v>
      </c>
      <c r="F124">
        <v>0</v>
      </c>
      <c r="G124">
        <v>11</v>
      </c>
      <c r="H124" t="s">
        <v>33</v>
      </c>
      <c r="I124" t="s">
        <v>85</v>
      </c>
      <c r="J124">
        <v>546</v>
      </c>
      <c r="K124" s="3">
        <v>9.3000000000000007</v>
      </c>
      <c r="L124">
        <v>5077.8</v>
      </c>
    </row>
    <row r="125" spans="1:12" x14ac:dyDescent="0.3">
      <c r="A125">
        <v>10</v>
      </c>
      <c r="B125">
        <v>19</v>
      </c>
      <c r="C125">
        <v>3</v>
      </c>
      <c r="D125">
        <v>9</v>
      </c>
      <c r="E125">
        <v>1</v>
      </c>
      <c r="F125">
        <v>0</v>
      </c>
      <c r="G125">
        <v>7</v>
      </c>
      <c r="H125" t="s">
        <v>25</v>
      </c>
      <c r="I125" t="s">
        <v>73</v>
      </c>
      <c r="J125">
        <v>381</v>
      </c>
      <c r="K125" s="3">
        <v>8.1</v>
      </c>
      <c r="L125">
        <v>3086.1</v>
      </c>
    </row>
    <row r="126" spans="1:12" x14ac:dyDescent="0.3">
      <c r="A126">
        <v>21</v>
      </c>
      <c r="B126">
        <v>23</v>
      </c>
      <c r="C126">
        <v>3</v>
      </c>
      <c r="D126">
        <v>0</v>
      </c>
      <c r="E126">
        <v>1</v>
      </c>
      <c r="F126">
        <v>0</v>
      </c>
      <c r="G126">
        <v>4</v>
      </c>
      <c r="H126" t="s">
        <v>25</v>
      </c>
      <c r="I126" t="s">
        <v>90</v>
      </c>
      <c r="J126">
        <v>519</v>
      </c>
      <c r="K126" s="3">
        <v>8.1</v>
      </c>
      <c r="L126">
        <v>4203.8999999999996</v>
      </c>
    </row>
    <row r="127" spans="1:12" x14ac:dyDescent="0.3">
      <c r="A127">
        <v>6</v>
      </c>
      <c r="B127">
        <v>20</v>
      </c>
      <c r="C127">
        <v>2</v>
      </c>
      <c r="D127">
        <v>19</v>
      </c>
      <c r="E127">
        <v>0</v>
      </c>
      <c r="F127">
        <v>0</v>
      </c>
      <c r="G127">
        <v>9</v>
      </c>
      <c r="H127" t="s">
        <v>35</v>
      </c>
      <c r="I127" t="s">
        <v>105</v>
      </c>
      <c r="J127">
        <v>587</v>
      </c>
      <c r="K127" s="3">
        <v>8.1999999999999993</v>
      </c>
      <c r="L127">
        <v>4813.3999999999996</v>
      </c>
    </row>
    <row r="128" spans="1:12" x14ac:dyDescent="0.3">
      <c r="A128">
        <v>6</v>
      </c>
      <c r="B128">
        <v>18</v>
      </c>
      <c r="C128">
        <v>0</v>
      </c>
      <c r="D128">
        <v>9</v>
      </c>
      <c r="E128">
        <v>1</v>
      </c>
      <c r="F128">
        <v>0</v>
      </c>
      <c r="G128">
        <v>8</v>
      </c>
      <c r="H128" t="s">
        <v>48</v>
      </c>
      <c r="I128" t="s">
        <v>90</v>
      </c>
      <c r="J128">
        <v>301</v>
      </c>
      <c r="K128" s="3">
        <v>8.6999999999999993</v>
      </c>
      <c r="L128">
        <v>2618.6999999999998</v>
      </c>
    </row>
    <row r="129" spans="1:12" x14ac:dyDescent="0.3">
      <c r="A129">
        <v>0</v>
      </c>
      <c r="B129">
        <v>23</v>
      </c>
      <c r="C129">
        <v>1</v>
      </c>
      <c r="D129">
        <v>9</v>
      </c>
      <c r="E129">
        <v>1</v>
      </c>
      <c r="F129">
        <v>0</v>
      </c>
      <c r="G129">
        <v>1</v>
      </c>
      <c r="H129" t="s">
        <v>25</v>
      </c>
      <c r="I129" t="s">
        <v>72</v>
      </c>
      <c r="J129">
        <v>386</v>
      </c>
      <c r="K129" s="3">
        <v>8.1</v>
      </c>
      <c r="L129">
        <v>3126.6</v>
      </c>
    </row>
    <row r="130" spans="1:12" x14ac:dyDescent="0.3">
      <c r="A130">
        <v>12</v>
      </c>
      <c r="B130">
        <v>22</v>
      </c>
      <c r="C130">
        <v>3</v>
      </c>
      <c r="D130">
        <v>22</v>
      </c>
      <c r="E130">
        <v>0</v>
      </c>
      <c r="F130">
        <v>0</v>
      </c>
      <c r="G130">
        <v>4</v>
      </c>
      <c r="H130" t="s">
        <v>24</v>
      </c>
      <c r="I130" t="s">
        <v>106</v>
      </c>
      <c r="J130">
        <v>599</v>
      </c>
      <c r="K130" s="3">
        <v>7.9</v>
      </c>
      <c r="L130">
        <v>4732.1000000000004</v>
      </c>
    </row>
    <row r="131" spans="1:12" x14ac:dyDescent="0.3">
      <c r="A131">
        <v>9</v>
      </c>
      <c r="B131">
        <v>20</v>
      </c>
      <c r="C131">
        <v>3</v>
      </c>
      <c r="D131">
        <v>21</v>
      </c>
      <c r="E131">
        <v>1</v>
      </c>
      <c r="F131">
        <v>0</v>
      </c>
      <c r="G131">
        <v>4</v>
      </c>
      <c r="H131" t="s">
        <v>20</v>
      </c>
      <c r="I131" t="s">
        <v>368</v>
      </c>
      <c r="J131">
        <v>582</v>
      </c>
      <c r="K131" s="3">
        <v>9.1</v>
      </c>
      <c r="L131">
        <v>5296.2</v>
      </c>
    </row>
    <row r="132" spans="1:12" x14ac:dyDescent="0.3">
      <c r="A132">
        <v>12</v>
      </c>
      <c r="B132">
        <v>23</v>
      </c>
      <c r="C132">
        <v>0</v>
      </c>
      <c r="D132">
        <v>6</v>
      </c>
      <c r="E132">
        <v>1</v>
      </c>
      <c r="F132">
        <v>0</v>
      </c>
      <c r="G132">
        <v>6</v>
      </c>
      <c r="H132" t="s">
        <v>22</v>
      </c>
      <c r="I132" t="s">
        <v>90</v>
      </c>
      <c r="J132">
        <v>337</v>
      </c>
      <c r="K132" s="3">
        <v>7.8</v>
      </c>
      <c r="L132">
        <v>2628.6</v>
      </c>
    </row>
    <row r="133" spans="1:12" x14ac:dyDescent="0.3">
      <c r="A133">
        <v>14</v>
      </c>
      <c r="B133">
        <v>23</v>
      </c>
      <c r="C133">
        <v>0</v>
      </c>
      <c r="D133">
        <v>20</v>
      </c>
      <c r="E133">
        <v>1</v>
      </c>
      <c r="F133">
        <v>0</v>
      </c>
      <c r="G133">
        <v>10</v>
      </c>
      <c r="H133" t="s">
        <v>24</v>
      </c>
      <c r="I133" t="s">
        <v>71</v>
      </c>
      <c r="J133">
        <v>662</v>
      </c>
      <c r="K133" s="3">
        <v>7.9</v>
      </c>
      <c r="L133">
        <v>5229.8</v>
      </c>
    </row>
    <row r="134" spans="1:12" x14ac:dyDescent="0.3">
      <c r="A134">
        <v>23</v>
      </c>
      <c r="B134">
        <v>23</v>
      </c>
      <c r="C134">
        <v>3</v>
      </c>
      <c r="D134">
        <v>14</v>
      </c>
      <c r="E134">
        <v>0</v>
      </c>
      <c r="F134">
        <v>0</v>
      </c>
      <c r="G134">
        <v>6</v>
      </c>
      <c r="H134" t="s">
        <v>48</v>
      </c>
      <c r="I134" t="s">
        <v>81</v>
      </c>
      <c r="J134">
        <v>517</v>
      </c>
      <c r="K134" s="3">
        <v>8.6999999999999993</v>
      </c>
      <c r="L134">
        <v>4497.8999999999996</v>
      </c>
    </row>
    <row r="135" spans="1:12" x14ac:dyDescent="0.3">
      <c r="A135">
        <v>5</v>
      </c>
      <c r="B135">
        <v>0</v>
      </c>
      <c r="C135">
        <v>0</v>
      </c>
      <c r="D135">
        <v>20</v>
      </c>
      <c r="E135">
        <v>1</v>
      </c>
      <c r="F135">
        <v>0</v>
      </c>
      <c r="G135">
        <v>12</v>
      </c>
      <c r="H135" t="s">
        <v>22</v>
      </c>
      <c r="I135" t="s">
        <v>93</v>
      </c>
      <c r="J135">
        <v>464</v>
      </c>
      <c r="K135" s="3">
        <v>7.8</v>
      </c>
      <c r="L135">
        <v>3619.2</v>
      </c>
    </row>
    <row r="136" spans="1:12" x14ac:dyDescent="0.3">
      <c r="A136">
        <v>11</v>
      </c>
      <c r="B136">
        <v>22</v>
      </c>
      <c r="C136">
        <v>0</v>
      </c>
      <c r="D136">
        <v>6</v>
      </c>
      <c r="E136">
        <v>12</v>
      </c>
      <c r="F136">
        <v>0</v>
      </c>
      <c r="G136">
        <v>2</v>
      </c>
      <c r="H136" t="s">
        <v>49</v>
      </c>
      <c r="I136" t="s">
        <v>106</v>
      </c>
      <c r="J136">
        <v>332</v>
      </c>
      <c r="K136" s="3">
        <v>8.5</v>
      </c>
      <c r="L136">
        <v>2822</v>
      </c>
    </row>
    <row r="137" spans="1:12" x14ac:dyDescent="0.3">
      <c r="A137">
        <v>11</v>
      </c>
      <c r="B137">
        <v>23</v>
      </c>
      <c r="C137">
        <v>3</v>
      </c>
      <c r="D137">
        <v>16</v>
      </c>
      <c r="E137">
        <v>1</v>
      </c>
      <c r="F137">
        <v>0</v>
      </c>
      <c r="G137">
        <v>2</v>
      </c>
      <c r="H137" t="s">
        <v>33</v>
      </c>
      <c r="I137" t="s">
        <v>91</v>
      </c>
      <c r="J137">
        <v>391</v>
      </c>
      <c r="K137" s="3" t="s">
        <v>143</v>
      </c>
      <c r="L137">
        <v>3636.3</v>
      </c>
    </row>
    <row r="138" spans="1:12" x14ac:dyDescent="0.3">
      <c r="A138">
        <v>0</v>
      </c>
      <c r="B138">
        <v>23</v>
      </c>
      <c r="C138">
        <v>0</v>
      </c>
      <c r="D138">
        <v>20</v>
      </c>
      <c r="E138">
        <v>12</v>
      </c>
      <c r="F138">
        <v>0</v>
      </c>
      <c r="G138">
        <v>12</v>
      </c>
      <c r="H138" t="s">
        <v>25</v>
      </c>
      <c r="I138" t="s">
        <v>368</v>
      </c>
      <c r="J138">
        <v>707</v>
      </c>
      <c r="K138" s="3">
        <v>8.1</v>
      </c>
      <c r="L138">
        <v>5726.7</v>
      </c>
    </row>
    <row r="139" spans="1:12" x14ac:dyDescent="0.3">
      <c r="A139">
        <v>17</v>
      </c>
      <c r="B139">
        <v>23</v>
      </c>
      <c r="C139">
        <v>2</v>
      </c>
      <c r="D139">
        <v>13</v>
      </c>
      <c r="E139">
        <v>1</v>
      </c>
      <c r="F139">
        <v>0</v>
      </c>
      <c r="G139">
        <v>6</v>
      </c>
      <c r="H139" t="s">
        <v>25</v>
      </c>
      <c r="I139" t="s">
        <v>106</v>
      </c>
      <c r="J139">
        <v>500</v>
      </c>
      <c r="K139" s="3">
        <v>8.1</v>
      </c>
      <c r="L139">
        <v>4050</v>
      </c>
    </row>
    <row r="140" spans="1:12" x14ac:dyDescent="0.3">
      <c r="A140">
        <v>8</v>
      </c>
      <c r="B140">
        <v>17</v>
      </c>
      <c r="C140">
        <v>0</v>
      </c>
      <c r="D140">
        <v>14</v>
      </c>
      <c r="E140">
        <v>1</v>
      </c>
      <c r="F140">
        <v>0</v>
      </c>
      <c r="G140">
        <v>6</v>
      </c>
      <c r="H140" t="s">
        <v>33</v>
      </c>
      <c r="I140" t="s">
        <v>70</v>
      </c>
      <c r="J140">
        <v>335</v>
      </c>
      <c r="K140" s="3">
        <v>9.3000000000000007</v>
      </c>
      <c r="L140">
        <v>3115.5</v>
      </c>
    </row>
    <row r="141" spans="1:12" x14ac:dyDescent="0.3">
      <c r="A141">
        <v>12</v>
      </c>
      <c r="B141">
        <v>22</v>
      </c>
      <c r="C141">
        <v>3</v>
      </c>
      <c r="D141">
        <v>11</v>
      </c>
      <c r="E141">
        <v>1</v>
      </c>
      <c r="F141">
        <v>0</v>
      </c>
      <c r="G141">
        <v>8</v>
      </c>
      <c r="H141" t="s">
        <v>33</v>
      </c>
      <c r="I141" t="s">
        <v>109</v>
      </c>
      <c r="J141">
        <v>573</v>
      </c>
      <c r="K141" s="3">
        <v>0</v>
      </c>
      <c r="L141">
        <v>5328.9</v>
      </c>
    </row>
    <row r="142" spans="1:12" x14ac:dyDescent="0.3">
      <c r="A142">
        <v>13</v>
      </c>
      <c r="B142">
        <v>23</v>
      </c>
      <c r="C142">
        <v>2</v>
      </c>
      <c r="D142">
        <v>7</v>
      </c>
      <c r="E142">
        <v>1</v>
      </c>
      <c r="F142">
        <v>0</v>
      </c>
      <c r="G142">
        <v>5</v>
      </c>
      <c r="H142" t="s">
        <v>369</v>
      </c>
      <c r="I142" t="s">
        <v>95</v>
      </c>
      <c r="J142">
        <v>511</v>
      </c>
      <c r="K142" s="3">
        <v>7.4</v>
      </c>
      <c r="L142">
        <v>3781.4</v>
      </c>
    </row>
    <row r="143" spans="1:12" x14ac:dyDescent="0.3">
      <c r="A143">
        <v>0</v>
      </c>
      <c r="B143">
        <v>23</v>
      </c>
      <c r="C143">
        <v>2</v>
      </c>
      <c r="D143">
        <v>17</v>
      </c>
      <c r="E143">
        <v>1</v>
      </c>
      <c r="F143">
        <v>0</v>
      </c>
      <c r="G143">
        <v>7</v>
      </c>
      <c r="H143" t="s">
        <v>26</v>
      </c>
      <c r="I143" t="s">
        <v>82</v>
      </c>
      <c r="J143">
        <v>689</v>
      </c>
      <c r="K143" s="3">
        <v>8.5</v>
      </c>
      <c r="L143">
        <v>5856.5</v>
      </c>
    </row>
    <row r="144" spans="1:12" x14ac:dyDescent="0.3">
      <c r="A144">
        <v>23</v>
      </c>
      <c r="B144">
        <v>23</v>
      </c>
      <c r="C144">
        <v>2</v>
      </c>
      <c r="D144">
        <v>7</v>
      </c>
      <c r="E144">
        <v>12</v>
      </c>
      <c r="F144">
        <v>0</v>
      </c>
      <c r="G144">
        <v>6</v>
      </c>
      <c r="H144" t="s">
        <v>27</v>
      </c>
      <c r="I144" t="s">
        <v>83</v>
      </c>
      <c r="J144">
        <v>543</v>
      </c>
      <c r="K144" s="3">
        <v>8.4</v>
      </c>
      <c r="L144">
        <v>4561.2</v>
      </c>
    </row>
    <row r="145" spans="1:12" x14ac:dyDescent="0.3">
      <c r="A145">
        <v>9</v>
      </c>
      <c r="B145">
        <v>22</v>
      </c>
      <c r="C145">
        <v>2</v>
      </c>
      <c r="D145">
        <v>9</v>
      </c>
      <c r="E145">
        <v>1</v>
      </c>
      <c r="F145">
        <v>0</v>
      </c>
      <c r="G145">
        <v>8</v>
      </c>
      <c r="H145" t="s">
        <v>12</v>
      </c>
      <c r="I145" t="s">
        <v>83</v>
      </c>
      <c r="J145">
        <v>527</v>
      </c>
      <c r="K145" s="3">
        <v>8.1</v>
      </c>
      <c r="L145">
        <v>4268.7</v>
      </c>
    </row>
    <row r="146" spans="1:12" x14ac:dyDescent="0.3">
      <c r="A146">
        <v>20</v>
      </c>
      <c r="B146">
        <v>23</v>
      </c>
      <c r="C146">
        <v>3</v>
      </c>
      <c r="D146">
        <v>18</v>
      </c>
      <c r="E146">
        <v>1</v>
      </c>
      <c r="F146">
        <v>0</v>
      </c>
      <c r="G146">
        <v>11</v>
      </c>
      <c r="H146" t="s">
        <v>20</v>
      </c>
      <c r="I146" t="s">
        <v>110</v>
      </c>
      <c r="J146">
        <v>634</v>
      </c>
      <c r="K146" s="3">
        <v>9.1</v>
      </c>
      <c r="L146">
        <v>5769.4</v>
      </c>
    </row>
    <row r="147" spans="1:12" x14ac:dyDescent="0.3">
      <c r="A147">
        <v>20</v>
      </c>
      <c r="B147">
        <v>23</v>
      </c>
      <c r="C147">
        <v>2</v>
      </c>
      <c r="D147">
        <v>8</v>
      </c>
      <c r="E147">
        <v>1</v>
      </c>
      <c r="F147">
        <v>0</v>
      </c>
      <c r="G147">
        <v>12</v>
      </c>
      <c r="H147" t="s">
        <v>25</v>
      </c>
      <c r="I147" t="s">
        <v>80</v>
      </c>
      <c r="J147">
        <v>632</v>
      </c>
      <c r="K147" s="3">
        <v>8.1</v>
      </c>
      <c r="L147">
        <v>5119.2</v>
      </c>
    </row>
    <row r="148" spans="1:12" x14ac:dyDescent="0.3">
      <c r="A148">
        <v>22</v>
      </c>
      <c r="B148">
        <v>23</v>
      </c>
      <c r="C148">
        <v>2</v>
      </c>
      <c r="D148">
        <v>8</v>
      </c>
      <c r="E148">
        <v>1</v>
      </c>
      <c r="F148">
        <v>0</v>
      </c>
      <c r="G148">
        <v>1</v>
      </c>
      <c r="H148" t="s">
        <v>21</v>
      </c>
      <c r="I148" t="s">
        <v>106</v>
      </c>
      <c r="J148">
        <v>658</v>
      </c>
      <c r="K148" s="3">
        <v>8.6999999999999993</v>
      </c>
      <c r="L148">
        <v>5724.5999999999904</v>
      </c>
    </row>
    <row r="149" spans="1:12" x14ac:dyDescent="0.3">
      <c r="A149">
        <v>17</v>
      </c>
      <c r="B149">
        <v>22</v>
      </c>
      <c r="C149">
        <v>0</v>
      </c>
      <c r="D149">
        <v>16</v>
      </c>
      <c r="E149">
        <v>12</v>
      </c>
      <c r="F149">
        <v>0</v>
      </c>
      <c r="G149">
        <v>6</v>
      </c>
      <c r="H149" t="s">
        <v>36</v>
      </c>
      <c r="I149" t="s">
        <v>82</v>
      </c>
      <c r="J149" t="s">
        <v>143</v>
      </c>
      <c r="K149" s="3">
        <v>8.8000000000000007</v>
      </c>
      <c r="L149">
        <v>4558.3999999999996</v>
      </c>
    </row>
    <row r="150" spans="1:12" x14ac:dyDescent="0.3">
      <c r="A150">
        <v>11</v>
      </c>
      <c r="B150">
        <v>22</v>
      </c>
      <c r="C150">
        <v>3</v>
      </c>
      <c r="D150">
        <v>19</v>
      </c>
      <c r="E150">
        <v>1</v>
      </c>
      <c r="F150">
        <v>0</v>
      </c>
      <c r="G150">
        <v>2</v>
      </c>
      <c r="H150" t="s">
        <v>30</v>
      </c>
      <c r="I150" t="s">
        <v>86</v>
      </c>
      <c r="J150">
        <v>536</v>
      </c>
      <c r="K150" s="3">
        <v>9.1999999999999993</v>
      </c>
      <c r="L150">
        <v>4931.2</v>
      </c>
    </row>
    <row r="151" spans="1:12" x14ac:dyDescent="0.3">
      <c r="A151">
        <v>6</v>
      </c>
      <c r="B151">
        <v>19</v>
      </c>
      <c r="C151">
        <v>1</v>
      </c>
      <c r="D151">
        <v>0</v>
      </c>
      <c r="E151">
        <v>1</v>
      </c>
      <c r="F151">
        <v>0</v>
      </c>
      <c r="G151">
        <v>8</v>
      </c>
      <c r="H151" t="s">
        <v>32</v>
      </c>
      <c r="I151" t="s">
        <v>77</v>
      </c>
      <c r="J151">
        <v>340</v>
      </c>
      <c r="K151" s="3">
        <v>7.6</v>
      </c>
      <c r="L151">
        <v>0</v>
      </c>
    </row>
    <row r="152" spans="1:12" x14ac:dyDescent="0.3">
      <c r="A152">
        <v>5</v>
      </c>
      <c r="B152">
        <v>0</v>
      </c>
      <c r="C152">
        <v>3</v>
      </c>
      <c r="D152">
        <v>14</v>
      </c>
      <c r="E152">
        <v>7</v>
      </c>
      <c r="F152">
        <v>0</v>
      </c>
      <c r="G152">
        <v>8</v>
      </c>
      <c r="H152" t="s">
        <v>16</v>
      </c>
      <c r="I152" t="s">
        <v>78</v>
      </c>
      <c r="J152">
        <v>0</v>
      </c>
      <c r="K152" s="3">
        <v>8.9</v>
      </c>
      <c r="L152">
        <v>4325.3999999999996</v>
      </c>
    </row>
    <row r="153" spans="1:12" x14ac:dyDescent="0.3">
      <c r="A153">
        <v>11</v>
      </c>
      <c r="B153">
        <v>22</v>
      </c>
      <c r="C153">
        <v>0</v>
      </c>
      <c r="D153">
        <v>5</v>
      </c>
      <c r="E153">
        <v>1</v>
      </c>
      <c r="F153">
        <v>0</v>
      </c>
      <c r="G153">
        <v>11</v>
      </c>
      <c r="H153" t="s">
        <v>25</v>
      </c>
      <c r="I153" t="s">
        <v>368</v>
      </c>
      <c r="J153">
        <v>236</v>
      </c>
      <c r="K153" s="3">
        <v>8.1</v>
      </c>
      <c r="L153">
        <v>1911.6</v>
      </c>
    </row>
    <row r="154" spans="1:12" x14ac:dyDescent="0.3">
      <c r="A154">
        <v>20</v>
      </c>
      <c r="B154">
        <v>23</v>
      </c>
      <c r="C154">
        <v>2</v>
      </c>
      <c r="D154">
        <v>21</v>
      </c>
      <c r="E154">
        <v>12</v>
      </c>
      <c r="F154">
        <v>0</v>
      </c>
      <c r="G154">
        <v>0</v>
      </c>
      <c r="H154" t="s">
        <v>50</v>
      </c>
      <c r="I154" t="s">
        <v>90</v>
      </c>
      <c r="J154">
        <v>780</v>
      </c>
      <c r="K154" s="3">
        <v>9.3000000000000007</v>
      </c>
      <c r="L154">
        <v>7254</v>
      </c>
    </row>
    <row r="155" spans="1:12" x14ac:dyDescent="0.3">
      <c r="A155">
        <v>11</v>
      </c>
      <c r="B155">
        <v>22</v>
      </c>
      <c r="C155">
        <v>2</v>
      </c>
      <c r="D155">
        <v>14</v>
      </c>
      <c r="E155">
        <v>1</v>
      </c>
      <c r="F155">
        <v>0</v>
      </c>
      <c r="G155">
        <v>3</v>
      </c>
      <c r="H155" t="s">
        <v>51</v>
      </c>
      <c r="I155" t="s">
        <v>98</v>
      </c>
      <c r="J155">
        <v>394</v>
      </c>
      <c r="K155" s="3">
        <v>0</v>
      </c>
      <c r="L155">
        <v>3467.2</v>
      </c>
    </row>
    <row r="156" spans="1:12" x14ac:dyDescent="0.3">
      <c r="A156">
        <v>17</v>
      </c>
      <c r="B156">
        <v>0</v>
      </c>
      <c r="C156">
        <v>2</v>
      </c>
      <c r="D156">
        <v>0</v>
      </c>
      <c r="E156">
        <v>1</v>
      </c>
      <c r="F156">
        <v>0</v>
      </c>
      <c r="G156">
        <v>7</v>
      </c>
      <c r="H156" t="s">
        <v>38</v>
      </c>
      <c r="I156" t="s">
        <v>106</v>
      </c>
      <c r="J156">
        <v>413</v>
      </c>
      <c r="K156" s="3">
        <v>7.4</v>
      </c>
      <c r="L156">
        <v>3056.2</v>
      </c>
    </row>
    <row r="157" spans="1:12" x14ac:dyDescent="0.3">
      <c r="A157">
        <v>14</v>
      </c>
      <c r="B157">
        <v>23</v>
      </c>
      <c r="C157">
        <v>0</v>
      </c>
      <c r="D157">
        <v>15</v>
      </c>
      <c r="E157">
        <v>1</v>
      </c>
      <c r="F157">
        <v>0</v>
      </c>
      <c r="G157">
        <v>1</v>
      </c>
      <c r="H157" t="s">
        <v>21</v>
      </c>
      <c r="I157" t="s">
        <v>107</v>
      </c>
      <c r="J157">
        <v>413</v>
      </c>
      <c r="K157" s="3">
        <v>8.6999999999999993</v>
      </c>
      <c r="L157">
        <v>3593.1</v>
      </c>
    </row>
    <row r="158" spans="1:12" x14ac:dyDescent="0.3">
      <c r="A158">
        <v>16</v>
      </c>
      <c r="B158">
        <v>22</v>
      </c>
      <c r="C158">
        <v>2</v>
      </c>
      <c r="D158">
        <v>3</v>
      </c>
      <c r="E158">
        <v>1</v>
      </c>
      <c r="F158">
        <v>0</v>
      </c>
      <c r="G158">
        <v>10</v>
      </c>
      <c r="H158" t="s">
        <v>52</v>
      </c>
      <c r="I158" t="s">
        <v>73</v>
      </c>
      <c r="J158">
        <v>337</v>
      </c>
      <c r="K158" s="3">
        <v>9.3000000000000007</v>
      </c>
      <c r="L158">
        <v>3134.1</v>
      </c>
    </row>
    <row r="159" spans="1:12" x14ac:dyDescent="0.3">
      <c r="A159">
        <v>18</v>
      </c>
      <c r="B159">
        <v>22</v>
      </c>
      <c r="C159">
        <v>1</v>
      </c>
      <c r="D159">
        <v>19</v>
      </c>
      <c r="E159">
        <v>1</v>
      </c>
      <c r="F159">
        <v>0</v>
      </c>
      <c r="G159">
        <v>3</v>
      </c>
      <c r="H159" t="s">
        <v>13</v>
      </c>
      <c r="I159" t="s">
        <v>75</v>
      </c>
      <c r="J159">
        <v>546</v>
      </c>
      <c r="K159" s="3">
        <v>8.3000000000000007</v>
      </c>
      <c r="L159">
        <v>4531.8</v>
      </c>
    </row>
    <row r="160" spans="1:12" x14ac:dyDescent="0.3">
      <c r="A160">
        <v>13</v>
      </c>
      <c r="B160">
        <v>23</v>
      </c>
      <c r="C160">
        <v>3</v>
      </c>
      <c r="D160">
        <v>6</v>
      </c>
      <c r="E160">
        <v>1</v>
      </c>
      <c r="F160">
        <v>0</v>
      </c>
      <c r="G160">
        <v>4</v>
      </c>
      <c r="H160" t="s">
        <v>38</v>
      </c>
      <c r="I160" t="s">
        <v>92</v>
      </c>
      <c r="J160">
        <v>536</v>
      </c>
      <c r="K160" s="3">
        <v>7.4</v>
      </c>
      <c r="L160">
        <v>3966.4</v>
      </c>
    </row>
    <row r="161" spans="1:12" x14ac:dyDescent="0.3">
      <c r="A161">
        <v>5</v>
      </c>
      <c r="B161">
        <v>22</v>
      </c>
      <c r="C161">
        <v>2</v>
      </c>
      <c r="D161">
        <v>4</v>
      </c>
      <c r="E161">
        <v>1</v>
      </c>
      <c r="F161">
        <v>0</v>
      </c>
      <c r="G161">
        <v>11</v>
      </c>
      <c r="H161" t="s">
        <v>23</v>
      </c>
      <c r="I161" t="s">
        <v>84</v>
      </c>
      <c r="J161">
        <v>253</v>
      </c>
      <c r="K161" s="3">
        <v>8.4</v>
      </c>
      <c r="L161">
        <v>2125.1999999999998</v>
      </c>
    </row>
    <row r="162" spans="1:12" x14ac:dyDescent="0.3">
      <c r="A162">
        <v>10</v>
      </c>
      <c r="B162">
        <v>20</v>
      </c>
      <c r="C162">
        <v>3</v>
      </c>
      <c r="D162">
        <v>12</v>
      </c>
      <c r="E162">
        <v>1</v>
      </c>
      <c r="F162">
        <v>0</v>
      </c>
      <c r="G162">
        <v>1</v>
      </c>
      <c r="H162" t="s">
        <v>15</v>
      </c>
      <c r="I162" t="s">
        <v>85</v>
      </c>
      <c r="J162">
        <v>387</v>
      </c>
      <c r="K162" s="3">
        <v>8.3000000000000007</v>
      </c>
      <c r="L162">
        <v>0</v>
      </c>
    </row>
    <row r="163" spans="1:12" x14ac:dyDescent="0.3">
      <c r="A163">
        <v>17</v>
      </c>
      <c r="B163">
        <v>22</v>
      </c>
      <c r="C163">
        <v>1</v>
      </c>
      <c r="D163">
        <v>10</v>
      </c>
      <c r="E163">
        <v>1</v>
      </c>
      <c r="F163">
        <v>0</v>
      </c>
      <c r="G163">
        <v>4</v>
      </c>
      <c r="H163" t="s">
        <v>369</v>
      </c>
      <c r="I163" t="s">
        <v>96</v>
      </c>
      <c r="J163">
        <v>556</v>
      </c>
      <c r="K163" s="3">
        <v>7.8</v>
      </c>
      <c r="L163">
        <v>4336.8</v>
      </c>
    </row>
    <row r="164" spans="1:12" x14ac:dyDescent="0.3">
      <c r="A164">
        <v>7</v>
      </c>
      <c r="B164">
        <v>0</v>
      </c>
      <c r="C164">
        <v>2</v>
      </c>
      <c r="D164">
        <v>17</v>
      </c>
      <c r="E164">
        <v>1</v>
      </c>
      <c r="F164">
        <v>0</v>
      </c>
      <c r="G164">
        <v>2</v>
      </c>
      <c r="H164" t="s">
        <v>23</v>
      </c>
      <c r="I164" t="s">
        <v>368</v>
      </c>
      <c r="J164">
        <v>480</v>
      </c>
      <c r="K164" s="3">
        <v>8.4</v>
      </c>
      <c r="L164">
        <v>4032</v>
      </c>
    </row>
    <row r="165" spans="1:12" x14ac:dyDescent="0.3">
      <c r="A165">
        <v>0</v>
      </c>
      <c r="B165">
        <v>23</v>
      </c>
      <c r="C165">
        <v>3</v>
      </c>
      <c r="D165">
        <v>0</v>
      </c>
      <c r="E165">
        <v>12</v>
      </c>
      <c r="F165">
        <v>0</v>
      </c>
      <c r="G165">
        <v>8</v>
      </c>
      <c r="H165" t="s">
        <v>26</v>
      </c>
      <c r="I165" t="s">
        <v>106</v>
      </c>
      <c r="J165">
        <v>690</v>
      </c>
      <c r="K165" s="3">
        <v>8.5</v>
      </c>
      <c r="L165">
        <v>5865</v>
      </c>
    </row>
    <row r="166" spans="1:12" x14ac:dyDescent="0.3">
      <c r="A166">
        <v>9</v>
      </c>
      <c r="B166">
        <v>22</v>
      </c>
      <c r="C166">
        <v>2</v>
      </c>
      <c r="D166">
        <v>0</v>
      </c>
      <c r="E166">
        <v>1</v>
      </c>
      <c r="F166">
        <v>0</v>
      </c>
      <c r="G166">
        <v>1</v>
      </c>
      <c r="H166" t="s">
        <v>32</v>
      </c>
      <c r="I166" t="s">
        <v>91</v>
      </c>
      <c r="J166">
        <v>504</v>
      </c>
      <c r="K166" s="3">
        <v>7.6</v>
      </c>
      <c r="L166">
        <v>3830.3999999999901</v>
      </c>
    </row>
    <row r="167" spans="1:12" x14ac:dyDescent="0.3">
      <c r="A167">
        <v>14</v>
      </c>
      <c r="B167">
        <v>22</v>
      </c>
      <c r="C167">
        <v>1</v>
      </c>
      <c r="D167">
        <v>10</v>
      </c>
      <c r="E167">
        <v>1</v>
      </c>
      <c r="F167">
        <v>0</v>
      </c>
      <c r="G167">
        <v>2</v>
      </c>
      <c r="H167" t="s">
        <v>15</v>
      </c>
      <c r="I167" t="s">
        <v>111</v>
      </c>
      <c r="J167">
        <v>429</v>
      </c>
      <c r="K167" s="3">
        <v>8.3000000000000007</v>
      </c>
      <c r="L167">
        <v>3560.7</v>
      </c>
    </row>
    <row r="168" spans="1:12" x14ac:dyDescent="0.3">
      <c r="A168">
        <v>5</v>
      </c>
      <c r="B168">
        <v>20</v>
      </c>
      <c r="C168">
        <v>1</v>
      </c>
      <c r="D168">
        <v>18</v>
      </c>
      <c r="E168">
        <v>1</v>
      </c>
      <c r="F168">
        <v>0</v>
      </c>
      <c r="G168">
        <v>3</v>
      </c>
      <c r="H168" t="s">
        <v>38</v>
      </c>
      <c r="I168" t="s">
        <v>90</v>
      </c>
      <c r="J168">
        <v>532</v>
      </c>
      <c r="K168" s="3">
        <v>7.4</v>
      </c>
      <c r="L168">
        <v>3936.8</v>
      </c>
    </row>
    <row r="169" spans="1:12" x14ac:dyDescent="0.3">
      <c r="A169">
        <v>17</v>
      </c>
      <c r="B169">
        <v>22</v>
      </c>
      <c r="C169">
        <v>2</v>
      </c>
      <c r="D169">
        <v>15</v>
      </c>
      <c r="E169">
        <v>12</v>
      </c>
      <c r="F169">
        <v>0</v>
      </c>
      <c r="G169">
        <v>12</v>
      </c>
      <c r="H169" t="s">
        <v>26</v>
      </c>
      <c r="I169" t="s">
        <v>88</v>
      </c>
      <c r="J169">
        <v>584</v>
      </c>
      <c r="K169" s="3">
        <v>8.5</v>
      </c>
      <c r="L169">
        <v>4964</v>
      </c>
    </row>
    <row r="170" spans="1:12" x14ac:dyDescent="0.3">
      <c r="A170">
        <v>7</v>
      </c>
      <c r="B170">
        <v>21</v>
      </c>
      <c r="C170">
        <v>3</v>
      </c>
      <c r="D170">
        <v>22</v>
      </c>
      <c r="E170">
        <v>1</v>
      </c>
      <c r="F170">
        <v>0</v>
      </c>
      <c r="G170">
        <v>12</v>
      </c>
      <c r="H170" t="s">
        <v>24</v>
      </c>
      <c r="I170" t="s">
        <v>73</v>
      </c>
      <c r="J170">
        <v>675</v>
      </c>
      <c r="K170" s="3">
        <v>7.9</v>
      </c>
      <c r="L170">
        <v>5332.5</v>
      </c>
    </row>
    <row r="171" spans="1:12" x14ac:dyDescent="0.3">
      <c r="A171">
        <v>0</v>
      </c>
      <c r="B171">
        <v>23</v>
      </c>
      <c r="C171">
        <v>1</v>
      </c>
      <c r="D171">
        <v>0</v>
      </c>
      <c r="E171">
        <v>1</v>
      </c>
      <c r="F171">
        <v>0</v>
      </c>
      <c r="G171">
        <v>4</v>
      </c>
      <c r="H171" t="s">
        <v>16</v>
      </c>
      <c r="I171" t="s">
        <v>107</v>
      </c>
      <c r="J171">
        <v>643</v>
      </c>
      <c r="K171" s="3">
        <v>8.9</v>
      </c>
      <c r="L171">
        <v>5722.7</v>
      </c>
    </row>
    <row r="172" spans="1:12" x14ac:dyDescent="0.3">
      <c r="A172">
        <v>7</v>
      </c>
      <c r="B172">
        <v>20</v>
      </c>
      <c r="C172">
        <v>2</v>
      </c>
      <c r="D172">
        <v>22</v>
      </c>
      <c r="E172">
        <v>1</v>
      </c>
      <c r="F172">
        <v>0</v>
      </c>
      <c r="G172">
        <v>9</v>
      </c>
      <c r="H172" t="s">
        <v>20</v>
      </c>
      <c r="I172" t="s">
        <v>93</v>
      </c>
      <c r="J172">
        <v>522</v>
      </c>
      <c r="K172" s="3">
        <v>9.1</v>
      </c>
      <c r="L172">
        <v>4750.2</v>
      </c>
    </row>
    <row r="173" spans="1:12" x14ac:dyDescent="0.3">
      <c r="A173">
        <v>16</v>
      </c>
      <c r="B173">
        <v>23</v>
      </c>
      <c r="C173">
        <v>1</v>
      </c>
      <c r="D173">
        <v>15</v>
      </c>
      <c r="E173">
        <v>1</v>
      </c>
      <c r="F173">
        <v>0</v>
      </c>
      <c r="G173">
        <v>11</v>
      </c>
      <c r="H173" t="s">
        <v>22</v>
      </c>
      <c r="I173" t="s">
        <v>368</v>
      </c>
      <c r="J173">
        <v>657</v>
      </c>
      <c r="K173" s="3">
        <v>7.8</v>
      </c>
      <c r="L173">
        <v>5124.5999999999904</v>
      </c>
    </row>
    <row r="174" spans="1:12" x14ac:dyDescent="0.3">
      <c r="A174">
        <v>20</v>
      </c>
      <c r="B174">
        <v>23</v>
      </c>
      <c r="C174">
        <v>1</v>
      </c>
      <c r="D174">
        <v>20</v>
      </c>
      <c r="E174">
        <v>12</v>
      </c>
      <c r="F174">
        <v>0</v>
      </c>
      <c r="G174">
        <v>10</v>
      </c>
      <c r="H174" t="s">
        <v>32</v>
      </c>
      <c r="I174" t="s">
        <v>77</v>
      </c>
      <c r="J174">
        <v>845</v>
      </c>
      <c r="K174" s="3">
        <v>7.6</v>
      </c>
      <c r="L174">
        <v>6422</v>
      </c>
    </row>
    <row r="175" spans="1:12" x14ac:dyDescent="0.3">
      <c r="A175">
        <v>17</v>
      </c>
      <c r="B175">
        <v>23</v>
      </c>
      <c r="C175">
        <v>1</v>
      </c>
      <c r="D175">
        <v>14</v>
      </c>
      <c r="E175">
        <v>1</v>
      </c>
      <c r="F175">
        <v>0</v>
      </c>
      <c r="G175">
        <v>4</v>
      </c>
      <c r="H175" t="s">
        <v>18</v>
      </c>
      <c r="I175" t="s">
        <v>96</v>
      </c>
      <c r="J175">
        <v>388</v>
      </c>
      <c r="K175" s="3">
        <v>7.7</v>
      </c>
      <c r="L175">
        <v>2987.6</v>
      </c>
    </row>
    <row r="176" spans="1:12" x14ac:dyDescent="0.3">
      <c r="A176">
        <v>6</v>
      </c>
      <c r="B176">
        <v>23</v>
      </c>
      <c r="C176">
        <v>1</v>
      </c>
      <c r="D176">
        <v>12</v>
      </c>
      <c r="E176">
        <v>7</v>
      </c>
      <c r="F176">
        <v>0</v>
      </c>
      <c r="G176">
        <v>5</v>
      </c>
      <c r="H176" t="s">
        <v>24</v>
      </c>
      <c r="I176" t="s">
        <v>89</v>
      </c>
      <c r="J176">
        <v>649</v>
      </c>
      <c r="K176" s="3">
        <v>7.9</v>
      </c>
      <c r="L176">
        <v>5127.1000000000004</v>
      </c>
    </row>
    <row r="177" spans="1:12" x14ac:dyDescent="0.3">
      <c r="A177">
        <v>5</v>
      </c>
      <c r="B177">
        <v>0</v>
      </c>
      <c r="C177">
        <v>2</v>
      </c>
      <c r="D177">
        <v>16</v>
      </c>
      <c r="E177">
        <v>1</v>
      </c>
      <c r="F177">
        <v>0</v>
      </c>
      <c r="G177">
        <v>3</v>
      </c>
      <c r="H177" t="s">
        <v>50</v>
      </c>
      <c r="I177" t="s">
        <v>80</v>
      </c>
      <c r="J177">
        <v>398</v>
      </c>
      <c r="K177" s="3">
        <v>9.3000000000000007</v>
      </c>
      <c r="L177">
        <v>3701.4</v>
      </c>
    </row>
    <row r="178" spans="1:12" x14ac:dyDescent="0.3">
      <c r="A178">
        <v>8</v>
      </c>
      <c r="B178">
        <v>20</v>
      </c>
      <c r="C178">
        <v>3</v>
      </c>
      <c r="D178">
        <v>16</v>
      </c>
      <c r="E178">
        <v>1</v>
      </c>
      <c r="F178">
        <v>0</v>
      </c>
      <c r="G178">
        <v>12</v>
      </c>
      <c r="H178" t="s">
        <v>25</v>
      </c>
      <c r="I178" t="s">
        <v>112</v>
      </c>
      <c r="J178">
        <v>634</v>
      </c>
      <c r="K178" s="3">
        <v>8.1</v>
      </c>
      <c r="L178">
        <v>5135.3999999999996</v>
      </c>
    </row>
    <row r="179" spans="1:12" x14ac:dyDescent="0.3">
      <c r="A179">
        <v>20</v>
      </c>
      <c r="B179">
        <v>22</v>
      </c>
      <c r="C179">
        <v>1</v>
      </c>
      <c r="D179">
        <v>10</v>
      </c>
      <c r="E179">
        <v>1</v>
      </c>
      <c r="F179">
        <v>0</v>
      </c>
      <c r="G179">
        <v>11</v>
      </c>
      <c r="H179" t="s">
        <v>53</v>
      </c>
      <c r="I179" t="s">
        <v>92</v>
      </c>
      <c r="J179">
        <v>611</v>
      </c>
      <c r="K179" s="3">
        <v>7.7</v>
      </c>
      <c r="L179">
        <v>4704.7</v>
      </c>
    </row>
    <row r="180" spans="1:12" x14ac:dyDescent="0.3">
      <c r="A180">
        <v>16</v>
      </c>
      <c r="B180">
        <v>23</v>
      </c>
      <c r="C180">
        <v>3</v>
      </c>
      <c r="D180">
        <v>10</v>
      </c>
      <c r="E180">
        <v>1</v>
      </c>
      <c r="F180">
        <v>0</v>
      </c>
      <c r="G180">
        <v>2</v>
      </c>
      <c r="H180" t="s">
        <v>369</v>
      </c>
      <c r="I180" t="s">
        <v>70</v>
      </c>
      <c r="J180">
        <v>591</v>
      </c>
      <c r="K180" s="3">
        <v>9.1</v>
      </c>
      <c r="L180">
        <v>5378.0999999999904</v>
      </c>
    </row>
    <row r="181" spans="1:12" x14ac:dyDescent="0.3">
      <c r="A181">
        <v>22</v>
      </c>
      <c r="B181">
        <v>23</v>
      </c>
      <c r="C181">
        <v>0</v>
      </c>
      <c r="D181">
        <v>15</v>
      </c>
      <c r="E181">
        <v>12</v>
      </c>
      <c r="F181">
        <v>0</v>
      </c>
      <c r="G181">
        <v>11</v>
      </c>
      <c r="H181" t="s">
        <v>38</v>
      </c>
      <c r="I181" t="s">
        <v>89</v>
      </c>
      <c r="J181">
        <v>735</v>
      </c>
      <c r="K181" s="3">
        <v>7.4</v>
      </c>
      <c r="L181">
        <v>5439</v>
      </c>
    </row>
    <row r="182" spans="1:12" x14ac:dyDescent="0.3">
      <c r="A182">
        <v>23</v>
      </c>
      <c r="B182">
        <v>22</v>
      </c>
      <c r="C182">
        <v>1</v>
      </c>
      <c r="D182">
        <v>10</v>
      </c>
      <c r="E182">
        <v>1</v>
      </c>
      <c r="F182">
        <v>0</v>
      </c>
      <c r="G182">
        <v>3</v>
      </c>
      <c r="H182" t="s">
        <v>17</v>
      </c>
      <c r="I182" t="s">
        <v>91</v>
      </c>
      <c r="J182">
        <v>449</v>
      </c>
      <c r="K182" s="3">
        <v>8.6999999999999993</v>
      </c>
      <c r="L182">
        <v>3906.2999999999902</v>
      </c>
    </row>
    <row r="183" spans="1:12" x14ac:dyDescent="0.3">
      <c r="A183">
        <v>13</v>
      </c>
      <c r="B183">
        <v>0</v>
      </c>
      <c r="C183">
        <v>0</v>
      </c>
      <c r="D183">
        <v>11</v>
      </c>
      <c r="E183">
        <v>1</v>
      </c>
      <c r="F183">
        <v>0</v>
      </c>
      <c r="G183">
        <v>1</v>
      </c>
      <c r="H183" t="s">
        <v>16</v>
      </c>
      <c r="I183" t="s">
        <v>89</v>
      </c>
      <c r="J183">
        <v>396</v>
      </c>
      <c r="K183" s="3">
        <v>8.9</v>
      </c>
      <c r="L183">
        <v>3524.4</v>
      </c>
    </row>
    <row r="184" spans="1:12" x14ac:dyDescent="0.3">
      <c r="A184">
        <v>18</v>
      </c>
      <c r="B184">
        <v>23</v>
      </c>
      <c r="C184">
        <v>0</v>
      </c>
      <c r="D184">
        <v>13</v>
      </c>
      <c r="E184">
        <v>1</v>
      </c>
      <c r="F184">
        <v>0</v>
      </c>
      <c r="G184">
        <v>4</v>
      </c>
      <c r="H184" t="s">
        <v>25</v>
      </c>
      <c r="I184" t="s">
        <v>79</v>
      </c>
      <c r="J184">
        <v>420</v>
      </c>
      <c r="K184" s="3">
        <v>8.1</v>
      </c>
      <c r="L184">
        <v>3402</v>
      </c>
    </row>
    <row r="185" spans="1:12" x14ac:dyDescent="0.3">
      <c r="A185">
        <v>22</v>
      </c>
      <c r="B185">
        <v>22</v>
      </c>
      <c r="C185">
        <v>0</v>
      </c>
      <c r="D185">
        <v>15</v>
      </c>
      <c r="E185">
        <v>1</v>
      </c>
      <c r="F185">
        <v>0</v>
      </c>
      <c r="G185">
        <v>3</v>
      </c>
      <c r="H185" t="s">
        <v>22</v>
      </c>
      <c r="I185" t="s">
        <v>72</v>
      </c>
      <c r="J185">
        <v>592</v>
      </c>
      <c r="K185" s="3">
        <v>7.8</v>
      </c>
      <c r="L185">
        <v>4617.5999999999904</v>
      </c>
    </row>
    <row r="186" spans="1:12" x14ac:dyDescent="0.3">
      <c r="A186">
        <v>6</v>
      </c>
      <c r="B186">
        <v>17</v>
      </c>
      <c r="C186">
        <v>2</v>
      </c>
      <c r="D186">
        <v>14</v>
      </c>
      <c r="E186">
        <v>1</v>
      </c>
      <c r="F186">
        <v>0</v>
      </c>
      <c r="G186">
        <v>7</v>
      </c>
      <c r="H186" t="s">
        <v>25</v>
      </c>
      <c r="I186" t="s">
        <v>87</v>
      </c>
      <c r="J186">
        <v>395</v>
      </c>
      <c r="K186" s="3">
        <v>8.1</v>
      </c>
      <c r="L186">
        <v>3199.5</v>
      </c>
    </row>
    <row r="187" spans="1:12" x14ac:dyDescent="0.3">
      <c r="A187">
        <v>8</v>
      </c>
      <c r="B187">
        <v>0</v>
      </c>
      <c r="C187">
        <v>2</v>
      </c>
      <c r="D187">
        <v>20</v>
      </c>
      <c r="E187">
        <v>1</v>
      </c>
      <c r="F187">
        <v>0</v>
      </c>
      <c r="G187">
        <v>3</v>
      </c>
      <c r="H187" t="s">
        <v>33</v>
      </c>
      <c r="I187" t="s">
        <v>72</v>
      </c>
      <c r="J187">
        <v>522</v>
      </c>
      <c r="K187" s="3">
        <v>9.3000000000000007</v>
      </c>
      <c r="L187">
        <v>4854.6000000000004</v>
      </c>
    </row>
    <row r="188" spans="1:12" x14ac:dyDescent="0.3">
      <c r="A188">
        <v>10</v>
      </c>
      <c r="B188">
        <v>0</v>
      </c>
      <c r="C188">
        <v>3</v>
      </c>
      <c r="D188">
        <v>5</v>
      </c>
      <c r="E188">
        <v>1</v>
      </c>
      <c r="F188">
        <v>0</v>
      </c>
      <c r="G188">
        <v>1</v>
      </c>
      <c r="H188" t="s">
        <v>18</v>
      </c>
      <c r="I188" t="s">
        <v>83</v>
      </c>
      <c r="J188">
        <v>403</v>
      </c>
      <c r="K188" s="3">
        <v>7.7</v>
      </c>
      <c r="L188">
        <v>3103.1</v>
      </c>
    </row>
    <row r="189" spans="1:12" x14ac:dyDescent="0.3">
      <c r="A189">
        <v>10</v>
      </c>
      <c r="B189">
        <v>20</v>
      </c>
      <c r="C189">
        <v>3</v>
      </c>
      <c r="D189">
        <v>21</v>
      </c>
      <c r="E189">
        <v>7</v>
      </c>
      <c r="F189">
        <v>0</v>
      </c>
      <c r="G189">
        <v>4</v>
      </c>
      <c r="H189" t="s">
        <v>21</v>
      </c>
      <c r="I189" t="s">
        <v>105</v>
      </c>
      <c r="J189">
        <v>634</v>
      </c>
      <c r="K189" s="3">
        <v>8.6999999999999993</v>
      </c>
      <c r="L189">
        <v>5515.7999999999902</v>
      </c>
    </row>
    <row r="190" spans="1:12" x14ac:dyDescent="0.3">
      <c r="A190">
        <v>23</v>
      </c>
      <c r="B190">
        <v>23</v>
      </c>
      <c r="C190">
        <v>3</v>
      </c>
      <c r="D190">
        <v>11</v>
      </c>
      <c r="E190">
        <v>1</v>
      </c>
      <c r="F190">
        <v>0</v>
      </c>
      <c r="G190">
        <v>8</v>
      </c>
      <c r="H190" t="s">
        <v>18</v>
      </c>
      <c r="I190" t="s">
        <v>88</v>
      </c>
      <c r="J190">
        <v>611</v>
      </c>
      <c r="K190" s="3">
        <v>7.7</v>
      </c>
      <c r="L190">
        <v>4704.7</v>
      </c>
    </row>
    <row r="191" spans="1:12" x14ac:dyDescent="0.3">
      <c r="A191">
        <v>12</v>
      </c>
      <c r="B191">
        <v>23</v>
      </c>
      <c r="C191">
        <v>0</v>
      </c>
      <c r="D191">
        <v>15</v>
      </c>
      <c r="E191">
        <v>1</v>
      </c>
      <c r="F191">
        <v>0</v>
      </c>
      <c r="G191">
        <v>3</v>
      </c>
      <c r="H191" t="s">
        <v>36</v>
      </c>
      <c r="I191" t="s">
        <v>92</v>
      </c>
      <c r="J191">
        <v>475</v>
      </c>
      <c r="K191" s="3">
        <v>8.8000000000000007</v>
      </c>
      <c r="L191">
        <v>4180</v>
      </c>
    </row>
    <row r="192" spans="1:12" x14ac:dyDescent="0.3">
      <c r="A192">
        <v>15</v>
      </c>
      <c r="B192">
        <v>23</v>
      </c>
      <c r="C192">
        <v>2</v>
      </c>
      <c r="D192">
        <v>18</v>
      </c>
      <c r="E192">
        <v>12</v>
      </c>
      <c r="F192">
        <v>0</v>
      </c>
      <c r="G192">
        <v>6</v>
      </c>
      <c r="H192" t="s">
        <v>22</v>
      </c>
      <c r="I192" t="s">
        <v>105</v>
      </c>
      <c r="J192">
        <v>544</v>
      </c>
      <c r="K192" s="3">
        <v>7.8</v>
      </c>
      <c r="L192">
        <v>4243.2</v>
      </c>
    </row>
    <row r="193" spans="1:12" x14ac:dyDescent="0.3">
      <c r="A193">
        <v>20</v>
      </c>
      <c r="B193">
        <v>22</v>
      </c>
      <c r="C193">
        <v>1</v>
      </c>
      <c r="D193">
        <v>4</v>
      </c>
      <c r="E193">
        <v>1</v>
      </c>
      <c r="F193">
        <v>0</v>
      </c>
      <c r="G193">
        <v>0</v>
      </c>
      <c r="H193" t="s">
        <v>38</v>
      </c>
      <c r="I193" t="s">
        <v>93</v>
      </c>
      <c r="J193">
        <v>337</v>
      </c>
      <c r="K193" s="3">
        <v>7.4</v>
      </c>
      <c r="L193">
        <v>2493.8000000000002</v>
      </c>
    </row>
    <row r="194" spans="1:12" x14ac:dyDescent="0.3">
      <c r="A194">
        <v>17</v>
      </c>
      <c r="B194">
        <v>22</v>
      </c>
      <c r="C194">
        <v>2</v>
      </c>
      <c r="D194">
        <v>4</v>
      </c>
      <c r="E194">
        <v>12</v>
      </c>
      <c r="F194">
        <v>0</v>
      </c>
      <c r="G194">
        <v>11</v>
      </c>
      <c r="H194" t="s">
        <v>33</v>
      </c>
      <c r="I194" t="s">
        <v>93</v>
      </c>
      <c r="J194">
        <v>564</v>
      </c>
      <c r="K194" s="3">
        <v>9.3000000000000007</v>
      </c>
      <c r="L194">
        <v>5245.2</v>
      </c>
    </row>
    <row r="195" spans="1:12" x14ac:dyDescent="0.3">
      <c r="A195">
        <v>11</v>
      </c>
      <c r="B195">
        <v>22</v>
      </c>
      <c r="C195">
        <v>3</v>
      </c>
      <c r="D195">
        <v>16</v>
      </c>
      <c r="E195">
        <v>12</v>
      </c>
      <c r="F195">
        <v>0</v>
      </c>
      <c r="G195">
        <v>12</v>
      </c>
      <c r="H195" t="s">
        <v>16</v>
      </c>
      <c r="I195" t="s">
        <v>82</v>
      </c>
      <c r="J195">
        <v>638</v>
      </c>
      <c r="K195" s="3">
        <v>8.9</v>
      </c>
      <c r="L195">
        <v>5678.2</v>
      </c>
    </row>
    <row r="196" spans="1:12" x14ac:dyDescent="0.3">
      <c r="A196">
        <v>7</v>
      </c>
      <c r="B196">
        <v>21</v>
      </c>
      <c r="C196">
        <v>1</v>
      </c>
      <c r="D196">
        <v>22</v>
      </c>
      <c r="E196">
        <v>1</v>
      </c>
      <c r="F196">
        <v>0</v>
      </c>
      <c r="G196">
        <v>7</v>
      </c>
      <c r="H196" t="s">
        <v>36</v>
      </c>
      <c r="I196" t="s">
        <v>111</v>
      </c>
      <c r="J196">
        <v>485</v>
      </c>
      <c r="K196" s="3">
        <v>8.8000000000000007</v>
      </c>
      <c r="L196">
        <v>4268</v>
      </c>
    </row>
    <row r="197" spans="1:12" x14ac:dyDescent="0.3">
      <c r="A197">
        <v>5</v>
      </c>
      <c r="B197">
        <v>19</v>
      </c>
      <c r="C197">
        <v>0</v>
      </c>
      <c r="D197">
        <v>9</v>
      </c>
      <c r="E197">
        <v>1</v>
      </c>
      <c r="F197">
        <v>0</v>
      </c>
      <c r="G197">
        <v>1</v>
      </c>
      <c r="H197" t="s">
        <v>21</v>
      </c>
      <c r="I197" t="s">
        <v>93</v>
      </c>
      <c r="J197">
        <v>201</v>
      </c>
      <c r="K197" s="3">
        <v>8.6999999999999993</v>
      </c>
      <c r="L197">
        <v>0</v>
      </c>
    </row>
    <row r="198" spans="1:12" x14ac:dyDescent="0.3">
      <c r="A198">
        <v>10</v>
      </c>
      <c r="B198">
        <v>21</v>
      </c>
      <c r="C198">
        <v>0</v>
      </c>
      <c r="D198">
        <v>13</v>
      </c>
      <c r="E198">
        <v>1</v>
      </c>
      <c r="F198">
        <v>0</v>
      </c>
      <c r="G198">
        <v>10</v>
      </c>
      <c r="H198" t="s">
        <v>26</v>
      </c>
      <c r="I198" t="s">
        <v>113</v>
      </c>
      <c r="J198">
        <v>425</v>
      </c>
      <c r="K198" s="3">
        <v>8.5</v>
      </c>
      <c r="L198">
        <v>3612.5</v>
      </c>
    </row>
    <row r="199" spans="1:12" x14ac:dyDescent="0.3">
      <c r="A199">
        <v>14</v>
      </c>
      <c r="B199">
        <v>22</v>
      </c>
      <c r="C199">
        <v>0</v>
      </c>
      <c r="D199">
        <v>3</v>
      </c>
      <c r="E199">
        <v>1</v>
      </c>
      <c r="F199">
        <v>0</v>
      </c>
      <c r="G199">
        <v>9</v>
      </c>
      <c r="H199" t="s">
        <v>24</v>
      </c>
      <c r="I199" t="s">
        <v>72</v>
      </c>
      <c r="J199">
        <v>287</v>
      </c>
      <c r="K199" s="3">
        <v>7.9</v>
      </c>
      <c r="L199">
        <v>2267.3000000000002</v>
      </c>
    </row>
    <row r="200" spans="1:12" x14ac:dyDescent="0.3">
      <c r="A200">
        <v>14</v>
      </c>
      <c r="B200">
        <v>22</v>
      </c>
      <c r="C200">
        <v>3</v>
      </c>
      <c r="D200">
        <v>15</v>
      </c>
      <c r="E200">
        <v>1</v>
      </c>
      <c r="F200">
        <v>0</v>
      </c>
      <c r="G200">
        <v>4</v>
      </c>
      <c r="H200" t="s">
        <v>38</v>
      </c>
      <c r="I200" t="s">
        <v>72</v>
      </c>
      <c r="J200">
        <v>688</v>
      </c>
      <c r="K200" s="3">
        <v>7.4</v>
      </c>
      <c r="L200">
        <v>5091.2</v>
      </c>
    </row>
    <row r="201" spans="1:12" x14ac:dyDescent="0.3">
      <c r="A201">
        <v>23</v>
      </c>
      <c r="B201">
        <v>23</v>
      </c>
      <c r="C201">
        <v>2</v>
      </c>
      <c r="D201">
        <v>18</v>
      </c>
      <c r="E201">
        <v>1</v>
      </c>
      <c r="F201">
        <v>0</v>
      </c>
      <c r="G201">
        <v>4</v>
      </c>
      <c r="H201" t="s">
        <v>23</v>
      </c>
      <c r="I201" t="s">
        <v>114</v>
      </c>
      <c r="J201">
        <v>665</v>
      </c>
      <c r="K201" s="3">
        <v>8.4</v>
      </c>
      <c r="L201">
        <v>5586</v>
      </c>
    </row>
    <row r="202" spans="1:12" x14ac:dyDescent="0.3">
      <c r="A202">
        <v>20</v>
      </c>
      <c r="B202">
        <v>23</v>
      </c>
      <c r="C202">
        <v>1</v>
      </c>
      <c r="D202">
        <v>14</v>
      </c>
      <c r="E202">
        <v>1</v>
      </c>
      <c r="F202">
        <v>0</v>
      </c>
      <c r="G202">
        <v>11</v>
      </c>
      <c r="H202" t="s">
        <v>369</v>
      </c>
      <c r="I202" t="s">
        <v>89</v>
      </c>
      <c r="J202">
        <v>658</v>
      </c>
      <c r="K202" s="3">
        <v>7.7</v>
      </c>
      <c r="L202">
        <v>5066.6000000000004</v>
      </c>
    </row>
    <row r="203" spans="1:12" x14ac:dyDescent="0.3">
      <c r="A203">
        <v>20</v>
      </c>
      <c r="B203">
        <v>23</v>
      </c>
      <c r="C203">
        <v>1</v>
      </c>
      <c r="D203">
        <v>7</v>
      </c>
      <c r="E203">
        <v>12</v>
      </c>
      <c r="F203">
        <v>0</v>
      </c>
      <c r="G203">
        <v>11</v>
      </c>
      <c r="H203" t="s">
        <v>369</v>
      </c>
      <c r="I203" t="s">
        <v>87</v>
      </c>
      <c r="J203">
        <v>695</v>
      </c>
      <c r="K203" s="3">
        <v>9.3000000000000007</v>
      </c>
      <c r="L203">
        <v>6463.5</v>
      </c>
    </row>
    <row r="204" spans="1:12" x14ac:dyDescent="0.3">
      <c r="A204">
        <v>22</v>
      </c>
      <c r="B204">
        <v>23</v>
      </c>
      <c r="C204">
        <v>3</v>
      </c>
      <c r="D204">
        <v>14</v>
      </c>
      <c r="E204">
        <v>1</v>
      </c>
      <c r="F204">
        <v>0</v>
      </c>
      <c r="G204">
        <v>4</v>
      </c>
      <c r="H204" t="s">
        <v>23</v>
      </c>
      <c r="I204" t="s">
        <v>87</v>
      </c>
      <c r="J204">
        <v>566</v>
      </c>
      <c r="K204" s="3">
        <v>8.4</v>
      </c>
      <c r="L204">
        <v>4754.3999999999996</v>
      </c>
    </row>
    <row r="205" spans="1:12" x14ac:dyDescent="0.3">
      <c r="A205">
        <v>15</v>
      </c>
      <c r="B205">
        <v>23</v>
      </c>
      <c r="C205">
        <v>0</v>
      </c>
      <c r="D205">
        <v>14</v>
      </c>
      <c r="E205">
        <v>1</v>
      </c>
      <c r="F205">
        <v>0</v>
      </c>
      <c r="G205">
        <v>9</v>
      </c>
      <c r="H205" t="s">
        <v>369</v>
      </c>
      <c r="I205" t="s">
        <v>78</v>
      </c>
      <c r="J205">
        <v>679</v>
      </c>
      <c r="K205" s="3">
        <v>7.4</v>
      </c>
      <c r="L205">
        <v>5024.6000000000004</v>
      </c>
    </row>
    <row r="206" spans="1:12" x14ac:dyDescent="0.3">
      <c r="A206">
        <v>7</v>
      </c>
      <c r="B206">
        <v>18</v>
      </c>
      <c r="C206">
        <v>2</v>
      </c>
      <c r="D206">
        <v>19</v>
      </c>
      <c r="E206">
        <v>1</v>
      </c>
      <c r="F206">
        <v>0</v>
      </c>
      <c r="G206">
        <v>3</v>
      </c>
      <c r="H206" t="s">
        <v>52</v>
      </c>
      <c r="I206" t="s">
        <v>82</v>
      </c>
      <c r="J206">
        <v>486</v>
      </c>
      <c r="K206" s="3">
        <v>9.3000000000000007</v>
      </c>
      <c r="L206">
        <v>4519.8</v>
      </c>
    </row>
    <row r="207" spans="1:12" x14ac:dyDescent="0.3">
      <c r="A207">
        <v>17</v>
      </c>
      <c r="B207">
        <v>23</v>
      </c>
      <c r="C207">
        <v>1</v>
      </c>
      <c r="D207">
        <v>3</v>
      </c>
      <c r="E207">
        <v>1</v>
      </c>
      <c r="F207">
        <v>0</v>
      </c>
      <c r="G207">
        <v>9</v>
      </c>
      <c r="H207" t="s">
        <v>54</v>
      </c>
      <c r="I207" t="s">
        <v>74</v>
      </c>
      <c r="J207">
        <v>316</v>
      </c>
      <c r="K207" s="3">
        <v>9.1999999999999993</v>
      </c>
      <c r="L207">
        <v>2907.2</v>
      </c>
    </row>
    <row r="208" spans="1:12" x14ac:dyDescent="0.3">
      <c r="A208">
        <v>6</v>
      </c>
      <c r="B208">
        <v>22</v>
      </c>
      <c r="C208">
        <v>3</v>
      </c>
      <c r="D208">
        <v>9</v>
      </c>
      <c r="E208">
        <v>1</v>
      </c>
      <c r="F208">
        <v>0</v>
      </c>
      <c r="G208">
        <v>10</v>
      </c>
      <c r="H208" t="s">
        <v>35</v>
      </c>
      <c r="I208" t="s">
        <v>96</v>
      </c>
      <c r="J208">
        <v>544</v>
      </c>
      <c r="K208" s="3">
        <v>8.1999999999999993</v>
      </c>
      <c r="L208">
        <v>4460.7999999999902</v>
      </c>
    </row>
    <row r="209" spans="1:12" x14ac:dyDescent="0.3">
      <c r="A209">
        <v>20</v>
      </c>
      <c r="B209">
        <v>23</v>
      </c>
      <c r="C209">
        <v>2</v>
      </c>
      <c r="D209">
        <v>13</v>
      </c>
      <c r="E209">
        <v>1</v>
      </c>
      <c r="F209">
        <v>0</v>
      </c>
      <c r="G209">
        <v>6</v>
      </c>
      <c r="H209" t="s">
        <v>38</v>
      </c>
      <c r="I209" t="s">
        <v>91</v>
      </c>
      <c r="J209">
        <v>445</v>
      </c>
      <c r="K209" s="3">
        <v>7.4</v>
      </c>
      <c r="L209">
        <v>3293</v>
      </c>
    </row>
    <row r="210" spans="1:12" x14ac:dyDescent="0.3">
      <c r="A210">
        <v>10</v>
      </c>
      <c r="B210">
        <v>22</v>
      </c>
      <c r="C210">
        <v>3</v>
      </c>
      <c r="D210">
        <v>9</v>
      </c>
      <c r="E210">
        <v>1</v>
      </c>
      <c r="F210">
        <v>0</v>
      </c>
      <c r="G210">
        <v>12</v>
      </c>
      <c r="H210" t="s">
        <v>19</v>
      </c>
      <c r="I210" t="s">
        <v>368</v>
      </c>
      <c r="J210">
        <v>486</v>
      </c>
      <c r="K210" s="3">
        <v>8.9</v>
      </c>
      <c r="L210">
        <v>4325.3999999999996</v>
      </c>
    </row>
    <row r="211" spans="1:12" x14ac:dyDescent="0.3">
      <c r="A211">
        <v>18</v>
      </c>
      <c r="B211">
        <v>0</v>
      </c>
      <c r="C211">
        <v>3</v>
      </c>
      <c r="D211">
        <v>18</v>
      </c>
      <c r="E211">
        <v>1</v>
      </c>
      <c r="F211">
        <v>0</v>
      </c>
      <c r="G211">
        <v>0</v>
      </c>
      <c r="H211" t="s">
        <v>38</v>
      </c>
      <c r="I211" t="s">
        <v>106</v>
      </c>
      <c r="J211">
        <v>677</v>
      </c>
      <c r="K211" s="3">
        <v>7.4</v>
      </c>
      <c r="L211">
        <v>5009.8</v>
      </c>
    </row>
    <row r="212" spans="1:12" x14ac:dyDescent="0.3">
      <c r="A212">
        <v>16</v>
      </c>
      <c r="B212">
        <v>22</v>
      </c>
      <c r="C212">
        <v>0</v>
      </c>
      <c r="D212">
        <v>4</v>
      </c>
      <c r="E212">
        <v>1</v>
      </c>
      <c r="F212">
        <v>0</v>
      </c>
      <c r="G212">
        <v>6</v>
      </c>
      <c r="H212" t="s">
        <v>18</v>
      </c>
      <c r="I212" t="s">
        <v>70</v>
      </c>
      <c r="J212">
        <v>470</v>
      </c>
      <c r="K212" s="3">
        <v>7.7</v>
      </c>
      <c r="L212">
        <v>3619</v>
      </c>
    </row>
    <row r="213" spans="1:12" x14ac:dyDescent="0.3">
      <c r="A213">
        <v>19</v>
      </c>
      <c r="B213">
        <v>23</v>
      </c>
      <c r="C213">
        <v>1</v>
      </c>
      <c r="D213">
        <v>17</v>
      </c>
      <c r="E213">
        <v>12</v>
      </c>
      <c r="F213">
        <v>0</v>
      </c>
      <c r="G213">
        <v>2</v>
      </c>
      <c r="H213" t="s">
        <v>35</v>
      </c>
      <c r="I213" t="s">
        <v>87</v>
      </c>
      <c r="J213">
        <v>509</v>
      </c>
      <c r="K213" s="3">
        <v>8.1999999999999993</v>
      </c>
      <c r="L213">
        <v>4173.7999999999902</v>
      </c>
    </row>
    <row r="214" spans="1:12" x14ac:dyDescent="0.3">
      <c r="A214">
        <v>14</v>
      </c>
      <c r="B214">
        <v>23</v>
      </c>
      <c r="C214">
        <v>0</v>
      </c>
      <c r="D214">
        <v>17</v>
      </c>
      <c r="E214">
        <v>1</v>
      </c>
      <c r="F214">
        <v>0</v>
      </c>
      <c r="G214">
        <v>12</v>
      </c>
      <c r="H214" t="s">
        <v>52</v>
      </c>
      <c r="I214" t="s">
        <v>84</v>
      </c>
      <c r="J214">
        <v>602</v>
      </c>
      <c r="K214" s="3">
        <v>9.3000000000000007</v>
      </c>
      <c r="L214">
        <v>5598.6</v>
      </c>
    </row>
    <row r="215" spans="1:12" x14ac:dyDescent="0.3">
      <c r="A215">
        <v>16</v>
      </c>
      <c r="B215">
        <v>23</v>
      </c>
      <c r="C215">
        <v>0</v>
      </c>
      <c r="D215">
        <v>17</v>
      </c>
      <c r="E215">
        <v>1</v>
      </c>
      <c r="F215">
        <v>0</v>
      </c>
      <c r="G215">
        <v>7</v>
      </c>
      <c r="H215" t="s">
        <v>15</v>
      </c>
      <c r="I215" t="s">
        <v>94</v>
      </c>
      <c r="J215">
        <v>405</v>
      </c>
      <c r="K215" s="3">
        <v>8.3000000000000007</v>
      </c>
      <c r="L215">
        <v>3361.5</v>
      </c>
    </row>
    <row r="216" spans="1:12" x14ac:dyDescent="0.3">
      <c r="A216">
        <v>6</v>
      </c>
      <c r="B216">
        <v>19</v>
      </c>
      <c r="C216">
        <v>1</v>
      </c>
      <c r="D216">
        <v>0</v>
      </c>
      <c r="E216">
        <v>1</v>
      </c>
      <c r="F216">
        <v>0</v>
      </c>
      <c r="G216">
        <v>8</v>
      </c>
      <c r="H216" t="s">
        <v>40</v>
      </c>
      <c r="I216" t="s">
        <v>83</v>
      </c>
      <c r="J216">
        <v>420</v>
      </c>
      <c r="K216" s="3">
        <v>7.4</v>
      </c>
      <c r="L216">
        <v>3108</v>
      </c>
    </row>
    <row r="217" spans="1:12" x14ac:dyDescent="0.3">
      <c r="A217">
        <v>21</v>
      </c>
      <c r="B217">
        <v>23</v>
      </c>
      <c r="C217">
        <v>3</v>
      </c>
      <c r="D217">
        <v>4</v>
      </c>
      <c r="E217">
        <v>1</v>
      </c>
      <c r="F217">
        <v>0</v>
      </c>
      <c r="G217">
        <v>6</v>
      </c>
      <c r="H217" t="s">
        <v>26</v>
      </c>
      <c r="I217" t="s">
        <v>96</v>
      </c>
      <c r="J217">
        <v>490</v>
      </c>
      <c r="K217">
        <v>8.5</v>
      </c>
      <c r="L217">
        <v>4165</v>
      </c>
    </row>
    <row r="218" spans="1:12" x14ac:dyDescent="0.3">
      <c r="A218">
        <v>12</v>
      </c>
      <c r="B218">
        <v>0</v>
      </c>
      <c r="C218">
        <v>2</v>
      </c>
      <c r="D218">
        <v>22</v>
      </c>
      <c r="E218">
        <v>1</v>
      </c>
      <c r="F218">
        <v>0</v>
      </c>
      <c r="G218">
        <v>11</v>
      </c>
      <c r="H218" t="s">
        <v>369</v>
      </c>
      <c r="I218" t="s">
        <v>92</v>
      </c>
      <c r="J218">
        <v>588</v>
      </c>
      <c r="K218" s="3">
        <v>8.8000000000000007</v>
      </c>
      <c r="L218">
        <v>5174.3999999999996</v>
      </c>
    </row>
    <row r="219" spans="1:12" x14ac:dyDescent="0.3">
      <c r="A219">
        <v>15</v>
      </c>
      <c r="B219">
        <v>23</v>
      </c>
      <c r="C219">
        <v>1</v>
      </c>
      <c r="D219">
        <v>20</v>
      </c>
      <c r="E219">
        <v>12</v>
      </c>
      <c r="F219">
        <v>0</v>
      </c>
      <c r="G219">
        <v>2</v>
      </c>
      <c r="H219" t="s">
        <v>22</v>
      </c>
      <c r="I219" t="s">
        <v>109</v>
      </c>
      <c r="J219">
        <v>493</v>
      </c>
      <c r="K219" s="3">
        <v>7.8</v>
      </c>
      <c r="L219">
        <v>3845.4</v>
      </c>
    </row>
    <row r="220" spans="1:12" x14ac:dyDescent="0.3">
      <c r="A220">
        <v>9</v>
      </c>
      <c r="B220">
        <v>19</v>
      </c>
      <c r="C220">
        <v>3</v>
      </c>
      <c r="D220">
        <v>6</v>
      </c>
      <c r="E220">
        <v>1</v>
      </c>
      <c r="F220">
        <v>0</v>
      </c>
      <c r="G220">
        <v>3</v>
      </c>
      <c r="H220" t="s">
        <v>25</v>
      </c>
      <c r="I220" t="s">
        <v>88</v>
      </c>
      <c r="J220">
        <v>467</v>
      </c>
      <c r="K220" s="3">
        <v>8.1</v>
      </c>
      <c r="L220">
        <v>3782.7</v>
      </c>
    </row>
    <row r="221" spans="1:12" x14ac:dyDescent="0.3">
      <c r="A221">
        <v>19</v>
      </c>
      <c r="B221">
        <v>23</v>
      </c>
      <c r="C221">
        <v>3</v>
      </c>
      <c r="D221">
        <v>16</v>
      </c>
      <c r="E221">
        <v>12</v>
      </c>
      <c r="F221">
        <v>0</v>
      </c>
      <c r="G221">
        <v>7</v>
      </c>
      <c r="H221" t="s">
        <v>23</v>
      </c>
      <c r="I221" t="s">
        <v>115</v>
      </c>
      <c r="J221">
        <v>646</v>
      </c>
      <c r="K221" s="3">
        <v>8.4</v>
      </c>
      <c r="L221">
        <v>5426.4</v>
      </c>
    </row>
    <row r="222" spans="1:12" x14ac:dyDescent="0.3">
      <c r="A222">
        <v>6</v>
      </c>
      <c r="B222">
        <v>23</v>
      </c>
      <c r="C222">
        <v>0</v>
      </c>
      <c r="D222">
        <v>18</v>
      </c>
      <c r="E222">
        <v>1</v>
      </c>
      <c r="F222">
        <v>0</v>
      </c>
      <c r="G222">
        <v>2</v>
      </c>
      <c r="H222" t="s">
        <v>26</v>
      </c>
      <c r="I222" t="s">
        <v>72</v>
      </c>
      <c r="J222">
        <v>365</v>
      </c>
      <c r="K222" s="3">
        <v>8.5</v>
      </c>
      <c r="L222">
        <v>3102.5</v>
      </c>
    </row>
    <row r="223" spans="1:12" x14ac:dyDescent="0.3">
      <c r="A223">
        <v>9</v>
      </c>
      <c r="B223">
        <v>19</v>
      </c>
      <c r="C223">
        <v>0</v>
      </c>
      <c r="D223">
        <v>21</v>
      </c>
      <c r="E223">
        <v>1</v>
      </c>
      <c r="F223">
        <v>0</v>
      </c>
      <c r="G223">
        <v>4</v>
      </c>
      <c r="H223" t="s">
        <v>20</v>
      </c>
      <c r="I223" t="s">
        <v>116</v>
      </c>
      <c r="J223">
        <v>452</v>
      </c>
      <c r="K223" s="3">
        <v>9.1</v>
      </c>
      <c r="L223">
        <v>4113.2</v>
      </c>
    </row>
    <row r="224" spans="1:12" x14ac:dyDescent="0.3">
      <c r="A224">
        <v>8</v>
      </c>
      <c r="B224">
        <v>18</v>
      </c>
      <c r="C224">
        <v>0</v>
      </c>
      <c r="D224">
        <v>21</v>
      </c>
      <c r="E224">
        <v>1</v>
      </c>
      <c r="F224">
        <v>0</v>
      </c>
      <c r="G224">
        <v>8</v>
      </c>
      <c r="H224" t="s">
        <v>53</v>
      </c>
      <c r="I224" t="s">
        <v>80</v>
      </c>
      <c r="J224">
        <v>489</v>
      </c>
      <c r="K224" s="3">
        <v>7.7</v>
      </c>
      <c r="L224">
        <v>3765.3</v>
      </c>
    </row>
    <row r="225" spans="1:12" x14ac:dyDescent="0.3">
      <c r="A225">
        <v>16</v>
      </c>
      <c r="B225">
        <v>22</v>
      </c>
      <c r="C225">
        <v>3</v>
      </c>
      <c r="D225">
        <v>17</v>
      </c>
      <c r="E225">
        <v>1</v>
      </c>
      <c r="F225">
        <v>0</v>
      </c>
      <c r="G225">
        <v>0</v>
      </c>
      <c r="H225" t="s">
        <v>20</v>
      </c>
      <c r="I225" t="s">
        <v>71</v>
      </c>
      <c r="J225">
        <v>641</v>
      </c>
      <c r="K225" s="3">
        <v>9.1</v>
      </c>
      <c r="L225">
        <v>5833.0999999999904</v>
      </c>
    </row>
    <row r="226" spans="1:12" x14ac:dyDescent="0.3">
      <c r="A226">
        <v>6</v>
      </c>
      <c r="B226">
        <v>19</v>
      </c>
      <c r="C226">
        <v>1</v>
      </c>
      <c r="D226">
        <v>15</v>
      </c>
      <c r="E226">
        <v>1</v>
      </c>
      <c r="F226">
        <v>0</v>
      </c>
      <c r="G226">
        <v>8</v>
      </c>
      <c r="H226" t="s">
        <v>35</v>
      </c>
      <c r="I226" t="s">
        <v>106</v>
      </c>
      <c r="J226">
        <v>297</v>
      </c>
      <c r="K226" s="3">
        <v>8.1999999999999993</v>
      </c>
      <c r="L226">
        <v>2435.3999999999901</v>
      </c>
    </row>
    <row r="227" spans="1:12" x14ac:dyDescent="0.3">
      <c r="A227">
        <v>19</v>
      </c>
      <c r="B227">
        <v>23</v>
      </c>
      <c r="C227">
        <v>0</v>
      </c>
      <c r="D227">
        <v>22</v>
      </c>
      <c r="E227">
        <v>1</v>
      </c>
      <c r="F227">
        <v>0</v>
      </c>
      <c r="G227">
        <v>5</v>
      </c>
      <c r="H227" t="s">
        <v>21</v>
      </c>
      <c r="I227" t="s">
        <v>87</v>
      </c>
      <c r="J227">
        <v>594</v>
      </c>
      <c r="K227" s="3">
        <v>8.6999999999999993</v>
      </c>
      <c r="L227">
        <v>5167.7999999999902</v>
      </c>
    </row>
    <row r="228" spans="1:12" x14ac:dyDescent="0.3">
      <c r="A228">
        <v>18</v>
      </c>
      <c r="B228">
        <v>22</v>
      </c>
      <c r="C228">
        <v>2</v>
      </c>
      <c r="D228">
        <v>8</v>
      </c>
      <c r="E228">
        <v>1</v>
      </c>
      <c r="F228">
        <v>0</v>
      </c>
      <c r="G228">
        <v>5</v>
      </c>
      <c r="H228" t="s">
        <v>47</v>
      </c>
      <c r="I228" t="s">
        <v>72</v>
      </c>
      <c r="J228">
        <v>587</v>
      </c>
      <c r="K228" s="3">
        <v>9.1</v>
      </c>
      <c r="L228">
        <v>5341.7</v>
      </c>
    </row>
    <row r="229" spans="1:12" x14ac:dyDescent="0.3">
      <c r="A229">
        <v>5</v>
      </c>
      <c r="B229">
        <v>17</v>
      </c>
      <c r="C229">
        <v>3</v>
      </c>
      <c r="D229">
        <v>14</v>
      </c>
      <c r="E229">
        <v>1</v>
      </c>
      <c r="F229">
        <v>0</v>
      </c>
      <c r="G229">
        <v>10</v>
      </c>
      <c r="H229" t="s">
        <v>55</v>
      </c>
      <c r="I229" t="s">
        <v>89</v>
      </c>
      <c r="J229">
        <v>550</v>
      </c>
      <c r="K229" s="3">
        <v>7.8</v>
      </c>
      <c r="L229">
        <v>4290</v>
      </c>
    </row>
    <row r="230" spans="1:12" x14ac:dyDescent="0.3">
      <c r="A230">
        <v>14</v>
      </c>
      <c r="B230">
        <v>22</v>
      </c>
      <c r="C230">
        <v>0</v>
      </c>
      <c r="D230">
        <v>5</v>
      </c>
      <c r="E230">
        <v>0</v>
      </c>
      <c r="F230">
        <v>0</v>
      </c>
      <c r="G230">
        <v>3</v>
      </c>
      <c r="H230" t="s">
        <v>22</v>
      </c>
      <c r="I230" t="s">
        <v>117</v>
      </c>
      <c r="J230">
        <v>310</v>
      </c>
      <c r="K230" s="3">
        <v>7.8</v>
      </c>
      <c r="L230">
        <v>2418</v>
      </c>
    </row>
    <row r="231" spans="1:12" x14ac:dyDescent="0.3">
      <c r="A231">
        <v>9</v>
      </c>
      <c r="B231">
        <v>19</v>
      </c>
      <c r="C231">
        <v>0</v>
      </c>
      <c r="D231">
        <v>9</v>
      </c>
      <c r="E231">
        <v>1</v>
      </c>
      <c r="F231">
        <v>0</v>
      </c>
      <c r="G231">
        <v>8</v>
      </c>
      <c r="H231" t="s">
        <v>21</v>
      </c>
      <c r="I231" t="s">
        <v>78</v>
      </c>
      <c r="J231">
        <v>486</v>
      </c>
      <c r="K231" s="3">
        <v>8.6999999999999993</v>
      </c>
      <c r="L231">
        <v>4228.2</v>
      </c>
    </row>
    <row r="232" spans="1:12" x14ac:dyDescent="0.3">
      <c r="A232">
        <v>23</v>
      </c>
      <c r="B232">
        <v>22</v>
      </c>
      <c r="C232">
        <v>0</v>
      </c>
      <c r="D232">
        <v>10</v>
      </c>
      <c r="E232">
        <v>1</v>
      </c>
      <c r="F232">
        <v>0</v>
      </c>
      <c r="G232">
        <v>8</v>
      </c>
      <c r="H232" t="s">
        <v>18</v>
      </c>
      <c r="I232" t="s">
        <v>91</v>
      </c>
      <c r="J232">
        <v>466</v>
      </c>
      <c r="K232" s="3">
        <v>7.7</v>
      </c>
      <c r="L232">
        <v>0</v>
      </c>
    </row>
    <row r="233" spans="1:12" x14ac:dyDescent="0.3">
      <c r="A233">
        <v>7</v>
      </c>
      <c r="B233">
        <v>18</v>
      </c>
      <c r="C233">
        <v>1</v>
      </c>
      <c r="D233">
        <v>13</v>
      </c>
      <c r="E233">
        <v>1</v>
      </c>
      <c r="F233">
        <v>0</v>
      </c>
      <c r="G233">
        <v>1</v>
      </c>
      <c r="H233" t="s">
        <v>21</v>
      </c>
      <c r="I233" t="s">
        <v>94</v>
      </c>
      <c r="J233">
        <v>0</v>
      </c>
      <c r="K233" s="3">
        <v>8.6999999999999993</v>
      </c>
      <c r="L233">
        <v>4149.8999999999996</v>
      </c>
    </row>
    <row r="234" spans="1:12" x14ac:dyDescent="0.3">
      <c r="A234">
        <v>9</v>
      </c>
      <c r="B234">
        <v>23</v>
      </c>
      <c r="C234">
        <v>0</v>
      </c>
      <c r="D234">
        <v>11</v>
      </c>
      <c r="E234">
        <v>1</v>
      </c>
      <c r="F234">
        <v>0</v>
      </c>
      <c r="G234">
        <v>5</v>
      </c>
      <c r="H234" t="s">
        <v>24</v>
      </c>
      <c r="I234" t="s">
        <v>70</v>
      </c>
      <c r="J234">
        <v>557</v>
      </c>
      <c r="K234" s="3">
        <v>7.9</v>
      </c>
      <c r="L234">
        <v>4400.3</v>
      </c>
    </row>
    <row r="235" spans="1:12" x14ac:dyDescent="0.3">
      <c r="A235">
        <v>12</v>
      </c>
      <c r="B235">
        <v>23</v>
      </c>
      <c r="C235">
        <v>3</v>
      </c>
      <c r="D235">
        <v>19</v>
      </c>
      <c r="E235">
        <v>12</v>
      </c>
      <c r="F235">
        <v>0</v>
      </c>
      <c r="G235">
        <v>8</v>
      </c>
      <c r="H235" t="s">
        <v>35</v>
      </c>
      <c r="I235" t="s">
        <v>79</v>
      </c>
      <c r="J235">
        <v>646</v>
      </c>
      <c r="K235" s="3">
        <v>8.1999999999999993</v>
      </c>
      <c r="L235">
        <v>5297.2</v>
      </c>
    </row>
    <row r="236" spans="1:12" x14ac:dyDescent="0.3">
      <c r="A236">
        <v>6</v>
      </c>
      <c r="B236">
        <v>22</v>
      </c>
      <c r="C236">
        <v>1</v>
      </c>
      <c r="D236">
        <v>4</v>
      </c>
      <c r="E236">
        <v>1</v>
      </c>
      <c r="F236">
        <v>0</v>
      </c>
      <c r="G236">
        <v>1</v>
      </c>
      <c r="H236" t="s">
        <v>25</v>
      </c>
      <c r="I236" t="s">
        <v>95</v>
      </c>
      <c r="J236">
        <v>487</v>
      </c>
      <c r="K236" s="3">
        <v>8.1</v>
      </c>
      <c r="L236">
        <v>3944.7</v>
      </c>
    </row>
    <row r="237" spans="1:12" x14ac:dyDescent="0.3">
      <c r="A237">
        <v>9</v>
      </c>
      <c r="B237">
        <v>20</v>
      </c>
      <c r="C237">
        <v>1</v>
      </c>
      <c r="D237">
        <v>14</v>
      </c>
      <c r="E237">
        <v>7</v>
      </c>
      <c r="F237">
        <v>0</v>
      </c>
      <c r="G237">
        <v>9</v>
      </c>
      <c r="H237" t="s">
        <v>26</v>
      </c>
      <c r="I237" t="s">
        <v>87</v>
      </c>
      <c r="J237">
        <v>527</v>
      </c>
      <c r="K237" s="3">
        <v>8.5</v>
      </c>
      <c r="L237">
        <v>4479.5</v>
      </c>
    </row>
    <row r="238" spans="1:12" x14ac:dyDescent="0.3">
      <c r="A238">
        <v>21</v>
      </c>
      <c r="B238">
        <v>23</v>
      </c>
      <c r="C238">
        <v>0</v>
      </c>
      <c r="D238">
        <v>6</v>
      </c>
      <c r="E238">
        <v>1</v>
      </c>
      <c r="F238">
        <v>0</v>
      </c>
      <c r="G238">
        <v>7</v>
      </c>
      <c r="H238" t="s">
        <v>22</v>
      </c>
      <c r="I238" t="s">
        <v>105</v>
      </c>
      <c r="J238">
        <v>0</v>
      </c>
      <c r="K238" s="3">
        <v>7.8</v>
      </c>
      <c r="L238">
        <v>3861</v>
      </c>
    </row>
    <row r="239" spans="1:12" x14ac:dyDescent="0.3">
      <c r="A239">
        <v>20</v>
      </c>
      <c r="B239">
        <v>0</v>
      </c>
      <c r="C239">
        <v>0</v>
      </c>
      <c r="D239">
        <v>0</v>
      </c>
      <c r="E239">
        <v>1</v>
      </c>
      <c r="F239">
        <v>0</v>
      </c>
      <c r="G239">
        <v>8</v>
      </c>
      <c r="H239" t="s">
        <v>44</v>
      </c>
      <c r="I239" t="s">
        <v>83</v>
      </c>
      <c r="J239">
        <v>512</v>
      </c>
      <c r="K239" s="3">
        <v>8.1999999999999993</v>
      </c>
      <c r="L239">
        <v>4198.3999999999996</v>
      </c>
    </row>
    <row r="240" spans="1:12" x14ac:dyDescent="0.3">
      <c r="A240">
        <v>17</v>
      </c>
      <c r="B240">
        <v>23</v>
      </c>
      <c r="C240">
        <v>0</v>
      </c>
      <c r="D240">
        <v>6</v>
      </c>
      <c r="E240">
        <v>1</v>
      </c>
      <c r="F240">
        <v>0</v>
      </c>
      <c r="G240">
        <v>6</v>
      </c>
      <c r="H240" t="s">
        <v>52</v>
      </c>
      <c r="I240" t="s">
        <v>104</v>
      </c>
      <c r="J240">
        <v>490</v>
      </c>
      <c r="K240" s="3">
        <v>9.3000000000000007</v>
      </c>
      <c r="L240">
        <v>4557</v>
      </c>
    </row>
    <row r="241" spans="1:12" x14ac:dyDescent="0.3">
      <c r="A241">
        <v>8</v>
      </c>
      <c r="B241">
        <v>22</v>
      </c>
      <c r="C241">
        <v>2</v>
      </c>
      <c r="D241">
        <v>9</v>
      </c>
      <c r="E241">
        <v>7</v>
      </c>
      <c r="F241">
        <v>0</v>
      </c>
      <c r="G241">
        <v>7</v>
      </c>
      <c r="H241" t="s">
        <v>30</v>
      </c>
      <c r="I241" t="s">
        <v>101</v>
      </c>
      <c r="J241">
        <v>432</v>
      </c>
      <c r="K241" s="3">
        <v>9.1999999999999993</v>
      </c>
      <c r="L241">
        <v>3974.3999999999901</v>
      </c>
    </row>
    <row r="242" spans="1:12" x14ac:dyDescent="0.3">
      <c r="A242">
        <v>22</v>
      </c>
      <c r="B242">
        <v>22</v>
      </c>
      <c r="C242">
        <v>2</v>
      </c>
      <c r="D242">
        <v>22</v>
      </c>
      <c r="E242">
        <v>1</v>
      </c>
      <c r="F242">
        <v>0</v>
      </c>
      <c r="G242">
        <v>11</v>
      </c>
      <c r="H242" t="s">
        <v>56</v>
      </c>
      <c r="I242" t="s">
        <v>368</v>
      </c>
      <c r="J242">
        <v>632</v>
      </c>
      <c r="K242" s="3">
        <v>0</v>
      </c>
      <c r="L242">
        <v>5372</v>
      </c>
    </row>
    <row r="243" spans="1:12" x14ac:dyDescent="0.3">
      <c r="A243">
        <v>11</v>
      </c>
      <c r="B243">
        <v>0</v>
      </c>
      <c r="C243">
        <v>2</v>
      </c>
      <c r="D243">
        <v>11</v>
      </c>
      <c r="E243">
        <v>1</v>
      </c>
      <c r="F243">
        <v>0</v>
      </c>
      <c r="G243">
        <v>7</v>
      </c>
      <c r="H243" t="s">
        <v>15</v>
      </c>
      <c r="I243" t="s">
        <v>73</v>
      </c>
      <c r="J243">
        <v>361</v>
      </c>
      <c r="K243" s="3">
        <v>8.3000000000000007</v>
      </c>
      <c r="L243">
        <v>2996.3</v>
      </c>
    </row>
    <row r="244" spans="1:12" x14ac:dyDescent="0.3">
      <c r="A244">
        <v>7</v>
      </c>
      <c r="B244">
        <v>21</v>
      </c>
      <c r="C244">
        <v>1</v>
      </c>
      <c r="D244">
        <v>19</v>
      </c>
      <c r="E244">
        <v>1</v>
      </c>
      <c r="F244">
        <v>0</v>
      </c>
      <c r="G244">
        <v>6</v>
      </c>
      <c r="H244" t="s">
        <v>33</v>
      </c>
      <c r="I244" t="s">
        <v>73</v>
      </c>
      <c r="J244">
        <v>0</v>
      </c>
      <c r="K244" s="3">
        <v>9.3000000000000007</v>
      </c>
      <c r="L244">
        <v>3292.2</v>
      </c>
    </row>
    <row r="245" spans="1:12" x14ac:dyDescent="0.3">
      <c r="A245">
        <v>15</v>
      </c>
      <c r="B245">
        <v>23</v>
      </c>
      <c r="C245">
        <v>1</v>
      </c>
      <c r="D245">
        <v>5</v>
      </c>
      <c r="E245">
        <v>1</v>
      </c>
      <c r="F245">
        <v>0</v>
      </c>
      <c r="G245">
        <v>11</v>
      </c>
      <c r="H245" t="s">
        <v>53</v>
      </c>
      <c r="I245" t="s">
        <v>93</v>
      </c>
      <c r="J245">
        <v>519</v>
      </c>
      <c r="K245">
        <v>7.7</v>
      </c>
      <c r="L245">
        <v>3996.3</v>
      </c>
    </row>
    <row r="246" spans="1:12" x14ac:dyDescent="0.3">
      <c r="A246">
        <v>12</v>
      </c>
      <c r="B246">
        <v>23</v>
      </c>
      <c r="C246">
        <v>0</v>
      </c>
      <c r="D246">
        <v>8</v>
      </c>
      <c r="E246">
        <v>1</v>
      </c>
      <c r="F246">
        <v>0</v>
      </c>
      <c r="G246">
        <v>1</v>
      </c>
      <c r="H246" t="s">
        <v>38</v>
      </c>
      <c r="I246" t="s">
        <v>106</v>
      </c>
      <c r="J246">
        <v>517</v>
      </c>
      <c r="K246" s="3">
        <v>7.4</v>
      </c>
      <c r="L246">
        <v>3825.8</v>
      </c>
    </row>
    <row r="247" spans="1:12" x14ac:dyDescent="0.3">
      <c r="A247">
        <v>5</v>
      </c>
      <c r="B247">
        <v>21</v>
      </c>
      <c r="C247">
        <v>3</v>
      </c>
      <c r="D247">
        <v>6</v>
      </c>
      <c r="E247">
        <v>1</v>
      </c>
      <c r="F247">
        <v>0</v>
      </c>
      <c r="G247">
        <v>5</v>
      </c>
      <c r="H247" t="s">
        <v>22</v>
      </c>
      <c r="I247" t="s">
        <v>75</v>
      </c>
      <c r="J247">
        <v>436</v>
      </c>
      <c r="K247" s="3">
        <v>7.8</v>
      </c>
      <c r="L247">
        <v>3400.7999999999902</v>
      </c>
    </row>
    <row r="248" spans="1:12" x14ac:dyDescent="0.3">
      <c r="A248">
        <v>0</v>
      </c>
      <c r="B248">
        <v>23</v>
      </c>
      <c r="C248">
        <v>0</v>
      </c>
      <c r="D248">
        <v>5</v>
      </c>
      <c r="E248">
        <v>1</v>
      </c>
      <c r="F248">
        <v>0</v>
      </c>
      <c r="G248">
        <v>1</v>
      </c>
      <c r="H248" t="s">
        <v>20</v>
      </c>
      <c r="I248" t="s">
        <v>81</v>
      </c>
      <c r="J248">
        <v>490</v>
      </c>
      <c r="K248" s="3">
        <v>9.1</v>
      </c>
      <c r="L248">
        <v>4459</v>
      </c>
    </row>
    <row r="249" spans="1:12" x14ac:dyDescent="0.3">
      <c r="A249">
        <v>21</v>
      </c>
      <c r="B249">
        <v>23</v>
      </c>
      <c r="C249">
        <v>3</v>
      </c>
      <c r="D249">
        <v>12</v>
      </c>
      <c r="E249">
        <v>1</v>
      </c>
      <c r="F249">
        <v>0</v>
      </c>
      <c r="G249">
        <v>7</v>
      </c>
      <c r="H249" t="s">
        <v>30</v>
      </c>
      <c r="I249" t="s">
        <v>71</v>
      </c>
      <c r="J249">
        <v>640</v>
      </c>
      <c r="K249" s="3">
        <v>9.1999999999999993</v>
      </c>
      <c r="L249">
        <v>5888</v>
      </c>
    </row>
    <row r="250" spans="1:12" x14ac:dyDescent="0.3">
      <c r="A250">
        <v>14</v>
      </c>
      <c r="B250">
        <v>22</v>
      </c>
      <c r="C250">
        <v>0</v>
      </c>
      <c r="D250">
        <v>18</v>
      </c>
      <c r="E250">
        <v>1</v>
      </c>
      <c r="F250">
        <v>0</v>
      </c>
      <c r="G250">
        <v>4</v>
      </c>
      <c r="H250" t="s">
        <v>32</v>
      </c>
      <c r="I250" t="s">
        <v>92</v>
      </c>
      <c r="J250">
        <v>505</v>
      </c>
      <c r="K250" s="3">
        <v>7.6</v>
      </c>
      <c r="L250">
        <v>3838</v>
      </c>
    </row>
    <row r="251" spans="1:12" x14ac:dyDescent="0.3">
      <c r="A251">
        <v>10</v>
      </c>
      <c r="B251">
        <v>20</v>
      </c>
      <c r="C251">
        <v>2</v>
      </c>
      <c r="D251">
        <v>3</v>
      </c>
      <c r="E251">
        <v>1</v>
      </c>
      <c r="F251">
        <v>0</v>
      </c>
      <c r="G251">
        <v>6</v>
      </c>
      <c r="H251" t="s">
        <v>24</v>
      </c>
      <c r="I251" t="s">
        <v>70</v>
      </c>
      <c r="J251">
        <v>362</v>
      </c>
      <c r="K251">
        <v>7.9</v>
      </c>
      <c r="L251">
        <v>2859.8</v>
      </c>
    </row>
    <row r="252" spans="1:12" x14ac:dyDescent="0.3">
      <c r="A252">
        <v>20</v>
      </c>
      <c r="B252">
        <v>22</v>
      </c>
      <c r="C252">
        <v>1</v>
      </c>
      <c r="D252">
        <v>5</v>
      </c>
      <c r="E252">
        <v>12</v>
      </c>
      <c r="F252">
        <v>0</v>
      </c>
      <c r="G252">
        <v>2</v>
      </c>
      <c r="H252" t="s">
        <v>23</v>
      </c>
      <c r="I252" t="s">
        <v>70</v>
      </c>
      <c r="J252">
        <v>528</v>
      </c>
      <c r="K252" s="3">
        <v>8.4</v>
      </c>
      <c r="L252">
        <v>4435.2</v>
      </c>
    </row>
    <row r="253" spans="1:12" x14ac:dyDescent="0.3">
      <c r="A253">
        <v>9</v>
      </c>
      <c r="B253">
        <v>21</v>
      </c>
      <c r="C253">
        <v>0</v>
      </c>
      <c r="D253">
        <v>17</v>
      </c>
      <c r="E253">
        <v>1</v>
      </c>
      <c r="F253">
        <v>0</v>
      </c>
      <c r="G253">
        <v>9</v>
      </c>
      <c r="H253" t="s">
        <v>369</v>
      </c>
      <c r="I253" t="s">
        <v>104</v>
      </c>
      <c r="J253">
        <v>387</v>
      </c>
      <c r="K253" s="3">
        <v>9.3000000000000007</v>
      </c>
      <c r="L253">
        <v>3599.1</v>
      </c>
    </row>
    <row r="254" spans="1:12" x14ac:dyDescent="0.3">
      <c r="A254">
        <v>8</v>
      </c>
      <c r="B254">
        <v>20</v>
      </c>
      <c r="C254">
        <v>0</v>
      </c>
      <c r="D254">
        <v>0</v>
      </c>
      <c r="E254">
        <v>1</v>
      </c>
      <c r="F254">
        <v>0</v>
      </c>
      <c r="G254">
        <v>7</v>
      </c>
      <c r="H254" t="s">
        <v>32</v>
      </c>
      <c r="I254" t="s">
        <v>93</v>
      </c>
      <c r="J254">
        <v>334</v>
      </c>
      <c r="K254" s="3">
        <v>7.6</v>
      </c>
      <c r="L254">
        <v>2538.4</v>
      </c>
    </row>
    <row r="255" spans="1:12" x14ac:dyDescent="0.3">
      <c r="A255">
        <v>12</v>
      </c>
      <c r="B255">
        <v>22</v>
      </c>
      <c r="C255">
        <v>2</v>
      </c>
      <c r="D255">
        <v>17</v>
      </c>
      <c r="E255">
        <v>1</v>
      </c>
      <c r="F255">
        <v>0</v>
      </c>
      <c r="G255">
        <v>6</v>
      </c>
      <c r="H255" t="s">
        <v>24</v>
      </c>
      <c r="I255" t="s">
        <v>74</v>
      </c>
      <c r="J255">
        <v>474</v>
      </c>
      <c r="K255" s="3">
        <v>7.9</v>
      </c>
      <c r="L255">
        <v>3744.6</v>
      </c>
    </row>
    <row r="256" spans="1:12" x14ac:dyDescent="0.3">
      <c r="A256">
        <v>0</v>
      </c>
      <c r="B256">
        <v>22</v>
      </c>
      <c r="C256">
        <v>3</v>
      </c>
      <c r="D256">
        <v>9</v>
      </c>
      <c r="E256">
        <v>1</v>
      </c>
      <c r="F256">
        <v>0</v>
      </c>
      <c r="G256">
        <v>4</v>
      </c>
      <c r="H256" t="s">
        <v>30</v>
      </c>
      <c r="I256" t="s">
        <v>79</v>
      </c>
      <c r="J256">
        <v>394</v>
      </c>
      <c r="K256" s="3">
        <v>0</v>
      </c>
      <c r="L256">
        <v>0</v>
      </c>
    </row>
    <row r="257" spans="1:12" x14ac:dyDescent="0.3">
      <c r="A257">
        <v>16</v>
      </c>
      <c r="B257">
        <v>23</v>
      </c>
      <c r="C257">
        <v>1</v>
      </c>
      <c r="D257">
        <v>5</v>
      </c>
      <c r="E257">
        <v>12</v>
      </c>
      <c r="F257">
        <v>0</v>
      </c>
      <c r="G257">
        <v>8</v>
      </c>
      <c r="H257" t="s">
        <v>53</v>
      </c>
      <c r="I257" t="s">
        <v>74</v>
      </c>
      <c r="J257">
        <v>519</v>
      </c>
      <c r="K257" s="3">
        <v>7.7</v>
      </c>
      <c r="L257">
        <v>3996.3</v>
      </c>
    </row>
    <row r="258" spans="1:12" x14ac:dyDescent="0.3">
      <c r="A258">
        <v>23</v>
      </c>
      <c r="B258">
        <v>22</v>
      </c>
      <c r="C258">
        <v>2</v>
      </c>
      <c r="D258">
        <v>14</v>
      </c>
      <c r="E258">
        <v>1</v>
      </c>
      <c r="F258">
        <v>0</v>
      </c>
      <c r="G258">
        <v>4</v>
      </c>
      <c r="H258" t="s">
        <v>20</v>
      </c>
      <c r="I258" t="s">
        <v>97</v>
      </c>
      <c r="J258">
        <v>530</v>
      </c>
      <c r="K258" s="3">
        <v>0</v>
      </c>
      <c r="L258">
        <v>0</v>
      </c>
    </row>
    <row r="259" spans="1:12" x14ac:dyDescent="0.3">
      <c r="A259">
        <v>20</v>
      </c>
      <c r="B259">
        <v>23</v>
      </c>
      <c r="C259">
        <v>3</v>
      </c>
      <c r="D259">
        <v>19</v>
      </c>
      <c r="E259">
        <v>1</v>
      </c>
      <c r="F259">
        <v>0</v>
      </c>
      <c r="G259">
        <v>11</v>
      </c>
      <c r="H259" t="s">
        <v>15</v>
      </c>
      <c r="I259" t="s">
        <v>91</v>
      </c>
      <c r="J259">
        <v>569</v>
      </c>
      <c r="K259" s="3">
        <v>8.3000000000000007</v>
      </c>
      <c r="L259">
        <v>4722.7</v>
      </c>
    </row>
    <row r="260" spans="1:12" x14ac:dyDescent="0.3">
      <c r="A260">
        <v>11</v>
      </c>
      <c r="B260">
        <v>22</v>
      </c>
      <c r="C260">
        <v>2</v>
      </c>
      <c r="D260">
        <v>19</v>
      </c>
      <c r="E260">
        <v>1</v>
      </c>
      <c r="F260">
        <v>0</v>
      </c>
      <c r="G260">
        <v>11</v>
      </c>
      <c r="H260" t="s">
        <v>16</v>
      </c>
      <c r="I260" t="s">
        <v>91</v>
      </c>
      <c r="J260">
        <v>420</v>
      </c>
      <c r="K260" s="3">
        <v>8.9</v>
      </c>
      <c r="L260">
        <v>3738</v>
      </c>
    </row>
    <row r="261" spans="1:12" x14ac:dyDescent="0.3">
      <c r="A261">
        <v>23</v>
      </c>
      <c r="B261">
        <v>23</v>
      </c>
      <c r="C261">
        <v>0</v>
      </c>
      <c r="D261">
        <v>9</v>
      </c>
      <c r="E261">
        <v>12</v>
      </c>
      <c r="F261">
        <v>0</v>
      </c>
      <c r="G261">
        <v>9</v>
      </c>
      <c r="H261" t="s">
        <v>57</v>
      </c>
      <c r="I261" t="s">
        <v>368</v>
      </c>
      <c r="J261">
        <v>607</v>
      </c>
      <c r="K261" s="3">
        <v>9.1999999999999993</v>
      </c>
      <c r="L261">
        <v>5584.4</v>
      </c>
    </row>
    <row r="262" spans="1:12" x14ac:dyDescent="0.3">
      <c r="A262">
        <v>20</v>
      </c>
      <c r="B262">
        <v>23</v>
      </c>
      <c r="C262">
        <v>3</v>
      </c>
      <c r="D262">
        <v>7</v>
      </c>
      <c r="E262">
        <v>1</v>
      </c>
      <c r="F262">
        <v>0</v>
      </c>
      <c r="G262">
        <v>4</v>
      </c>
      <c r="H262" t="s">
        <v>24</v>
      </c>
      <c r="I262" t="s">
        <v>88</v>
      </c>
      <c r="J262">
        <v>478</v>
      </c>
      <c r="K262" s="3">
        <v>7.9</v>
      </c>
      <c r="L262">
        <v>3776.2</v>
      </c>
    </row>
    <row r="263" spans="1:12" x14ac:dyDescent="0.3">
      <c r="A263">
        <v>19</v>
      </c>
      <c r="B263">
        <v>23</v>
      </c>
      <c r="C263">
        <v>1</v>
      </c>
      <c r="D263">
        <v>15</v>
      </c>
      <c r="E263">
        <v>0</v>
      </c>
      <c r="F263">
        <v>0</v>
      </c>
      <c r="G263">
        <v>8</v>
      </c>
      <c r="H263" t="s">
        <v>18</v>
      </c>
      <c r="I263" t="s">
        <v>108</v>
      </c>
      <c r="J263">
        <v>533</v>
      </c>
      <c r="K263" s="3">
        <v>7.7</v>
      </c>
      <c r="L263">
        <v>4104.1000000000004</v>
      </c>
    </row>
    <row r="264" spans="1:12" x14ac:dyDescent="0.3">
      <c r="A264">
        <v>22</v>
      </c>
      <c r="B264">
        <v>23</v>
      </c>
      <c r="C264">
        <v>0</v>
      </c>
      <c r="D264">
        <v>15</v>
      </c>
      <c r="E264">
        <v>1</v>
      </c>
      <c r="F264">
        <v>0</v>
      </c>
      <c r="G264">
        <v>12</v>
      </c>
      <c r="H264" t="s">
        <v>35</v>
      </c>
      <c r="I264" t="s">
        <v>110</v>
      </c>
      <c r="J264">
        <v>691</v>
      </c>
      <c r="K264" s="3">
        <v>8.1999999999999993</v>
      </c>
      <c r="L264">
        <v>5666.2</v>
      </c>
    </row>
    <row r="265" spans="1:12" x14ac:dyDescent="0.3">
      <c r="A265">
        <v>8</v>
      </c>
      <c r="B265">
        <v>20</v>
      </c>
      <c r="C265">
        <v>0</v>
      </c>
      <c r="D265">
        <v>19</v>
      </c>
      <c r="E265">
        <v>1</v>
      </c>
      <c r="F265">
        <v>0</v>
      </c>
      <c r="G265">
        <v>5</v>
      </c>
      <c r="H265" t="s">
        <v>21</v>
      </c>
      <c r="I265" t="s">
        <v>72</v>
      </c>
      <c r="J265">
        <v>501</v>
      </c>
      <c r="K265" s="3">
        <v>8.6999999999999993</v>
      </c>
      <c r="L265">
        <v>4358.7</v>
      </c>
    </row>
    <row r="266" spans="1:12" x14ac:dyDescent="0.3">
      <c r="A266">
        <v>16</v>
      </c>
      <c r="B266">
        <v>22</v>
      </c>
      <c r="C266">
        <v>0</v>
      </c>
      <c r="D266">
        <v>7</v>
      </c>
      <c r="E266">
        <v>0</v>
      </c>
      <c r="F266">
        <v>0</v>
      </c>
      <c r="G266">
        <v>3</v>
      </c>
      <c r="H266" t="s">
        <v>30</v>
      </c>
      <c r="I266" t="s">
        <v>97</v>
      </c>
      <c r="J266">
        <v>422</v>
      </c>
      <c r="K266" s="3">
        <v>9.1999999999999993</v>
      </c>
      <c r="L266">
        <v>3882.3999999999901</v>
      </c>
    </row>
    <row r="267" spans="1:12" x14ac:dyDescent="0.3">
      <c r="A267">
        <v>21</v>
      </c>
      <c r="B267">
        <v>23</v>
      </c>
      <c r="C267">
        <v>3</v>
      </c>
      <c r="D267">
        <v>7</v>
      </c>
      <c r="E267">
        <v>1</v>
      </c>
      <c r="F267">
        <v>0</v>
      </c>
      <c r="G267">
        <v>1</v>
      </c>
      <c r="H267" t="s">
        <v>22</v>
      </c>
      <c r="I267" t="s">
        <v>71</v>
      </c>
      <c r="J267">
        <v>485</v>
      </c>
      <c r="K267" s="3">
        <v>7.8</v>
      </c>
      <c r="L267">
        <v>3783</v>
      </c>
    </row>
    <row r="268" spans="1:12" x14ac:dyDescent="0.3">
      <c r="A268">
        <v>0</v>
      </c>
      <c r="B268">
        <v>23</v>
      </c>
      <c r="C268">
        <v>1</v>
      </c>
      <c r="D268">
        <v>11</v>
      </c>
      <c r="E268">
        <v>12</v>
      </c>
      <c r="F268">
        <v>0</v>
      </c>
      <c r="G268">
        <v>10</v>
      </c>
      <c r="H268" t="s">
        <v>35</v>
      </c>
      <c r="I268" t="s">
        <v>83</v>
      </c>
      <c r="J268">
        <v>665</v>
      </c>
      <c r="K268" s="3">
        <v>8.1999999999999993</v>
      </c>
      <c r="L268">
        <v>5452.99999999999</v>
      </c>
    </row>
    <row r="269" spans="1:12" x14ac:dyDescent="0.3">
      <c r="A269">
        <v>9</v>
      </c>
      <c r="B269">
        <v>22</v>
      </c>
      <c r="C269">
        <v>3</v>
      </c>
      <c r="D269">
        <v>3</v>
      </c>
      <c r="E269">
        <v>1</v>
      </c>
      <c r="F269">
        <v>0</v>
      </c>
      <c r="G269">
        <v>4</v>
      </c>
      <c r="H269" t="s">
        <v>25</v>
      </c>
      <c r="I269" t="s">
        <v>78</v>
      </c>
      <c r="J269">
        <v>395</v>
      </c>
      <c r="K269" s="3">
        <v>8.1</v>
      </c>
      <c r="L269">
        <v>3199.5</v>
      </c>
    </row>
    <row r="270" spans="1:12" x14ac:dyDescent="0.3">
      <c r="A270">
        <v>16</v>
      </c>
      <c r="B270">
        <v>22</v>
      </c>
      <c r="C270">
        <v>3</v>
      </c>
      <c r="D270">
        <v>14</v>
      </c>
      <c r="E270">
        <v>12</v>
      </c>
      <c r="F270">
        <v>0</v>
      </c>
      <c r="G270">
        <v>10</v>
      </c>
      <c r="H270" t="s">
        <v>36</v>
      </c>
      <c r="I270" t="s">
        <v>89</v>
      </c>
      <c r="J270">
        <v>719</v>
      </c>
      <c r="K270" s="3">
        <v>8.8000000000000007</v>
      </c>
      <c r="L270">
        <v>6327.2</v>
      </c>
    </row>
    <row r="271" spans="1:12" x14ac:dyDescent="0.3">
      <c r="A271">
        <v>14</v>
      </c>
      <c r="B271">
        <v>22</v>
      </c>
      <c r="C271">
        <v>2</v>
      </c>
      <c r="D271">
        <v>6</v>
      </c>
      <c r="E271">
        <v>12</v>
      </c>
      <c r="F271">
        <v>0</v>
      </c>
      <c r="G271">
        <v>7</v>
      </c>
      <c r="H271" t="s">
        <v>33</v>
      </c>
      <c r="I271" t="s">
        <v>72</v>
      </c>
      <c r="J271">
        <v>577</v>
      </c>
      <c r="K271" s="3">
        <v>9.3000000000000007</v>
      </c>
      <c r="L271">
        <v>5366.1</v>
      </c>
    </row>
    <row r="272" spans="1:12" x14ac:dyDescent="0.3">
      <c r="A272">
        <v>7</v>
      </c>
      <c r="B272">
        <v>17</v>
      </c>
      <c r="C272">
        <v>1</v>
      </c>
      <c r="D272">
        <v>18</v>
      </c>
      <c r="E272">
        <v>7</v>
      </c>
      <c r="F272">
        <v>0</v>
      </c>
      <c r="G272">
        <v>11</v>
      </c>
      <c r="H272" t="s">
        <v>33</v>
      </c>
      <c r="I272" t="s">
        <v>81</v>
      </c>
      <c r="J272">
        <v>536</v>
      </c>
      <c r="K272">
        <v>9.3000000000000007</v>
      </c>
      <c r="L272">
        <v>4984.8</v>
      </c>
    </row>
    <row r="273" spans="1:12" x14ac:dyDescent="0.3">
      <c r="A273">
        <v>6</v>
      </c>
      <c r="B273">
        <v>19</v>
      </c>
      <c r="C273">
        <v>3</v>
      </c>
      <c r="D273">
        <v>20</v>
      </c>
      <c r="E273">
        <v>7</v>
      </c>
      <c r="F273">
        <v>0</v>
      </c>
      <c r="G273">
        <v>11</v>
      </c>
      <c r="H273" t="s">
        <v>52</v>
      </c>
      <c r="I273" t="s">
        <v>92</v>
      </c>
      <c r="J273">
        <v>497</v>
      </c>
      <c r="K273" s="3">
        <v>9.3000000000000007</v>
      </c>
      <c r="L273">
        <v>4622.1000000000004</v>
      </c>
    </row>
    <row r="274" spans="1:12" x14ac:dyDescent="0.3">
      <c r="A274">
        <v>20</v>
      </c>
      <c r="B274">
        <v>0</v>
      </c>
      <c r="C274">
        <v>1</v>
      </c>
      <c r="D274">
        <v>3</v>
      </c>
      <c r="E274">
        <v>1</v>
      </c>
      <c r="F274">
        <v>0</v>
      </c>
      <c r="G274">
        <v>11</v>
      </c>
      <c r="H274" t="s">
        <v>36</v>
      </c>
      <c r="I274" t="s">
        <v>80</v>
      </c>
      <c r="J274">
        <v>557</v>
      </c>
      <c r="K274" s="3">
        <v>8.8000000000000007</v>
      </c>
      <c r="L274">
        <v>4901.6000000000004</v>
      </c>
    </row>
    <row r="275" spans="1:12" x14ac:dyDescent="0.3">
      <c r="A275">
        <v>20</v>
      </c>
      <c r="B275">
        <v>23</v>
      </c>
      <c r="C275">
        <v>0</v>
      </c>
      <c r="D275">
        <v>11</v>
      </c>
      <c r="E275">
        <v>1</v>
      </c>
      <c r="F275">
        <v>0</v>
      </c>
      <c r="G275">
        <v>11</v>
      </c>
      <c r="H275" t="s">
        <v>36</v>
      </c>
      <c r="I275" t="s">
        <v>78</v>
      </c>
      <c r="J275">
        <v>520</v>
      </c>
      <c r="K275" s="3">
        <v>8.8000000000000007</v>
      </c>
      <c r="L275">
        <v>4576</v>
      </c>
    </row>
    <row r="276" spans="1:12" x14ac:dyDescent="0.3">
      <c r="A276">
        <v>23</v>
      </c>
      <c r="B276">
        <v>23</v>
      </c>
      <c r="C276">
        <v>1</v>
      </c>
      <c r="D276">
        <v>4</v>
      </c>
      <c r="E276">
        <v>0</v>
      </c>
      <c r="F276">
        <v>0</v>
      </c>
      <c r="G276">
        <v>6</v>
      </c>
      <c r="H276" t="s">
        <v>42</v>
      </c>
      <c r="I276" t="s">
        <v>82</v>
      </c>
      <c r="J276">
        <v>426</v>
      </c>
      <c r="K276">
        <v>7.8</v>
      </c>
      <c r="L276">
        <v>3322.7999999999902</v>
      </c>
    </row>
    <row r="277" spans="1:12" x14ac:dyDescent="0.3">
      <c r="A277">
        <v>18</v>
      </c>
      <c r="B277">
        <v>22</v>
      </c>
      <c r="C277">
        <v>0</v>
      </c>
      <c r="D277">
        <v>21</v>
      </c>
      <c r="E277">
        <v>1</v>
      </c>
      <c r="F277">
        <v>0</v>
      </c>
      <c r="G277">
        <v>1</v>
      </c>
      <c r="H277" t="s">
        <v>18</v>
      </c>
      <c r="I277" t="s">
        <v>87</v>
      </c>
      <c r="J277">
        <v>554</v>
      </c>
      <c r="K277">
        <v>7.7</v>
      </c>
      <c r="L277">
        <v>4265.8</v>
      </c>
    </row>
    <row r="278" spans="1:12" x14ac:dyDescent="0.3">
      <c r="A278">
        <v>0</v>
      </c>
      <c r="B278">
        <v>23</v>
      </c>
      <c r="C278">
        <v>1</v>
      </c>
      <c r="D278">
        <v>12</v>
      </c>
      <c r="E278">
        <v>1</v>
      </c>
      <c r="F278">
        <v>0</v>
      </c>
      <c r="G278">
        <v>6</v>
      </c>
      <c r="H278" t="s">
        <v>33</v>
      </c>
      <c r="I278" t="s">
        <v>107</v>
      </c>
      <c r="J278">
        <v>587</v>
      </c>
      <c r="K278" s="3">
        <v>9.3000000000000007</v>
      </c>
      <c r="L278">
        <v>5459.1</v>
      </c>
    </row>
    <row r="279" spans="1:12" x14ac:dyDescent="0.3">
      <c r="A279">
        <v>19</v>
      </c>
      <c r="B279">
        <v>23</v>
      </c>
      <c r="C279">
        <v>2</v>
      </c>
      <c r="D279">
        <v>22</v>
      </c>
      <c r="E279">
        <v>1</v>
      </c>
      <c r="F279">
        <v>0</v>
      </c>
      <c r="G279">
        <v>1</v>
      </c>
      <c r="H279" t="s">
        <v>26</v>
      </c>
      <c r="I279" t="s">
        <v>77</v>
      </c>
      <c r="J279">
        <v>0</v>
      </c>
      <c r="K279" s="3">
        <v>8.5</v>
      </c>
      <c r="L279">
        <v>0</v>
      </c>
    </row>
    <row r="280" spans="1:12" x14ac:dyDescent="0.3">
      <c r="A280">
        <v>5</v>
      </c>
      <c r="B280">
        <v>20</v>
      </c>
      <c r="C280">
        <v>0</v>
      </c>
      <c r="D280">
        <v>8</v>
      </c>
      <c r="E280">
        <v>1</v>
      </c>
      <c r="F280">
        <v>0</v>
      </c>
      <c r="G280">
        <v>0</v>
      </c>
      <c r="H280" t="s">
        <v>20</v>
      </c>
      <c r="I280" t="s">
        <v>84</v>
      </c>
      <c r="J280">
        <v>311</v>
      </c>
      <c r="K280" s="3">
        <v>9.1</v>
      </c>
      <c r="L280">
        <v>2830.1</v>
      </c>
    </row>
    <row r="281" spans="1:12" x14ac:dyDescent="0.3">
      <c r="A281">
        <v>19</v>
      </c>
      <c r="B281">
        <v>22</v>
      </c>
      <c r="C281">
        <v>1</v>
      </c>
      <c r="D281">
        <v>13</v>
      </c>
      <c r="E281">
        <v>1</v>
      </c>
      <c r="F281">
        <v>0</v>
      </c>
      <c r="G281">
        <v>7</v>
      </c>
      <c r="H281" t="s">
        <v>59</v>
      </c>
      <c r="I281" t="s">
        <v>85</v>
      </c>
      <c r="J281">
        <v>429</v>
      </c>
      <c r="K281" s="3">
        <v>0</v>
      </c>
      <c r="L281">
        <v>3474.8999999999901</v>
      </c>
    </row>
    <row r="282" spans="1:12" x14ac:dyDescent="0.3">
      <c r="A282">
        <v>16</v>
      </c>
      <c r="B282">
        <v>23</v>
      </c>
      <c r="C282">
        <v>0</v>
      </c>
      <c r="D282">
        <v>9</v>
      </c>
      <c r="E282">
        <v>1</v>
      </c>
      <c r="F282">
        <v>0</v>
      </c>
      <c r="G282">
        <v>12</v>
      </c>
      <c r="H282" t="s">
        <v>32</v>
      </c>
      <c r="I282" t="s">
        <v>88</v>
      </c>
      <c r="J282">
        <v>376</v>
      </c>
      <c r="K282" s="3">
        <v>7.6</v>
      </c>
      <c r="L282">
        <v>2857.6</v>
      </c>
    </row>
    <row r="283" spans="1:12" x14ac:dyDescent="0.3">
      <c r="A283">
        <v>22</v>
      </c>
      <c r="B283">
        <v>22</v>
      </c>
      <c r="C283">
        <v>0</v>
      </c>
      <c r="D283">
        <v>9</v>
      </c>
      <c r="E283">
        <v>1</v>
      </c>
      <c r="F283">
        <v>0</v>
      </c>
      <c r="G283">
        <v>9</v>
      </c>
      <c r="H283" t="s">
        <v>21</v>
      </c>
      <c r="I283" t="s">
        <v>76</v>
      </c>
      <c r="J283">
        <v>574</v>
      </c>
      <c r="K283" s="3">
        <v>8.6999999999999993</v>
      </c>
      <c r="L283">
        <v>4993.7999999999902</v>
      </c>
    </row>
    <row r="284" spans="1:12" x14ac:dyDescent="0.3">
      <c r="A284">
        <v>8</v>
      </c>
      <c r="B284">
        <v>0</v>
      </c>
      <c r="C284">
        <v>0</v>
      </c>
      <c r="D284">
        <v>0</v>
      </c>
      <c r="E284">
        <v>1</v>
      </c>
      <c r="F284">
        <v>0</v>
      </c>
      <c r="G284">
        <v>9</v>
      </c>
      <c r="H284" t="s">
        <v>25</v>
      </c>
      <c r="I284" t="s">
        <v>81</v>
      </c>
      <c r="J284">
        <v>589</v>
      </c>
      <c r="K284" s="3">
        <v>8.1</v>
      </c>
      <c r="L284">
        <v>4770.8999999999996</v>
      </c>
    </row>
    <row r="285" spans="1:12" x14ac:dyDescent="0.3">
      <c r="A285">
        <v>11</v>
      </c>
      <c r="B285">
        <v>23</v>
      </c>
      <c r="C285">
        <v>2</v>
      </c>
      <c r="D285">
        <v>21</v>
      </c>
      <c r="E285">
        <v>1</v>
      </c>
      <c r="F285">
        <v>0</v>
      </c>
      <c r="G285">
        <v>1</v>
      </c>
      <c r="H285" t="s">
        <v>23</v>
      </c>
      <c r="I285" t="s">
        <v>107</v>
      </c>
      <c r="J285">
        <v>669</v>
      </c>
      <c r="K285" s="3">
        <v>8.4</v>
      </c>
      <c r="L285">
        <v>5619.6</v>
      </c>
    </row>
    <row r="286" spans="1:12" x14ac:dyDescent="0.3">
      <c r="A286">
        <v>18</v>
      </c>
      <c r="B286">
        <v>23</v>
      </c>
      <c r="C286">
        <v>3</v>
      </c>
      <c r="D286">
        <v>0</v>
      </c>
      <c r="E286">
        <v>1</v>
      </c>
      <c r="F286">
        <v>0</v>
      </c>
      <c r="G286">
        <v>6</v>
      </c>
      <c r="H286" t="s">
        <v>369</v>
      </c>
      <c r="I286" t="s">
        <v>83</v>
      </c>
      <c r="J286">
        <v>771</v>
      </c>
      <c r="K286" s="3">
        <v>8.8000000000000007</v>
      </c>
      <c r="L286">
        <v>6784.8</v>
      </c>
    </row>
    <row r="287" spans="1:12" x14ac:dyDescent="0.3">
      <c r="A287">
        <v>19</v>
      </c>
      <c r="B287">
        <v>23</v>
      </c>
      <c r="C287">
        <v>0</v>
      </c>
      <c r="D287">
        <v>9</v>
      </c>
      <c r="E287">
        <v>1</v>
      </c>
      <c r="F287">
        <v>0</v>
      </c>
      <c r="G287">
        <v>9</v>
      </c>
      <c r="H287" t="s">
        <v>50</v>
      </c>
      <c r="I287" t="s">
        <v>81</v>
      </c>
      <c r="J287">
        <v>477</v>
      </c>
      <c r="K287" s="3">
        <v>9.3000000000000007</v>
      </c>
      <c r="L287">
        <v>4436.1000000000004</v>
      </c>
    </row>
    <row r="288" spans="1:12" x14ac:dyDescent="0.3">
      <c r="A288">
        <v>0</v>
      </c>
      <c r="B288">
        <v>22</v>
      </c>
      <c r="C288">
        <v>3</v>
      </c>
      <c r="D288">
        <v>21</v>
      </c>
      <c r="E288">
        <v>1</v>
      </c>
      <c r="F288">
        <v>0</v>
      </c>
      <c r="G288">
        <v>3</v>
      </c>
      <c r="H288" t="s">
        <v>16</v>
      </c>
      <c r="I288" t="s">
        <v>106</v>
      </c>
      <c r="J288">
        <v>742</v>
      </c>
      <c r="K288" s="3">
        <v>8.9</v>
      </c>
      <c r="L288">
        <v>6603.8</v>
      </c>
    </row>
    <row r="289" spans="1:12" x14ac:dyDescent="0.3">
      <c r="A289">
        <v>6</v>
      </c>
      <c r="B289">
        <v>22</v>
      </c>
      <c r="C289">
        <v>1</v>
      </c>
      <c r="D289">
        <v>15</v>
      </c>
      <c r="E289">
        <v>1</v>
      </c>
      <c r="F289">
        <v>0</v>
      </c>
      <c r="G289">
        <v>2</v>
      </c>
      <c r="H289" t="s">
        <v>20</v>
      </c>
      <c r="I289" t="s">
        <v>83</v>
      </c>
      <c r="J289">
        <v>513</v>
      </c>
      <c r="K289" s="3">
        <v>9.1</v>
      </c>
      <c r="L289">
        <v>4668.3</v>
      </c>
    </row>
    <row r="290" spans="1:12" x14ac:dyDescent="0.3">
      <c r="A290">
        <v>21</v>
      </c>
      <c r="B290">
        <v>22</v>
      </c>
      <c r="C290">
        <v>0</v>
      </c>
      <c r="D290">
        <v>22</v>
      </c>
      <c r="E290">
        <v>1</v>
      </c>
      <c r="F290">
        <v>0</v>
      </c>
      <c r="G290">
        <v>11</v>
      </c>
      <c r="H290" t="s">
        <v>24</v>
      </c>
      <c r="I290" t="s">
        <v>105</v>
      </c>
      <c r="J290">
        <v>539</v>
      </c>
      <c r="K290" s="3">
        <v>7.9</v>
      </c>
      <c r="L290">
        <v>4258.1000000000004</v>
      </c>
    </row>
    <row r="291" spans="1:12" x14ac:dyDescent="0.3">
      <c r="A291">
        <v>20</v>
      </c>
      <c r="B291">
        <v>22</v>
      </c>
      <c r="C291">
        <v>3</v>
      </c>
      <c r="D291">
        <v>7</v>
      </c>
      <c r="E291">
        <v>12</v>
      </c>
      <c r="F291">
        <v>0</v>
      </c>
      <c r="G291">
        <v>5</v>
      </c>
      <c r="H291" t="s">
        <v>32</v>
      </c>
      <c r="I291" t="s">
        <v>88</v>
      </c>
      <c r="J291">
        <v>626</v>
      </c>
      <c r="K291" s="3">
        <v>7.6</v>
      </c>
      <c r="L291">
        <v>4757.5999999999904</v>
      </c>
    </row>
    <row r="292" spans="1:12" x14ac:dyDescent="0.3">
      <c r="A292">
        <v>0</v>
      </c>
      <c r="B292">
        <v>20</v>
      </c>
      <c r="C292">
        <v>0</v>
      </c>
      <c r="D292">
        <v>20</v>
      </c>
      <c r="E292">
        <v>1</v>
      </c>
      <c r="F292">
        <v>0</v>
      </c>
      <c r="G292">
        <v>7</v>
      </c>
      <c r="H292" t="s">
        <v>33</v>
      </c>
      <c r="I292" t="s">
        <v>94</v>
      </c>
      <c r="J292">
        <v>617</v>
      </c>
      <c r="K292" s="3">
        <v>9.3000000000000007</v>
      </c>
      <c r="L292">
        <v>5738.1</v>
      </c>
    </row>
    <row r="293" spans="1:12" x14ac:dyDescent="0.3">
      <c r="A293">
        <v>17</v>
      </c>
      <c r="B293">
        <v>23</v>
      </c>
      <c r="C293">
        <v>1</v>
      </c>
      <c r="D293">
        <v>17</v>
      </c>
      <c r="E293">
        <v>1</v>
      </c>
      <c r="F293">
        <v>0</v>
      </c>
      <c r="G293">
        <v>1</v>
      </c>
      <c r="H293" t="s">
        <v>57</v>
      </c>
      <c r="I293" t="s">
        <v>71</v>
      </c>
      <c r="J293">
        <v>618</v>
      </c>
      <c r="K293">
        <v>9.1999999999999993</v>
      </c>
      <c r="L293">
        <v>5685.5999999999904</v>
      </c>
    </row>
    <row r="294" spans="1:12" x14ac:dyDescent="0.3">
      <c r="A294">
        <v>21</v>
      </c>
      <c r="B294">
        <v>23</v>
      </c>
      <c r="C294">
        <v>1</v>
      </c>
      <c r="D294">
        <v>9</v>
      </c>
      <c r="E294">
        <v>1</v>
      </c>
      <c r="F294">
        <v>0</v>
      </c>
      <c r="G294">
        <v>9</v>
      </c>
      <c r="H294" t="s">
        <v>48</v>
      </c>
      <c r="I294" t="s">
        <v>82</v>
      </c>
      <c r="J294">
        <v>441</v>
      </c>
      <c r="K294" s="3">
        <v>8.6999999999999993</v>
      </c>
      <c r="L294">
        <v>3836.7</v>
      </c>
    </row>
    <row r="295" spans="1:12" x14ac:dyDescent="0.3">
      <c r="A295">
        <v>20</v>
      </c>
      <c r="B295">
        <v>23</v>
      </c>
      <c r="C295">
        <v>0</v>
      </c>
      <c r="D295">
        <v>15</v>
      </c>
      <c r="E295">
        <v>12</v>
      </c>
      <c r="F295">
        <v>0</v>
      </c>
      <c r="G295">
        <v>11</v>
      </c>
      <c r="H295" t="s">
        <v>30</v>
      </c>
      <c r="I295" t="s">
        <v>105</v>
      </c>
      <c r="J295">
        <v>749</v>
      </c>
      <c r="K295" s="3">
        <v>9.1999999999999993</v>
      </c>
      <c r="L295">
        <v>6890.7999999999902</v>
      </c>
    </row>
    <row r="296" spans="1:12" x14ac:dyDescent="0.3">
      <c r="A296">
        <v>21</v>
      </c>
      <c r="B296">
        <v>23</v>
      </c>
      <c r="C296">
        <v>0</v>
      </c>
      <c r="D296">
        <v>12</v>
      </c>
      <c r="E296">
        <v>1</v>
      </c>
      <c r="F296">
        <v>0</v>
      </c>
      <c r="G296">
        <v>7</v>
      </c>
      <c r="H296" t="s">
        <v>30</v>
      </c>
      <c r="I296" t="s">
        <v>75</v>
      </c>
      <c r="J296">
        <v>501</v>
      </c>
      <c r="K296" s="3">
        <v>9.1999999999999993</v>
      </c>
      <c r="L296">
        <v>4609.2</v>
      </c>
    </row>
    <row r="297" spans="1:12" x14ac:dyDescent="0.3">
      <c r="A297">
        <v>8</v>
      </c>
      <c r="B297">
        <v>21</v>
      </c>
      <c r="C297">
        <v>0</v>
      </c>
      <c r="D297">
        <v>17</v>
      </c>
      <c r="E297">
        <v>7</v>
      </c>
      <c r="F297">
        <v>0</v>
      </c>
      <c r="G297">
        <v>8</v>
      </c>
      <c r="H297" t="s">
        <v>36</v>
      </c>
      <c r="I297" t="s">
        <v>78</v>
      </c>
      <c r="J297">
        <v>382</v>
      </c>
      <c r="K297" s="3">
        <v>8.8000000000000007</v>
      </c>
      <c r="L297">
        <v>3361.6</v>
      </c>
    </row>
    <row r="298" spans="1:12" x14ac:dyDescent="0.3">
      <c r="A298">
        <v>18</v>
      </c>
      <c r="B298">
        <v>23</v>
      </c>
      <c r="C298">
        <v>3</v>
      </c>
      <c r="D298">
        <v>4</v>
      </c>
      <c r="E298">
        <v>1</v>
      </c>
      <c r="F298">
        <v>0</v>
      </c>
      <c r="G298">
        <v>9</v>
      </c>
      <c r="H298" t="s">
        <v>20</v>
      </c>
      <c r="I298" t="s">
        <v>84</v>
      </c>
      <c r="J298">
        <v>413</v>
      </c>
      <c r="K298" s="3">
        <v>9.1</v>
      </c>
      <c r="L298">
        <v>3758.2999999999902</v>
      </c>
    </row>
    <row r="299" spans="1:12" x14ac:dyDescent="0.3">
      <c r="A299">
        <v>20</v>
      </c>
      <c r="B299">
        <v>22</v>
      </c>
      <c r="C299">
        <v>3</v>
      </c>
      <c r="D299">
        <v>6</v>
      </c>
      <c r="E299">
        <v>1</v>
      </c>
      <c r="F299">
        <v>0</v>
      </c>
      <c r="G299">
        <v>5</v>
      </c>
      <c r="H299" t="s">
        <v>23</v>
      </c>
      <c r="I299" t="s">
        <v>74</v>
      </c>
      <c r="J299">
        <v>414</v>
      </c>
      <c r="K299" s="3">
        <v>8.4</v>
      </c>
      <c r="L299">
        <v>3477.6</v>
      </c>
    </row>
    <row r="300" spans="1:12" x14ac:dyDescent="0.3">
      <c r="A300">
        <v>23</v>
      </c>
      <c r="B300">
        <v>22</v>
      </c>
      <c r="C300">
        <v>0</v>
      </c>
      <c r="D300">
        <v>21</v>
      </c>
      <c r="E300">
        <v>1</v>
      </c>
      <c r="F300">
        <v>0</v>
      </c>
      <c r="G300">
        <v>4</v>
      </c>
      <c r="H300" t="s">
        <v>38</v>
      </c>
      <c r="I300" t="s">
        <v>96</v>
      </c>
      <c r="J300">
        <v>603</v>
      </c>
      <c r="K300" s="3">
        <v>7.4</v>
      </c>
      <c r="L300">
        <v>4462.2</v>
      </c>
    </row>
    <row r="301" spans="1:12" x14ac:dyDescent="0.3">
      <c r="A301">
        <v>5</v>
      </c>
      <c r="B301">
        <v>23</v>
      </c>
      <c r="C301">
        <v>2</v>
      </c>
      <c r="D301">
        <v>21</v>
      </c>
      <c r="E301">
        <v>7</v>
      </c>
      <c r="F301">
        <v>0</v>
      </c>
      <c r="G301">
        <v>12</v>
      </c>
      <c r="H301" t="s">
        <v>32</v>
      </c>
      <c r="I301" t="s">
        <v>104</v>
      </c>
      <c r="J301">
        <v>590</v>
      </c>
      <c r="K301" s="3">
        <v>7.6</v>
      </c>
      <c r="L301">
        <v>4484</v>
      </c>
    </row>
    <row r="302" spans="1:12" x14ac:dyDescent="0.3">
      <c r="A302">
        <v>10</v>
      </c>
      <c r="B302">
        <v>22</v>
      </c>
      <c r="C302">
        <v>0</v>
      </c>
      <c r="D302">
        <v>4</v>
      </c>
      <c r="E302">
        <v>1</v>
      </c>
      <c r="F302">
        <v>0</v>
      </c>
      <c r="G302">
        <v>11</v>
      </c>
      <c r="H302" t="s">
        <v>20</v>
      </c>
      <c r="I302" t="s">
        <v>71</v>
      </c>
      <c r="J302">
        <v>332</v>
      </c>
      <c r="K302" s="3">
        <v>9.1</v>
      </c>
      <c r="L302">
        <v>3021.2</v>
      </c>
    </row>
    <row r="303" spans="1:12" x14ac:dyDescent="0.3">
      <c r="A303">
        <v>6</v>
      </c>
      <c r="B303">
        <v>18</v>
      </c>
      <c r="C303">
        <v>3</v>
      </c>
      <c r="D303">
        <v>12</v>
      </c>
      <c r="E303">
        <v>7</v>
      </c>
      <c r="F303">
        <v>0</v>
      </c>
      <c r="G303">
        <v>0</v>
      </c>
      <c r="H303" t="s">
        <v>22</v>
      </c>
      <c r="I303" t="s">
        <v>70</v>
      </c>
      <c r="J303">
        <v>452</v>
      </c>
      <c r="K303" s="3">
        <v>7.8</v>
      </c>
      <c r="L303">
        <v>3525.6</v>
      </c>
    </row>
    <row r="304" spans="1:12" x14ac:dyDescent="0.3">
      <c r="A304">
        <v>17</v>
      </c>
      <c r="B304">
        <v>23</v>
      </c>
      <c r="C304">
        <v>1</v>
      </c>
      <c r="D304">
        <v>5</v>
      </c>
      <c r="E304">
        <v>1</v>
      </c>
      <c r="F304">
        <v>0</v>
      </c>
      <c r="G304">
        <v>6</v>
      </c>
      <c r="H304" t="s">
        <v>16</v>
      </c>
      <c r="I304" t="s">
        <v>90</v>
      </c>
      <c r="J304">
        <v>437</v>
      </c>
      <c r="K304" s="3">
        <v>8.9</v>
      </c>
      <c r="L304">
        <v>3889.3</v>
      </c>
    </row>
    <row r="305" spans="1:12" x14ac:dyDescent="0.3">
      <c r="A305">
        <v>17</v>
      </c>
      <c r="B305">
        <v>22</v>
      </c>
      <c r="C305">
        <v>1</v>
      </c>
      <c r="D305">
        <v>4</v>
      </c>
      <c r="E305">
        <v>1</v>
      </c>
      <c r="F305">
        <v>0</v>
      </c>
      <c r="G305">
        <v>5</v>
      </c>
      <c r="H305" t="s">
        <v>36</v>
      </c>
      <c r="I305" t="s">
        <v>94</v>
      </c>
      <c r="J305">
        <v>392</v>
      </c>
      <c r="K305" s="3">
        <v>8.8000000000000007</v>
      </c>
      <c r="L305">
        <v>3449.6</v>
      </c>
    </row>
    <row r="306" spans="1:12" x14ac:dyDescent="0.3">
      <c r="A306">
        <v>14</v>
      </c>
      <c r="B306">
        <v>22</v>
      </c>
      <c r="C306">
        <v>3</v>
      </c>
      <c r="D306">
        <v>20</v>
      </c>
      <c r="E306">
        <v>12</v>
      </c>
      <c r="F306">
        <v>0</v>
      </c>
      <c r="G306">
        <v>11</v>
      </c>
      <c r="H306" t="s">
        <v>21</v>
      </c>
      <c r="I306" t="s">
        <v>368</v>
      </c>
      <c r="J306">
        <v>752</v>
      </c>
      <c r="K306" s="3">
        <v>8.6999999999999993</v>
      </c>
      <c r="L306">
        <v>6542.4</v>
      </c>
    </row>
    <row r="307" spans="1:12" x14ac:dyDescent="0.3">
      <c r="A307">
        <v>14</v>
      </c>
      <c r="B307">
        <v>22</v>
      </c>
      <c r="C307">
        <v>0</v>
      </c>
      <c r="D307">
        <v>6</v>
      </c>
      <c r="E307">
        <v>1</v>
      </c>
      <c r="F307">
        <v>0</v>
      </c>
      <c r="G307">
        <v>9</v>
      </c>
      <c r="H307" t="s">
        <v>39</v>
      </c>
      <c r="I307" t="s">
        <v>82</v>
      </c>
      <c r="J307">
        <v>0</v>
      </c>
      <c r="K307" s="3">
        <v>8.8000000000000007</v>
      </c>
      <c r="L307">
        <v>4505.6000000000004</v>
      </c>
    </row>
    <row r="308" spans="1:12" x14ac:dyDescent="0.3">
      <c r="A308">
        <v>16</v>
      </c>
      <c r="B308">
        <v>23</v>
      </c>
      <c r="C308">
        <v>1</v>
      </c>
      <c r="D308">
        <v>19</v>
      </c>
      <c r="E308">
        <v>1</v>
      </c>
      <c r="F308">
        <v>0</v>
      </c>
      <c r="G308">
        <v>2</v>
      </c>
      <c r="H308" t="s">
        <v>26</v>
      </c>
      <c r="I308" t="s">
        <v>109</v>
      </c>
      <c r="J308">
        <v>635</v>
      </c>
      <c r="K308" s="3">
        <v>8.5</v>
      </c>
      <c r="L308">
        <v>5397.5</v>
      </c>
    </row>
    <row r="309" spans="1:12" x14ac:dyDescent="0.3">
      <c r="A309">
        <v>14</v>
      </c>
      <c r="B309">
        <v>22</v>
      </c>
      <c r="C309">
        <v>1</v>
      </c>
      <c r="D309">
        <v>22</v>
      </c>
      <c r="E309">
        <v>1</v>
      </c>
      <c r="F309">
        <v>0</v>
      </c>
      <c r="G309">
        <v>3</v>
      </c>
      <c r="H309" t="s">
        <v>12</v>
      </c>
      <c r="I309" t="s">
        <v>79</v>
      </c>
      <c r="J309">
        <v>566</v>
      </c>
      <c r="K309" s="3">
        <v>8.1</v>
      </c>
      <c r="L309">
        <v>4584.5999999999904</v>
      </c>
    </row>
    <row r="310" spans="1:12" x14ac:dyDescent="0.3">
      <c r="A310">
        <v>15</v>
      </c>
      <c r="B310">
        <v>23</v>
      </c>
      <c r="C310">
        <v>1</v>
      </c>
      <c r="D310">
        <v>6</v>
      </c>
      <c r="E310">
        <v>0</v>
      </c>
      <c r="F310">
        <v>0</v>
      </c>
      <c r="G310">
        <v>7</v>
      </c>
      <c r="H310" t="s">
        <v>23</v>
      </c>
      <c r="I310" t="s">
        <v>368</v>
      </c>
      <c r="J310">
        <v>378</v>
      </c>
      <c r="K310" s="3">
        <v>8.4</v>
      </c>
      <c r="L310">
        <v>3175.2</v>
      </c>
    </row>
    <row r="311" spans="1:12" x14ac:dyDescent="0.3">
      <c r="A311">
        <v>17</v>
      </c>
      <c r="B311">
        <v>22</v>
      </c>
      <c r="C311">
        <v>3</v>
      </c>
      <c r="D311">
        <v>11</v>
      </c>
      <c r="E311">
        <v>1</v>
      </c>
      <c r="F311">
        <v>0</v>
      </c>
      <c r="G311">
        <v>5</v>
      </c>
      <c r="H311" t="s">
        <v>23</v>
      </c>
      <c r="I311" t="s">
        <v>80</v>
      </c>
      <c r="J311">
        <v>535</v>
      </c>
      <c r="K311" s="3">
        <v>8.4</v>
      </c>
      <c r="L311">
        <v>4494</v>
      </c>
    </row>
    <row r="312" spans="1:12" x14ac:dyDescent="0.3">
      <c r="A312">
        <v>19</v>
      </c>
      <c r="B312">
        <v>23</v>
      </c>
      <c r="C312">
        <v>0</v>
      </c>
      <c r="D312">
        <v>21</v>
      </c>
      <c r="E312">
        <v>1</v>
      </c>
      <c r="F312">
        <v>0</v>
      </c>
      <c r="G312">
        <v>12</v>
      </c>
      <c r="H312" t="s">
        <v>16</v>
      </c>
      <c r="I312" t="s">
        <v>112</v>
      </c>
      <c r="J312" t="s">
        <v>143</v>
      </c>
      <c r="K312" s="3">
        <v>8.9</v>
      </c>
      <c r="L312">
        <v>6034.2</v>
      </c>
    </row>
    <row r="313" spans="1:12" x14ac:dyDescent="0.3">
      <c r="A313">
        <v>15</v>
      </c>
      <c r="B313">
        <v>22</v>
      </c>
      <c r="C313">
        <v>1</v>
      </c>
      <c r="D313">
        <v>21</v>
      </c>
      <c r="E313">
        <v>1</v>
      </c>
      <c r="F313">
        <v>0</v>
      </c>
      <c r="G313">
        <v>10</v>
      </c>
      <c r="H313" t="s">
        <v>20</v>
      </c>
      <c r="I313" t="s">
        <v>87</v>
      </c>
      <c r="J313">
        <v>553</v>
      </c>
      <c r="K313" s="3">
        <v>9.1</v>
      </c>
      <c r="L313">
        <v>5032.3</v>
      </c>
    </row>
    <row r="314" spans="1:12" x14ac:dyDescent="0.3">
      <c r="A314">
        <v>21</v>
      </c>
      <c r="B314">
        <v>22</v>
      </c>
      <c r="C314">
        <v>1</v>
      </c>
      <c r="D314">
        <v>8</v>
      </c>
      <c r="E314">
        <v>0</v>
      </c>
      <c r="F314">
        <v>0</v>
      </c>
      <c r="G314">
        <v>12</v>
      </c>
      <c r="H314" t="s">
        <v>23</v>
      </c>
      <c r="I314" t="s">
        <v>87</v>
      </c>
      <c r="J314">
        <v>502</v>
      </c>
      <c r="K314">
        <v>8.4</v>
      </c>
      <c r="L314">
        <v>4216.8</v>
      </c>
    </row>
    <row r="315" spans="1:12" x14ac:dyDescent="0.3">
      <c r="A315">
        <v>7</v>
      </c>
      <c r="B315">
        <v>23</v>
      </c>
      <c r="C315">
        <v>1</v>
      </c>
      <c r="D315">
        <v>5</v>
      </c>
      <c r="E315">
        <v>7</v>
      </c>
      <c r="F315">
        <v>0</v>
      </c>
      <c r="G315">
        <v>3</v>
      </c>
      <c r="H315" t="s">
        <v>21</v>
      </c>
      <c r="I315" t="s">
        <v>70</v>
      </c>
      <c r="J315">
        <v>568</v>
      </c>
      <c r="K315" s="3">
        <v>8.6999999999999993</v>
      </c>
      <c r="L315">
        <v>4941.5999999999904</v>
      </c>
    </row>
    <row r="316" spans="1:12" x14ac:dyDescent="0.3">
      <c r="A316">
        <v>18</v>
      </c>
      <c r="B316">
        <v>22</v>
      </c>
      <c r="C316">
        <v>0</v>
      </c>
      <c r="D316">
        <v>18</v>
      </c>
      <c r="E316">
        <v>1</v>
      </c>
      <c r="F316">
        <v>0</v>
      </c>
      <c r="G316">
        <v>0</v>
      </c>
      <c r="H316" t="s">
        <v>25</v>
      </c>
      <c r="I316" t="s">
        <v>97</v>
      </c>
      <c r="J316">
        <v>468</v>
      </c>
      <c r="K316" s="3">
        <v>8.1</v>
      </c>
      <c r="L316">
        <v>3790.7999999999902</v>
      </c>
    </row>
    <row r="317" spans="1:12" x14ac:dyDescent="0.3">
      <c r="A317">
        <v>10</v>
      </c>
      <c r="B317">
        <v>21</v>
      </c>
      <c r="C317">
        <v>1</v>
      </c>
      <c r="D317">
        <v>8</v>
      </c>
      <c r="E317">
        <v>1</v>
      </c>
      <c r="F317">
        <v>0</v>
      </c>
      <c r="G317">
        <v>2</v>
      </c>
      <c r="H317" t="s">
        <v>20</v>
      </c>
      <c r="I317" t="s">
        <v>109</v>
      </c>
      <c r="J317">
        <v>462</v>
      </c>
      <c r="K317" s="3">
        <v>9.1</v>
      </c>
      <c r="L317">
        <v>4204.2</v>
      </c>
    </row>
    <row r="318" spans="1:12" x14ac:dyDescent="0.3">
      <c r="A318">
        <v>5</v>
      </c>
      <c r="B318">
        <v>21</v>
      </c>
      <c r="C318">
        <v>3</v>
      </c>
      <c r="D318">
        <v>17</v>
      </c>
      <c r="E318">
        <v>1</v>
      </c>
      <c r="F318">
        <v>0</v>
      </c>
      <c r="G318">
        <v>10</v>
      </c>
      <c r="H318" t="s">
        <v>36</v>
      </c>
      <c r="I318" t="s">
        <v>118</v>
      </c>
      <c r="J318">
        <v>438</v>
      </c>
      <c r="K318" s="3">
        <v>8.8000000000000007</v>
      </c>
      <c r="L318">
        <v>0</v>
      </c>
    </row>
    <row r="319" spans="1:12" x14ac:dyDescent="0.3">
      <c r="A319">
        <v>5</v>
      </c>
      <c r="B319">
        <v>19</v>
      </c>
      <c r="C319">
        <v>1</v>
      </c>
      <c r="D319">
        <v>0</v>
      </c>
      <c r="E319">
        <v>0</v>
      </c>
      <c r="F319">
        <v>0</v>
      </c>
      <c r="G319">
        <v>11</v>
      </c>
      <c r="H319" t="s">
        <v>26</v>
      </c>
      <c r="I319" t="s">
        <v>104</v>
      </c>
      <c r="J319">
        <v>516</v>
      </c>
      <c r="K319" s="3">
        <v>8.5</v>
      </c>
      <c r="L319">
        <v>4386</v>
      </c>
    </row>
    <row r="320" spans="1:12" x14ac:dyDescent="0.3">
      <c r="A320">
        <v>22</v>
      </c>
      <c r="B320">
        <v>22</v>
      </c>
      <c r="C320">
        <v>2</v>
      </c>
      <c r="D320">
        <v>18</v>
      </c>
      <c r="E320">
        <v>1</v>
      </c>
      <c r="F320">
        <v>0</v>
      </c>
      <c r="G320">
        <v>11</v>
      </c>
      <c r="H320" t="s">
        <v>25</v>
      </c>
      <c r="I320" t="s">
        <v>83</v>
      </c>
      <c r="J320">
        <v>735</v>
      </c>
      <c r="K320" s="3">
        <v>8.1</v>
      </c>
      <c r="L320">
        <v>5953.5</v>
      </c>
    </row>
    <row r="321" spans="1:12" x14ac:dyDescent="0.3">
      <c r="A321">
        <v>0</v>
      </c>
      <c r="B321">
        <v>22</v>
      </c>
      <c r="C321">
        <v>3</v>
      </c>
      <c r="D321">
        <v>10</v>
      </c>
      <c r="E321">
        <v>0</v>
      </c>
      <c r="F321">
        <v>0</v>
      </c>
      <c r="G321">
        <v>1</v>
      </c>
      <c r="H321" t="s">
        <v>33</v>
      </c>
      <c r="I321" t="s">
        <v>94</v>
      </c>
      <c r="J321">
        <v>0</v>
      </c>
      <c r="K321" s="3">
        <v>9.3000000000000007</v>
      </c>
      <c r="L321">
        <v>4845.3</v>
      </c>
    </row>
    <row r="322" spans="1:12" x14ac:dyDescent="0.3">
      <c r="A322">
        <v>5</v>
      </c>
      <c r="B322">
        <v>19</v>
      </c>
      <c r="C322">
        <v>2</v>
      </c>
      <c r="D322">
        <v>8</v>
      </c>
      <c r="E322">
        <v>1</v>
      </c>
      <c r="F322">
        <v>0</v>
      </c>
      <c r="G322">
        <v>2</v>
      </c>
      <c r="H322" t="s">
        <v>15</v>
      </c>
      <c r="I322" t="s">
        <v>119</v>
      </c>
      <c r="J322">
        <v>308</v>
      </c>
      <c r="K322" s="3">
        <v>8.3000000000000007</v>
      </c>
      <c r="L322">
        <v>2556.4</v>
      </c>
    </row>
    <row r="323" spans="1:12" x14ac:dyDescent="0.3">
      <c r="A323">
        <v>18</v>
      </c>
      <c r="B323">
        <v>23</v>
      </c>
      <c r="C323">
        <v>0</v>
      </c>
      <c r="D323">
        <v>4</v>
      </c>
      <c r="E323">
        <v>1</v>
      </c>
      <c r="F323">
        <v>0</v>
      </c>
      <c r="G323">
        <v>9</v>
      </c>
      <c r="H323" t="s">
        <v>36</v>
      </c>
      <c r="I323" t="s">
        <v>90</v>
      </c>
      <c r="J323">
        <v>439</v>
      </c>
      <c r="K323" s="3">
        <v>8.8000000000000007</v>
      </c>
      <c r="L323">
        <v>3863.2</v>
      </c>
    </row>
    <row r="324" spans="1:12" x14ac:dyDescent="0.3">
      <c r="A324">
        <v>0</v>
      </c>
      <c r="B324">
        <v>19</v>
      </c>
      <c r="C324">
        <v>2</v>
      </c>
      <c r="D324">
        <v>8</v>
      </c>
      <c r="E324">
        <v>7</v>
      </c>
      <c r="F324">
        <v>0</v>
      </c>
      <c r="G324">
        <v>1</v>
      </c>
      <c r="H324" t="s">
        <v>21</v>
      </c>
      <c r="I324" t="s">
        <v>85</v>
      </c>
      <c r="J324">
        <v>349</v>
      </c>
      <c r="K324" s="3">
        <v>8.6999999999999993</v>
      </c>
      <c r="L324">
        <v>0</v>
      </c>
    </row>
    <row r="325" spans="1:12" x14ac:dyDescent="0.3">
      <c r="A325">
        <v>23</v>
      </c>
      <c r="B325">
        <v>22</v>
      </c>
      <c r="C325">
        <v>1</v>
      </c>
      <c r="D325">
        <v>8</v>
      </c>
      <c r="E325">
        <v>12</v>
      </c>
      <c r="F325">
        <v>0</v>
      </c>
      <c r="G325">
        <v>10</v>
      </c>
      <c r="H325" t="s">
        <v>23</v>
      </c>
      <c r="I325" t="s">
        <v>94</v>
      </c>
      <c r="J325">
        <v>753</v>
      </c>
      <c r="K325">
        <v>8.4</v>
      </c>
      <c r="L325">
        <v>6325.2</v>
      </c>
    </row>
    <row r="326" spans="1:12" x14ac:dyDescent="0.3">
      <c r="A326">
        <v>19</v>
      </c>
      <c r="B326">
        <v>22</v>
      </c>
      <c r="C326">
        <v>1</v>
      </c>
      <c r="D326">
        <v>17</v>
      </c>
      <c r="E326">
        <v>1</v>
      </c>
      <c r="F326">
        <v>0</v>
      </c>
      <c r="G326">
        <v>5</v>
      </c>
      <c r="H326" t="s">
        <v>35</v>
      </c>
      <c r="I326" t="s">
        <v>83</v>
      </c>
      <c r="J326">
        <v>513</v>
      </c>
      <c r="K326" s="3">
        <v>8.1999999999999993</v>
      </c>
      <c r="L326">
        <v>4206.5999999999904</v>
      </c>
    </row>
    <row r="327" spans="1:12" x14ac:dyDescent="0.3">
      <c r="A327">
        <v>21</v>
      </c>
      <c r="B327">
        <v>22</v>
      </c>
      <c r="C327">
        <v>2</v>
      </c>
      <c r="D327">
        <v>3</v>
      </c>
      <c r="E327">
        <v>1</v>
      </c>
      <c r="F327">
        <v>0</v>
      </c>
      <c r="G327">
        <v>8</v>
      </c>
      <c r="H327" t="s">
        <v>30</v>
      </c>
      <c r="I327" t="s">
        <v>79</v>
      </c>
      <c r="J327">
        <v>601</v>
      </c>
      <c r="K327" s="3">
        <v>9.1999999999999993</v>
      </c>
      <c r="L327">
        <v>5529.2</v>
      </c>
    </row>
    <row r="328" spans="1:12" x14ac:dyDescent="0.3">
      <c r="A328">
        <v>9</v>
      </c>
      <c r="B328">
        <v>23</v>
      </c>
      <c r="C328">
        <v>0</v>
      </c>
      <c r="D328">
        <v>5</v>
      </c>
      <c r="E328">
        <v>0</v>
      </c>
      <c r="F328">
        <v>0</v>
      </c>
      <c r="G328">
        <v>2</v>
      </c>
      <c r="H328" t="s">
        <v>369</v>
      </c>
      <c r="I328" t="s">
        <v>368</v>
      </c>
      <c r="J328">
        <v>399</v>
      </c>
      <c r="K328" s="3">
        <v>7.6</v>
      </c>
      <c r="L328">
        <v>3032.3999999999901</v>
      </c>
    </row>
    <row r="329" spans="1:12" x14ac:dyDescent="0.3">
      <c r="A329">
        <v>16</v>
      </c>
      <c r="B329">
        <v>22</v>
      </c>
      <c r="C329">
        <v>2</v>
      </c>
      <c r="D329">
        <v>4</v>
      </c>
      <c r="E329">
        <v>12</v>
      </c>
      <c r="F329">
        <v>0</v>
      </c>
      <c r="G329">
        <v>1</v>
      </c>
      <c r="H329" t="s">
        <v>33</v>
      </c>
      <c r="I329" t="s">
        <v>90</v>
      </c>
      <c r="J329">
        <v>0</v>
      </c>
      <c r="K329" s="3">
        <v>9.3000000000000007</v>
      </c>
      <c r="L329">
        <v>5384.7</v>
      </c>
    </row>
    <row r="330" spans="1:12" x14ac:dyDescent="0.3">
      <c r="A330">
        <v>13</v>
      </c>
      <c r="B330">
        <v>23</v>
      </c>
      <c r="C330">
        <v>2</v>
      </c>
      <c r="D330">
        <v>14</v>
      </c>
      <c r="E330">
        <v>12</v>
      </c>
      <c r="F330">
        <v>0</v>
      </c>
      <c r="G330">
        <v>1</v>
      </c>
      <c r="H330" t="s">
        <v>32</v>
      </c>
      <c r="I330" t="s">
        <v>71</v>
      </c>
      <c r="J330">
        <v>591</v>
      </c>
      <c r="K330" s="3">
        <v>7.6</v>
      </c>
      <c r="L330">
        <v>4491.5999999999904</v>
      </c>
    </row>
    <row r="331" spans="1:12" x14ac:dyDescent="0.3">
      <c r="A331">
        <v>8</v>
      </c>
      <c r="B331">
        <v>17</v>
      </c>
      <c r="C331">
        <v>3</v>
      </c>
      <c r="D331">
        <v>9</v>
      </c>
      <c r="E331">
        <v>1</v>
      </c>
      <c r="F331">
        <v>0</v>
      </c>
      <c r="G331">
        <v>5</v>
      </c>
      <c r="H331" t="s">
        <v>22</v>
      </c>
      <c r="I331" t="s">
        <v>91</v>
      </c>
      <c r="J331">
        <v>350</v>
      </c>
      <c r="K331" s="3">
        <v>7.8</v>
      </c>
      <c r="L331">
        <v>2730</v>
      </c>
    </row>
    <row r="332" spans="1:12" x14ac:dyDescent="0.3">
      <c r="A332">
        <v>7</v>
      </c>
      <c r="B332">
        <v>22</v>
      </c>
      <c r="C332">
        <v>3</v>
      </c>
      <c r="D332">
        <v>7</v>
      </c>
      <c r="E332">
        <v>1</v>
      </c>
      <c r="F332">
        <v>0</v>
      </c>
      <c r="G332">
        <v>11</v>
      </c>
      <c r="H332" t="s">
        <v>18</v>
      </c>
      <c r="I332" t="s">
        <v>106</v>
      </c>
      <c r="J332">
        <v>313</v>
      </c>
      <c r="K332" s="3">
        <v>7.7</v>
      </c>
      <c r="L332">
        <v>2410.1</v>
      </c>
    </row>
    <row r="333" spans="1:12" x14ac:dyDescent="0.3">
      <c r="A333">
        <v>16</v>
      </c>
      <c r="B333">
        <v>22</v>
      </c>
      <c r="C333">
        <v>0</v>
      </c>
      <c r="D333">
        <v>16</v>
      </c>
      <c r="E333">
        <v>1</v>
      </c>
      <c r="F333">
        <v>0</v>
      </c>
      <c r="G333">
        <v>7</v>
      </c>
      <c r="H333" t="s">
        <v>15</v>
      </c>
      <c r="I333" t="s">
        <v>94</v>
      </c>
      <c r="J333">
        <v>472</v>
      </c>
      <c r="K333" s="3">
        <v>8.3000000000000007</v>
      </c>
      <c r="L333">
        <v>3917.6</v>
      </c>
    </row>
    <row r="334" spans="1:12" x14ac:dyDescent="0.3">
      <c r="A334">
        <v>20</v>
      </c>
      <c r="B334">
        <v>22</v>
      </c>
      <c r="C334">
        <v>2</v>
      </c>
      <c r="D334">
        <v>9</v>
      </c>
      <c r="E334">
        <v>1</v>
      </c>
      <c r="F334">
        <v>0</v>
      </c>
      <c r="G334">
        <v>8</v>
      </c>
      <c r="H334" t="s">
        <v>36</v>
      </c>
      <c r="I334" t="s">
        <v>106</v>
      </c>
      <c r="J334">
        <v>673</v>
      </c>
      <c r="K334" s="3">
        <v>8.8000000000000007</v>
      </c>
      <c r="L334">
        <v>5922.4</v>
      </c>
    </row>
    <row r="335" spans="1:12" x14ac:dyDescent="0.3">
      <c r="A335">
        <v>20</v>
      </c>
      <c r="B335">
        <v>23</v>
      </c>
      <c r="C335">
        <v>2</v>
      </c>
      <c r="D335">
        <v>6</v>
      </c>
      <c r="E335">
        <v>1</v>
      </c>
      <c r="F335">
        <v>0</v>
      </c>
      <c r="G335">
        <v>3</v>
      </c>
      <c r="H335" t="s">
        <v>37</v>
      </c>
      <c r="I335" t="s">
        <v>77</v>
      </c>
      <c r="J335">
        <v>451</v>
      </c>
      <c r="K335" s="3">
        <v>8.3000000000000007</v>
      </c>
      <c r="L335">
        <v>3743.3</v>
      </c>
    </row>
    <row r="336" spans="1:12" x14ac:dyDescent="0.3">
      <c r="A336">
        <v>19</v>
      </c>
      <c r="B336">
        <v>23</v>
      </c>
      <c r="C336">
        <v>0</v>
      </c>
      <c r="D336">
        <v>20</v>
      </c>
      <c r="E336">
        <v>1</v>
      </c>
      <c r="F336">
        <v>0</v>
      </c>
      <c r="G336">
        <v>7</v>
      </c>
      <c r="H336" t="s">
        <v>20</v>
      </c>
      <c r="I336" t="s">
        <v>81</v>
      </c>
      <c r="J336">
        <v>651</v>
      </c>
      <c r="K336" s="3">
        <v>9.1</v>
      </c>
      <c r="L336">
        <v>5924.0999999999904</v>
      </c>
    </row>
    <row r="337" spans="1:12" x14ac:dyDescent="0.3">
      <c r="A337">
        <v>13</v>
      </c>
      <c r="B337">
        <v>23</v>
      </c>
      <c r="C337">
        <v>0</v>
      </c>
      <c r="D337">
        <v>6</v>
      </c>
      <c r="E337">
        <v>12</v>
      </c>
      <c r="F337">
        <v>0</v>
      </c>
      <c r="G337">
        <v>1</v>
      </c>
      <c r="H337" t="s">
        <v>19</v>
      </c>
      <c r="I337" t="s">
        <v>368</v>
      </c>
      <c r="J337">
        <v>612</v>
      </c>
      <c r="K337" s="3">
        <v>8.9</v>
      </c>
      <c r="L337">
        <v>5446.8</v>
      </c>
    </row>
    <row r="338" spans="1:12" x14ac:dyDescent="0.3">
      <c r="A338">
        <v>8</v>
      </c>
      <c r="B338">
        <v>23</v>
      </c>
      <c r="C338">
        <v>0</v>
      </c>
      <c r="D338">
        <v>22</v>
      </c>
      <c r="E338">
        <v>1</v>
      </c>
      <c r="F338">
        <v>0</v>
      </c>
      <c r="G338">
        <v>9</v>
      </c>
      <c r="H338" t="s">
        <v>21</v>
      </c>
      <c r="I338" t="s">
        <v>92</v>
      </c>
      <c r="J338">
        <v>0</v>
      </c>
      <c r="K338" s="3">
        <v>8.6999999999999993</v>
      </c>
      <c r="L338">
        <v>3523.49999999999</v>
      </c>
    </row>
    <row r="339" spans="1:12" x14ac:dyDescent="0.3">
      <c r="A339">
        <v>23</v>
      </c>
      <c r="B339">
        <v>22</v>
      </c>
      <c r="C339">
        <v>3</v>
      </c>
      <c r="D339">
        <v>7</v>
      </c>
      <c r="E339">
        <v>1</v>
      </c>
      <c r="F339">
        <v>0</v>
      </c>
      <c r="G339">
        <v>8</v>
      </c>
      <c r="H339" t="s">
        <v>21</v>
      </c>
      <c r="I339" t="s">
        <v>75</v>
      </c>
      <c r="J339">
        <v>479</v>
      </c>
      <c r="K339" s="3">
        <v>8.6999999999999993</v>
      </c>
      <c r="L339">
        <v>4167.2999999999902</v>
      </c>
    </row>
    <row r="340" spans="1:12" x14ac:dyDescent="0.3">
      <c r="A340">
        <v>20</v>
      </c>
      <c r="B340">
        <v>22</v>
      </c>
      <c r="C340">
        <v>0</v>
      </c>
      <c r="D340">
        <v>0</v>
      </c>
      <c r="E340">
        <v>1</v>
      </c>
      <c r="F340">
        <v>0</v>
      </c>
      <c r="G340">
        <v>4</v>
      </c>
      <c r="H340" t="s">
        <v>60</v>
      </c>
      <c r="I340" t="s">
        <v>89</v>
      </c>
      <c r="J340">
        <v>0</v>
      </c>
      <c r="K340" s="3">
        <v>9.1</v>
      </c>
      <c r="L340">
        <v>3731</v>
      </c>
    </row>
    <row r="341" spans="1:12" x14ac:dyDescent="0.3">
      <c r="A341">
        <v>18</v>
      </c>
      <c r="B341">
        <v>22</v>
      </c>
      <c r="C341">
        <v>2</v>
      </c>
      <c r="D341">
        <v>10</v>
      </c>
      <c r="E341">
        <v>1</v>
      </c>
      <c r="F341">
        <v>0</v>
      </c>
      <c r="G341">
        <v>2</v>
      </c>
      <c r="H341" t="s">
        <v>30</v>
      </c>
      <c r="I341" t="s">
        <v>110</v>
      </c>
      <c r="J341">
        <v>405</v>
      </c>
      <c r="K341" s="3">
        <v>9.1999999999999993</v>
      </c>
      <c r="L341">
        <v>3725.99999999999</v>
      </c>
    </row>
    <row r="342" spans="1:12" x14ac:dyDescent="0.3">
      <c r="A342">
        <v>0</v>
      </c>
      <c r="B342">
        <v>22</v>
      </c>
      <c r="C342">
        <v>3</v>
      </c>
      <c r="D342">
        <v>13</v>
      </c>
      <c r="E342">
        <v>1</v>
      </c>
      <c r="F342">
        <v>0</v>
      </c>
      <c r="G342">
        <v>5</v>
      </c>
      <c r="H342" t="s">
        <v>60</v>
      </c>
      <c r="I342" t="s">
        <v>94</v>
      </c>
      <c r="J342">
        <v>546</v>
      </c>
      <c r="K342" s="3">
        <v>9.1</v>
      </c>
      <c r="L342">
        <v>4968.5999999999904</v>
      </c>
    </row>
    <row r="343" spans="1:12" x14ac:dyDescent="0.3">
      <c r="A343">
        <v>5</v>
      </c>
      <c r="B343">
        <v>18</v>
      </c>
      <c r="C343">
        <v>3</v>
      </c>
      <c r="D343">
        <v>13</v>
      </c>
      <c r="E343">
        <v>1</v>
      </c>
      <c r="F343">
        <v>0</v>
      </c>
      <c r="G343">
        <v>10</v>
      </c>
      <c r="H343" t="s">
        <v>34</v>
      </c>
      <c r="I343" t="s">
        <v>77</v>
      </c>
      <c r="J343">
        <v>391</v>
      </c>
      <c r="K343" s="3">
        <v>7.6</v>
      </c>
      <c r="L343">
        <v>2971.6</v>
      </c>
    </row>
    <row r="344" spans="1:12" x14ac:dyDescent="0.3">
      <c r="A344">
        <v>19</v>
      </c>
      <c r="B344">
        <v>23</v>
      </c>
      <c r="C344">
        <v>2</v>
      </c>
      <c r="D344">
        <v>14</v>
      </c>
      <c r="E344">
        <v>1</v>
      </c>
      <c r="F344">
        <v>0</v>
      </c>
      <c r="G344">
        <v>11</v>
      </c>
      <c r="H344" t="s">
        <v>35</v>
      </c>
      <c r="I344" t="s">
        <v>106</v>
      </c>
      <c r="J344">
        <v>512</v>
      </c>
      <c r="K344" s="3">
        <v>8.1999999999999993</v>
      </c>
      <c r="L344">
        <v>4198.3999999999996</v>
      </c>
    </row>
    <row r="345" spans="1:12" x14ac:dyDescent="0.3">
      <c r="A345">
        <v>14</v>
      </c>
      <c r="B345">
        <v>22</v>
      </c>
      <c r="C345">
        <v>1</v>
      </c>
      <c r="D345">
        <v>3</v>
      </c>
      <c r="E345">
        <v>1</v>
      </c>
      <c r="F345">
        <v>0</v>
      </c>
      <c r="G345">
        <v>4</v>
      </c>
      <c r="H345" t="s">
        <v>24</v>
      </c>
      <c r="I345" t="s">
        <v>97</v>
      </c>
      <c r="J345">
        <v>300</v>
      </c>
      <c r="K345" s="3">
        <v>7.9</v>
      </c>
      <c r="L345">
        <v>2370</v>
      </c>
    </row>
    <row r="346" spans="1:12" x14ac:dyDescent="0.3">
      <c r="A346">
        <v>10</v>
      </c>
      <c r="B346">
        <v>22</v>
      </c>
      <c r="C346">
        <v>0</v>
      </c>
      <c r="D346">
        <v>12</v>
      </c>
      <c r="E346">
        <v>7</v>
      </c>
      <c r="F346">
        <v>0</v>
      </c>
      <c r="G346">
        <v>2</v>
      </c>
      <c r="H346" t="s">
        <v>38</v>
      </c>
      <c r="I346" t="s">
        <v>87</v>
      </c>
      <c r="J346">
        <v>406</v>
      </c>
      <c r="K346" s="3">
        <v>7.4</v>
      </c>
      <c r="L346">
        <v>0</v>
      </c>
    </row>
    <row r="347" spans="1:12" x14ac:dyDescent="0.3">
      <c r="A347">
        <v>0</v>
      </c>
      <c r="B347">
        <v>23</v>
      </c>
      <c r="C347">
        <v>0</v>
      </c>
      <c r="D347">
        <v>16</v>
      </c>
      <c r="E347">
        <v>12</v>
      </c>
      <c r="F347">
        <v>0</v>
      </c>
      <c r="G347">
        <v>12</v>
      </c>
      <c r="H347" t="s">
        <v>32</v>
      </c>
      <c r="I347" t="s">
        <v>109</v>
      </c>
      <c r="J347">
        <v>533</v>
      </c>
      <c r="K347" s="3">
        <v>7.6</v>
      </c>
      <c r="L347">
        <v>4050.7999999999902</v>
      </c>
    </row>
    <row r="348" spans="1:12" x14ac:dyDescent="0.3">
      <c r="A348">
        <v>8</v>
      </c>
      <c r="B348">
        <v>18</v>
      </c>
      <c r="C348">
        <v>3</v>
      </c>
      <c r="D348">
        <v>8</v>
      </c>
      <c r="E348">
        <v>1</v>
      </c>
      <c r="F348">
        <v>0</v>
      </c>
      <c r="G348">
        <v>9</v>
      </c>
      <c r="H348" t="s">
        <v>32</v>
      </c>
      <c r="I348" t="s">
        <v>92</v>
      </c>
      <c r="J348">
        <v>331</v>
      </c>
      <c r="K348" s="3">
        <v>7.6</v>
      </c>
      <c r="L348">
        <v>2515.6</v>
      </c>
    </row>
    <row r="349" spans="1:12" x14ac:dyDescent="0.3">
      <c r="A349">
        <v>13</v>
      </c>
      <c r="B349">
        <v>23</v>
      </c>
      <c r="C349">
        <v>3</v>
      </c>
      <c r="D349">
        <v>14</v>
      </c>
      <c r="E349">
        <v>1</v>
      </c>
      <c r="F349">
        <v>0</v>
      </c>
      <c r="G349">
        <v>11</v>
      </c>
      <c r="H349" t="s">
        <v>23</v>
      </c>
      <c r="I349" t="s">
        <v>71</v>
      </c>
      <c r="J349">
        <v>685</v>
      </c>
      <c r="K349" s="3">
        <v>8.4</v>
      </c>
      <c r="L349">
        <v>5754</v>
      </c>
    </row>
    <row r="350" spans="1:12" x14ac:dyDescent="0.3">
      <c r="A350">
        <v>0</v>
      </c>
      <c r="B350">
        <v>23</v>
      </c>
      <c r="C350">
        <v>2</v>
      </c>
      <c r="D350">
        <v>10</v>
      </c>
      <c r="E350">
        <v>0</v>
      </c>
      <c r="F350">
        <v>0</v>
      </c>
      <c r="G350">
        <v>4</v>
      </c>
      <c r="H350" t="s">
        <v>38</v>
      </c>
      <c r="I350" t="s">
        <v>94</v>
      </c>
      <c r="J350">
        <v>655</v>
      </c>
      <c r="K350" s="3">
        <v>0</v>
      </c>
      <c r="L350">
        <v>4847</v>
      </c>
    </row>
    <row r="351" spans="1:12" x14ac:dyDescent="0.3">
      <c r="A351">
        <v>7</v>
      </c>
      <c r="B351">
        <v>21</v>
      </c>
      <c r="C351">
        <v>1</v>
      </c>
      <c r="D351">
        <v>10</v>
      </c>
      <c r="E351">
        <v>1</v>
      </c>
      <c r="F351">
        <v>0</v>
      </c>
      <c r="G351">
        <v>12</v>
      </c>
      <c r="H351" t="s">
        <v>25</v>
      </c>
      <c r="I351" t="s">
        <v>71</v>
      </c>
      <c r="J351">
        <v>477</v>
      </c>
      <c r="K351" s="3">
        <v>8.1</v>
      </c>
      <c r="L351">
        <v>3863.7</v>
      </c>
    </row>
    <row r="352" spans="1:12" x14ac:dyDescent="0.3">
      <c r="A352">
        <v>13</v>
      </c>
      <c r="B352">
        <v>23</v>
      </c>
      <c r="C352">
        <v>1</v>
      </c>
      <c r="D352">
        <v>4</v>
      </c>
      <c r="E352">
        <v>1</v>
      </c>
      <c r="F352">
        <v>0</v>
      </c>
      <c r="G352">
        <v>12</v>
      </c>
      <c r="H352" t="s">
        <v>32</v>
      </c>
      <c r="I352" t="s">
        <v>85</v>
      </c>
      <c r="J352">
        <v>513</v>
      </c>
      <c r="K352" s="3">
        <v>7.6</v>
      </c>
      <c r="L352">
        <v>3898.7999999999902</v>
      </c>
    </row>
    <row r="353" spans="1:12" x14ac:dyDescent="0.3">
      <c r="A353">
        <v>7</v>
      </c>
      <c r="B353">
        <v>20</v>
      </c>
      <c r="C353">
        <v>0</v>
      </c>
      <c r="D353">
        <v>0</v>
      </c>
      <c r="E353">
        <v>1</v>
      </c>
      <c r="F353">
        <v>0</v>
      </c>
      <c r="G353">
        <v>2</v>
      </c>
      <c r="H353" t="s">
        <v>15</v>
      </c>
      <c r="I353" t="s">
        <v>85</v>
      </c>
      <c r="J353">
        <v>328</v>
      </c>
      <c r="K353" s="3">
        <v>8.3000000000000007</v>
      </c>
      <c r="L353">
        <v>2722.4</v>
      </c>
    </row>
    <row r="354" spans="1:12" x14ac:dyDescent="0.3">
      <c r="A354">
        <v>17</v>
      </c>
      <c r="B354">
        <v>22</v>
      </c>
      <c r="C354">
        <v>3</v>
      </c>
      <c r="D354">
        <v>4</v>
      </c>
      <c r="E354">
        <v>1</v>
      </c>
      <c r="F354">
        <v>0</v>
      </c>
      <c r="G354">
        <v>7</v>
      </c>
      <c r="H354" t="s">
        <v>20</v>
      </c>
      <c r="I354" t="s">
        <v>75</v>
      </c>
      <c r="J354">
        <v>372</v>
      </c>
      <c r="K354" s="3">
        <v>9.1</v>
      </c>
      <c r="L354">
        <v>3385.2</v>
      </c>
    </row>
    <row r="355" spans="1:12" x14ac:dyDescent="0.3">
      <c r="A355">
        <v>21</v>
      </c>
      <c r="B355">
        <v>23</v>
      </c>
      <c r="C355">
        <v>2</v>
      </c>
      <c r="D355">
        <v>6</v>
      </c>
      <c r="E355">
        <v>1</v>
      </c>
      <c r="F355">
        <v>0</v>
      </c>
      <c r="G355">
        <v>6</v>
      </c>
      <c r="H355" t="s">
        <v>42</v>
      </c>
      <c r="I355" t="s">
        <v>88</v>
      </c>
      <c r="J355">
        <v>0</v>
      </c>
      <c r="K355" s="3">
        <v>7.8</v>
      </c>
      <c r="L355">
        <v>4960.8</v>
      </c>
    </row>
    <row r="356" spans="1:12" x14ac:dyDescent="0.3">
      <c r="A356">
        <v>10</v>
      </c>
      <c r="B356">
        <v>22</v>
      </c>
      <c r="C356">
        <v>2</v>
      </c>
      <c r="D356">
        <v>0</v>
      </c>
      <c r="E356">
        <v>1</v>
      </c>
      <c r="F356">
        <v>0</v>
      </c>
      <c r="G356">
        <v>10</v>
      </c>
      <c r="H356" t="s">
        <v>16</v>
      </c>
      <c r="I356" t="s">
        <v>368</v>
      </c>
      <c r="J356">
        <v>578</v>
      </c>
      <c r="K356" s="3">
        <v>8.9</v>
      </c>
      <c r="L356">
        <v>5144.2</v>
      </c>
    </row>
    <row r="357" spans="1:12" x14ac:dyDescent="0.3">
      <c r="A357">
        <v>8</v>
      </c>
      <c r="B357">
        <v>23</v>
      </c>
      <c r="C357">
        <v>1</v>
      </c>
      <c r="D357">
        <v>19</v>
      </c>
      <c r="E357">
        <v>1</v>
      </c>
      <c r="F357">
        <v>0</v>
      </c>
      <c r="G357">
        <v>1</v>
      </c>
      <c r="H357" t="s">
        <v>32</v>
      </c>
      <c r="I357" t="s">
        <v>82</v>
      </c>
      <c r="J357">
        <v>661</v>
      </c>
      <c r="K357" s="3">
        <v>7.6</v>
      </c>
      <c r="L357">
        <v>0</v>
      </c>
    </row>
    <row r="358" spans="1:12" x14ac:dyDescent="0.3">
      <c r="A358">
        <v>10</v>
      </c>
      <c r="B358">
        <v>20</v>
      </c>
      <c r="C358">
        <v>2</v>
      </c>
      <c r="D358">
        <v>4</v>
      </c>
      <c r="E358">
        <v>1</v>
      </c>
      <c r="F358">
        <v>0</v>
      </c>
      <c r="G358">
        <v>11</v>
      </c>
      <c r="H358" t="s">
        <v>32</v>
      </c>
      <c r="I358" t="s">
        <v>71</v>
      </c>
      <c r="J358">
        <v>467</v>
      </c>
      <c r="K358" s="3">
        <v>7.6</v>
      </c>
      <c r="L358">
        <v>3549.2</v>
      </c>
    </row>
    <row r="359" spans="1:12" x14ac:dyDescent="0.3">
      <c r="A359">
        <v>23</v>
      </c>
      <c r="B359">
        <v>23</v>
      </c>
      <c r="C359">
        <v>0</v>
      </c>
      <c r="D359">
        <v>21</v>
      </c>
      <c r="E359">
        <v>1</v>
      </c>
      <c r="F359">
        <v>0</v>
      </c>
      <c r="G359">
        <v>10</v>
      </c>
      <c r="H359" t="s">
        <v>16</v>
      </c>
      <c r="I359" t="s">
        <v>71</v>
      </c>
      <c r="J359">
        <v>537</v>
      </c>
      <c r="K359" s="3">
        <v>8.9</v>
      </c>
      <c r="L359">
        <v>4779.3</v>
      </c>
    </row>
    <row r="360" spans="1:12" x14ac:dyDescent="0.3">
      <c r="A360">
        <v>17</v>
      </c>
      <c r="B360">
        <v>23</v>
      </c>
      <c r="C360">
        <v>1</v>
      </c>
      <c r="D360">
        <v>12</v>
      </c>
      <c r="E360">
        <v>1</v>
      </c>
      <c r="F360">
        <v>0</v>
      </c>
      <c r="G360">
        <v>9</v>
      </c>
      <c r="H360" t="s">
        <v>21</v>
      </c>
      <c r="I360" t="s">
        <v>78</v>
      </c>
      <c r="J360">
        <v>496</v>
      </c>
      <c r="K360" s="3">
        <v>8.6999999999999993</v>
      </c>
      <c r="L360">
        <v>4315.2</v>
      </c>
    </row>
    <row r="361" spans="1:12" x14ac:dyDescent="0.3">
      <c r="A361">
        <v>8</v>
      </c>
      <c r="B361">
        <v>19</v>
      </c>
      <c r="C361">
        <v>2</v>
      </c>
      <c r="D361">
        <v>18</v>
      </c>
      <c r="E361">
        <v>1</v>
      </c>
      <c r="F361">
        <v>0</v>
      </c>
      <c r="G361">
        <v>8</v>
      </c>
      <c r="H361" t="s">
        <v>31</v>
      </c>
      <c r="I361" t="s">
        <v>78</v>
      </c>
      <c r="J361">
        <v>432</v>
      </c>
      <c r="K361" s="3">
        <v>7.9</v>
      </c>
      <c r="L361">
        <v>3412.8</v>
      </c>
    </row>
    <row r="362" spans="1:12" x14ac:dyDescent="0.3">
      <c r="A362">
        <v>14</v>
      </c>
      <c r="B362">
        <v>22</v>
      </c>
      <c r="C362">
        <v>0</v>
      </c>
      <c r="D362">
        <v>8</v>
      </c>
      <c r="E362">
        <v>0</v>
      </c>
      <c r="F362">
        <v>0</v>
      </c>
      <c r="G362">
        <v>6</v>
      </c>
      <c r="H362" t="s">
        <v>21</v>
      </c>
      <c r="I362" t="s">
        <v>109</v>
      </c>
      <c r="J362">
        <v>545</v>
      </c>
      <c r="K362" s="3">
        <v>8.6999999999999993</v>
      </c>
      <c r="L362">
        <v>4741.5</v>
      </c>
    </row>
    <row r="363" spans="1:12" x14ac:dyDescent="0.3">
      <c r="A363">
        <v>17</v>
      </c>
      <c r="B363">
        <v>23</v>
      </c>
      <c r="C363">
        <v>2</v>
      </c>
      <c r="D363">
        <v>14</v>
      </c>
      <c r="E363">
        <v>12</v>
      </c>
      <c r="F363">
        <v>0</v>
      </c>
      <c r="G363">
        <v>1</v>
      </c>
      <c r="H363" t="s">
        <v>38</v>
      </c>
      <c r="I363" t="s">
        <v>109</v>
      </c>
      <c r="J363">
        <v>587</v>
      </c>
      <c r="K363" s="3">
        <v>7.4</v>
      </c>
      <c r="L363">
        <v>4343.8</v>
      </c>
    </row>
    <row r="364" spans="1:12" x14ac:dyDescent="0.3">
      <c r="A364">
        <v>12</v>
      </c>
      <c r="B364">
        <v>0</v>
      </c>
      <c r="C364">
        <v>1</v>
      </c>
      <c r="D364">
        <v>11</v>
      </c>
      <c r="E364">
        <v>12</v>
      </c>
      <c r="F364">
        <v>0</v>
      </c>
      <c r="G364">
        <v>9</v>
      </c>
      <c r="H364" t="s">
        <v>25</v>
      </c>
      <c r="I364" t="s">
        <v>104</v>
      </c>
      <c r="J364">
        <v>467</v>
      </c>
      <c r="K364" s="3">
        <v>8.1</v>
      </c>
      <c r="L364">
        <v>3782.7</v>
      </c>
    </row>
    <row r="365" spans="1:12" x14ac:dyDescent="0.3">
      <c r="A365">
        <v>7</v>
      </c>
      <c r="B365">
        <v>20</v>
      </c>
      <c r="C365">
        <v>2</v>
      </c>
      <c r="D365">
        <v>6</v>
      </c>
      <c r="E365">
        <v>7</v>
      </c>
      <c r="F365">
        <v>0</v>
      </c>
      <c r="G365">
        <v>2</v>
      </c>
      <c r="H365" t="s">
        <v>18</v>
      </c>
      <c r="I365" t="s">
        <v>74</v>
      </c>
      <c r="J365">
        <v>473</v>
      </c>
      <c r="K365" s="3">
        <v>7.7</v>
      </c>
      <c r="L365">
        <v>3642.1</v>
      </c>
    </row>
    <row r="366" spans="1:12" x14ac:dyDescent="0.3">
      <c r="A366">
        <v>11</v>
      </c>
      <c r="B366">
        <v>22</v>
      </c>
      <c r="C366">
        <v>3</v>
      </c>
      <c r="D366">
        <v>6</v>
      </c>
      <c r="E366">
        <v>12</v>
      </c>
      <c r="F366">
        <v>0</v>
      </c>
      <c r="G366">
        <v>1</v>
      </c>
      <c r="H366" t="s">
        <v>33</v>
      </c>
      <c r="I366" t="s">
        <v>97</v>
      </c>
      <c r="J366">
        <v>561</v>
      </c>
      <c r="K366" s="3">
        <v>9.3000000000000007</v>
      </c>
      <c r="L366">
        <v>5217.3</v>
      </c>
    </row>
    <row r="367" spans="1:12" x14ac:dyDescent="0.3">
      <c r="A367">
        <v>22</v>
      </c>
      <c r="B367">
        <v>23</v>
      </c>
      <c r="C367">
        <v>3</v>
      </c>
      <c r="D367">
        <v>3</v>
      </c>
      <c r="E367">
        <v>12</v>
      </c>
      <c r="F367">
        <v>0</v>
      </c>
      <c r="G367">
        <v>10</v>
      </c>
      <c r="H367" t="s">
        <v>61</v>
      </c>
      <c r="I367" t="s">
        <v>97</v>
      </c>
      <c r="J367">
        <v>739</v>
      </c>
      <c r="K367" s="3">
        <v>7.4</v>
      </c>
      <c r="L367">
        <v>5468.6</v>
      </c>
    </row>
    <row r="368" spans="1:12" x14ac:dyDescent="0.3">
      <c r="A368">
        <v>23</v>
      </c>
      <c r="B368">
        <v>22</v>
      </c>
      <c r="C368">
        <v>2</v>
      </c>
      <c r="D368">
        <v>22</v>
      </c>
      <c r="E368">
        <v>1</v>
      </c>
      <c r="F368">
        <v>0</v>
      </c>
      <c r="G368">
        <v>7</v>
      </c>
      <c r="H368" t="s">
        <v>51</v>
      </c>
      <c r="I368" t="s">
        <v>95</v>
      </c>
      <c r="J368">
        <v>807</v>
      </c>
      <c r="K368" s="3">
        <v>8.8000000000000007</v>
      </c>
      <c r="L368">
        <v>7101.6</v>
      </c>
    </row>
    <row r="369" spans="1:12" x14ac:dyDescent="0.3">
      <c r="A369">
        <v>8</v>
      </c>
      <c r="B369">
        <v>20</v>
      </c>
      <c r="C369">
        <v>3</v>
      </c>
      <c r="D369">
        <v>14</v>
      </c>
      <c r="E369">
        <v>7</v>
      </c>
      <c r="F369">
        <v>0</v>
      </c>
      <c r="G369">
        <v>2</v>
      </c>
      <c r="H369" t="s">
        <v>34</v>
      </c>
      <c r="I369" t="s">
        <v>95</v>
      </c>
      <c r="J369">
        <v>499</v>
      </c>
      <c r="K369" s="3">
        <v>7.6</v>
      </c>
      <c r="L369">
        <v>3792.3999999999901</v>
      </c>
    </row>
    <row r="370" spans="1:12" x14ac:dyDescent="0.3">
      <c r="A370">
        <v>23</v>
      </c>
      <c r="B370">
        <v>23</v>
      </c>
      <c r="C370">
        <v>3</v>
      </c>
      <c r="D370">
        <v>18</v>
      </c>
      <c r="E370">
        <v>1</v>
      </c>
      <c r="F370">
        <v>0</v>
      </c>
      <c r="G370">
        <v>4</v>
      </c>
      <c r="H370" t="s">
        <v>23</v>
      </c>
      <c r="I370" t="s">
        <v>71</v>
      </c>
      <c r="J370">
        <v>564</v>
      </c>
      <c r="K370" s="3">
        <v>8.4</v>
      </c>
      <c r="L370">
        <v>4737.6000000000004</v>
      </c>
    </row>
    <row r="371" spans="1:12" x14ac:dyDescent="0.3">
      <c r="A371">
        <v>14</v>
      </c>
      <c r="B371">
        <v>23</v>
      </c>
      <c r="C371">
        <v>0</v>
      </c>
      <c r="D371">
        <v>19</v>
      </c>
      <c r="E371">
        <v>12</v>
      </c>
      <c r="F371">
        <v>0</v>
      </c>
      <c r="G371">
        <v>10</v>
      </c>
      <c r="H371" t="s">
        <v>54</v>
      </c>
      <c r="I371" t="s">
        <v>88</v>
      </c>
      <c r="J371">
        <v>534</v>
      </c>
      <c r="K371" s="3">
        <v>9.1999999999999993</v>
      </c>
      <c r="L371">
        <v>4912.7999999999902</v>
      </c>
    </row>
    <row r="372" spans="1:12" x14ac:dyDescent="0.3">
      <c r="A372">
        <v>11</v>
      </c>
      <c r="B372">
        <v>23</v>
      </c>
      <c r="C372">
        <v>3</v>
      </c>
      <c r="D372">
        <v>9</v>
      </c>
      <c r="E372">
        <v>12</v>
      </c>
      <c r="F372">
        <v>0</v>
      </c>
      <c r="G372">
        <v>12</v>
      </c>
      <c r="H372" t="s">
        <v>16</v>
      </c>
      <c r="I372" t="s">
        <v>96</v>
      </c>
      <c r="J372">
        <v>610</v>
      </c>
      <c r="K372" s="3">
        <v>8.9</v>
      </c>
      <c r="L372">
        <v>5429</v>
      </c>
    </row>
    <row r="373" spans="1:12" x14ac:dyDescent="0.3">
      <c r="A373">
        <v>22</v>
      </c>
      <c r="B373">
        <v>22</v>
      </c>
      <c r="C373">
        <v>0</v>
      </c>
      <c r="D373">
        <v>20</v>
      </c>
      <c r="E373">
        <v>1</v>
      </c>
      <c r="F373">
        <v>0</v>
      </c>
      <c r="G373">
        <v>1</v>
      </c>
      <c r="H373" t="s">
        <v>36</v>
      </c>
      <c r="I373" t="s">
        <v>77</v>
      </c>
      <c r="J373">
        <v>654</v>
      </c>
      <c r="K373" s="3">
        <v>8.8000000000000007</v>
      </c>
      <c r="L373">
        <v>5755.2</v>
      </c>
    </row>
    <row r="374" spans="1:12" x14ac:dyDescent="0.3">
      <c r="A374">
        <v>19</v>
      </c>
      <c r="B374">
        <v>23</v>
      </c>
      <c r="C374">
        <v>1</v>
      </c>
      <c r="D374">
        <v>14</v>
      </c>
      <c r="E374">
        <v>1</v>
      </c>
      <c r="F374">
        <v>0</v>
      </c>
      <c r="G374">
        <v>1</v>
      </c>
      <c r="H374" t="s">
        <v>45</v>
      </c>
      <c r="I374" t="s">
        <v>97</v>
      </c>
      <c r="J374">
        <v>651</v>
      </c>
      <c r="K374" s="3">
        <v>7.9</v>
      </c>
      <c r="L374">
        <v>5142.8999999999996</v>
      </c>
    </row>
    <row r="375" spans="1:12" x14ac:dyDescent="0.3">
      <c r="A375">
        <v>19</v>
      </c>
      <c r="B375">
        <v>23</v>
      </c>
      <c r="C375">
        <v>0</v>
      </c>
      <c r="D375">
        <v>11</v>
      </c>
      <c r="E375">
        <v>1</v>
      </c>
      <c r="F375">
        <v>0</v>
      </c>
      <c r="G375">
        <v>4</v>
      </c>
      <c r="H375" t="s">
        <v>35</v>
      </c>
      <c r="I375" t="s">
        <v>81</v>
      </c>
      <c r="J375">
        <v>565</v>
      </c>
      <c r="K375" s="3">
        <v>8.1999999999999993</v>
      </c>
      <c r="L375">
        <v>4633</v>
      </c>
    </row>
    <row r="376" spans="1:12" x14ac:dyDescent="0.3">
      <c r="A376">
        <v>0</v>
      </c>
      <c r="B376">
        <v>22</v>
      </c>
      <c r="C376">
        <v>2</v>
      </c>
      <c r="D376">
        <v>11</v>
      </c>
      <c r="E376">
        <v>1</v>
      </c>
      <c r="F376">
        <v>0</v>
      </c>
      <c r="G376">
        <v>2</v>
      </c>
      <c r="H376" t="s">
        <v>32</v>
      </c>
      <c r="I376" t="s">
        <v>81</v>
      </c>
      <c r="J376">
        <v>538</v>
      </c>
      <c r="K376" s="3">
        <v>7.6</v>
      </c>
      <c r="L376">
        <v>4088.7999999999902</v>
      </c>
    </row>
    <row r="377" spans="1:12" x14ac:dyDescent="0.3">
      <c r="A377">
        <v>10</v>
      </c>
      <c r="B377">
        <v>17</v>
      </c>
      <c r="C377">
        <v>2</v>
      </c>
      <c r="D377">
        <v>22</v>
      </c>
      <c r="E377">
        <v>7</v>
      </c>
      <c r="F377">
        <v>0</v>
      </c>
      <c r="G377">
        <v>8</v>
      </c>
      <c r="H377" t="s">
        <v>62</v>
      </c>
      <c r="I377" t="s">
        <v>94</v>
      </c>
      <c r="J377">
        <v>548</v>
      </c>
      <c r="K377" s="3">
        <v>8.5</v>
      </c>
      <c r="L377">
        <v>4658</v>
      </c>
    </row>
    <row r="378" spans="1:12" x14ac:dyDescent="0.3">
      <c r="A378">
        <v>17</v>
      </c>
      <c r="B378">
        <v>22</v>
      </c>
      <c r="C378">
        <v>2</v>
      </c>
      <c r="D378">
        <v>12</v>
      </c>
      <c r="E378">
        <v>1</v>
      </c>
      <c r="F378">
        <v>0</v>
      </c>
      <c r="G378">
        <v>8</v>
      </c>
      <c r="H378" t="s">
        <v>26</v>
      </c>
      <c r="I378" t="s">
        <v>75</v>
      </c>
      <c r="J378">
        <v>615</v>
      </c>
      <c r="K378" s="3">
        <v>8.5</v>
      </c>
      <c r="L378">
        <v>5227.5</v>
      </c>
    </row>
    <row r="379" spans="1:12" x14ac:dyDescent="0.3">
      <c r="A379">
        <v>16</v>
      </c>
      <c r="B379">
        <v>22</v>
      </c>
      <c r="C379">
        <v>3</v>
      </c>
      <c r="D379">
        <v>10</v>
      </c>
      <c r="E379">
        <v>1</v>
      </c>
      <c r="F379">
        <v>0</v>
      </c>
      <c r="G379">
        <v>9</v>
      </c>
      <c r="H379" t="s">
        <v>369</v>
      </c>
      <c r="I379" t="s">
        <v>70</v>
      </c>
      <c r="J379">
        <v>580</v>
      </c>
      <c r="K379" s="3">
        <v>8.5</v>
      </c>
      <c r="L379">
        <v>4930</v>
      </c>
    </row>
    <row r="380" spans="1:12" x14ac:dyDescent="0.3">
      <c r="A380">
        <v>19</v>
      </c>
      <c r="B380">
        <v>22</v>
      </c>
      <c r="C380">
        <v>3</v>
      </c>
      <c r="D380">
        <v>6</v>
      </c>
      <c r="E380">
        <v>12</v>
      </c>
      <c r="F380">
        <v>0</v>
      </c>
      <c r="G380">
        <v>10</v>
      </c>
      <c r="H380" t="s">
        <v>38</v>
      </c>
      <c r="I380" t="s">
        <v>105</v>
      </c>
      <c r="J380">
        <v>501</v>
      </c>
      <c r="K380" s="3">
        <v>0</v>
      </c>
      <c r="L380">
        <v>3707.4</v>
      </c>
    </row>
    <row r="381" spans="1:12" x14ac:dyDescent="0.3">
      <c r="A381">
        <v>5</v>
      </c>
      <c r="B381">
        <v>19</v>
      </c>
      <c r="C381">
        <v>2</v>
      </c>
      <c r="D381">
        <v>7</v>
      </c>
      <c r="E381">
        <v>1</v>
      </c>
      <c r="F381">
        <v>0</v>
      </c>
      <c r="G381">
        <v>1</v>
      </c>
      <c r="H381" t="s">
        <v>15</v>
      </c>
      <c r="I381" t="s">
        <v>70</v>
      </c>
      <c r="J381">
        <v>256</v>
      </c>
      <c r="K381">
        <v>8.3000000000000007</v>
      </c>
      <c r="L381">
        <v>2124.8000000000002</v>
      </c>
    </row>
    <row r="382" spans="1:12" x14ac:dyDescent="0.3">
      <c r="A382">
        <v>7</v>
      </c>
      <c r="B382">
        <v>21</v>
      </c>
      <c r="C382">
        <v>0</v>
      </c>
      <c r="D382">
        <v>6</v>
      </c>
      <c r="E382">
        <v>1</v>
      </c>
      <c r="F382">
        <v>0</v>
      </c>
      <c r="G382">
        <v>12</v>
      </c>
      <c r="H382" t="s">
        <v>52</v>
      </c>
      <c r="I382" t="s">
        <v>93</v>
      </c>
      <c r="J382">
        <v>276</v>
      </c>
      <c r="K382" s="3">
        <v>9.3000000000000007</v>
      </c>
      <c r="L382">
        <v>2566.8000000000002</v>
      </c>
    </row>
    <row r="383" spans="1:12" x14ac:dyDescent="0.3">
      <c r="A383">
        <v>12</v>
      </c>
      <c r="B383">
        <v>23</v>
      </c>
      <c r="C383">
        <v>2</v>
      </c>
      <c r="D383">
        <v>9</v>
      </c>
      <c r="E383">
        <v>1</v>
      </c>
      <c r="F383">
        <v>0</v>
      </c>
      <c r="G383">
        <v>6</v>
      </c>
      <c r="H383" t="s">
        <v>16</v>
      </c>
      <c r="I383" t="s">
        <v>107</v>
      </c>
      <c r="J383">
        <v>546</v>
      </c>
      <c r="K383" s="3">
        <v>8.9</v>
      </c>
      <c r="L383">
        <v>4859.3999999999996</v>
      </c>
    </row>
    <row r="384" spans="1:12" x14ac:dyDescent="0.3">
      <c r="A384">
        <v>8</v>
      </c>
      <c r="B384">
        <v>19</v>
      </c>
      <c r="C384">
        <v>2</v>
      </c>
      <c r="D384">
        <v>10</v>
      </c>
      <c r="E384">
        <v>1</v>
      </c>
      <c r="F384">
        <v>0</v>
      </c>
      <c r="G384">
        <v>8</v>
      </c>
      <c r="H384" t="s">
        <v>36</v>
      </c>
      <c r="I384" t="s">
        <v>82</v>
      </c>
      <c r="J384">
        <v>407</v>
      </c>
      <c r="K384" s="3">
        <v>8.8000000000000007</v>
      </c>
      <c r="L384">
        <v>3581.6</v>
      </c>
    </row>
    <row r="385" spans="1:12" x14ac:dyDescent="0.3">
      <c r="A385">
        <v>5</v>
      </c>
      <c r="B385">
        <v>20</v>
      </c>
      <c r="C385">
        <v>2</v>
      </c>
      <c r="D385">
        <v>19</v>
      </c>
      <c r="E385">
        <v>7</v>
      </c>
      <c r="F385">
        <v>0</v>
      </c>
      <c r="G385">
        <v>12</v>
      </c>
      <c r="H385" t="s">
        <v>24</v>
      </c>
      <c r="I385" t="s">
        <v>82</v>
      </c>
      <c r="J385">
        <v>658</v>
      </c>
      <c r="K385" s="3">
        <v>7.9</v>
      </c>
      <c r="L385">
        <v>5198.2</v>
      </c>
    </row>
    <row r="386" spans="1:12" x14ac:dyDescent="0.3">
      <c r="A386">
        <v>19</v>
      </c>
      <c r="B386">
        <v>23</v>
      </c>
      <c r="C386">
        <v>0</v>
      </c>
      <c r="D386">
        <v>0</v>
      </c>
      <c r="E386">
        <v>0</v>
      </c>
      <c r="F386">
        <v>0</v>
      </c>
      <c r="G386">
        <v>2</v>
      </c>
      <c r="H386" t="s">
        <v>20</v>
      </c>
      <c r="I386" t="s">
        <v>120</v>
      </c>
      <c r="J386">
        <v>491</v>
      </c>
      <c r="K386" s="3">
        <v>9.1</v>
      </c>
      <c r="L386">
        <v>4468.0999999999904</v>
      </c>
    </row>
    <row r="387" spans="1:12" x14ac:dyDescent="0.3">
      <c r="A387">
        <v>20</v>
      </c>
      <c r="B387">
        <v>22</v>
      </c>
      <c r="C387">
        <v>3</v>
      </c>
      <c r="D387">
        <v>3</v>
      </c>
      <c r="E387">
        <v>12</v>
      </c>
      <c r="F387">
        <v>0</v>
      </c>
      <c r="G387">
        <v>4</v>
      </c>
      <c r="H387" t="s">
        <v>55</v>
      </c>
      <c r="I387" t="s">
        <v>93</v>
      </c>
      <c r="J387">
        <v>0</v>
      </c>
      <c r="K387" s="3">
        <v>7.8</v>
      </c>
      <c r="L387">
        <v>3868.7999999999902</v>
      </c>
    </row>
    <row r="388" spans="1:12" x14ac:dyDescent="0.3">
      <c r="A388">
        <v>8</v>
      </c>
      <c r="B388">
        <v>17</v>
      </c>
      <c r="C388">
        <v>1</v>
      </c>
      <c r="D388">
        <v>20</v>
      </c>
      <c r="E388">
        <v>7</v>
      </c>
      <c r="F388">
        <v>0</v>
      </c>
      <c r="G388">
        <v>10</v>
      </c>
      <c r="H388" t="s">
        <v>25</v>
      </c>
      <c r="I388" t="s">
        <v>106</v>
      </c>
      <c r="J388">
        <v>634</v>
      </c>
      <c r="K388" s="3">
        <v>8.1</v>
      </c>
      <c r="L388">
        <v>5135.3999999999996</v>
      </c>
    </row>
    <row r="389" spans="1:12" x14ac:dyDescent="0.3">
      <c r="A389">
        <v>22</v>
      </c>
      <c r="B389">
        <v>23</v>
      </c>
      <c r="C389">
        <v>3</v>
      </c>
      <c r="D389">
        <v>7</v>
      </c>
      <c r="E389">
        <v>1</v>
      </c>
      <c r="F389">
        <v>0</v>
      </c>
      <c r="G389">
        <v>11</v>
      </c>
      <c r="H389" t="s">
        <v>22</v>
      </c>
      <c r="I389" t="s">
        <v>97</v>
      </c>
      <c r="J389">
        <v>578</v>
      </c>
      <c r="K389" s="3">
        <v>7.8</v>
      </c>
      <c r="L389">
        <v>4508.3999999999996</v>
      </c>
    </row>
    <row r="390" spans="1:12" x14ac:dyDescent="0.3">
      <c r="A390">
        <v>14</v>
      </c>
      <c r="B390">
        <v>22</v>
      </c>
      <c r="C390">
        <v>0</v>
      </c>
      <c r="D390">
        <v>21</v>
      </c>
      <c r="E390">
        <v>12</v>
      </c>
      <c r="F390">
        <v>0</v>
      </c>
      <c r="G390">
        <v>8</v>
      </c>
      <c r="H390" t="s">
        <v>21</v>
      </c>
      <c r="I390" t="s">
        <v>78</v>
      </c>
      <c r="J390">
        <v>510</v>
      </c>
      <c r="K390" s="3">
        <v>8.6999999999999993</v>
      </c>
      <c r="L390">
        <v>4437</v>
      </c>
    </row>
    <row r="391" spans="1:12" x14ac:dyDescent="0.3">
      <c r="A391">
        <v>0</v>
      </c>
      <c r="B391">
        <v>22</v>
      </c>
      <c r="C391">
        <v>2</v>
      </c>
      <c r="D391">
        <v>21</v>
      </c>
      <c r="E391">
        <v>1</v>
      </c>
      <c r="F391">
        <v>0</v>
      </c>
      <c r="G391">
        <v>1</v>
      </c>
      <c r="H391" t="s">
        <v>33</v>
      </c>
      <c r="I391" t="s">
        <v>115</v>
      </c>
      <c r="J391">
        <v>754</v>
      </c>
      <c r="K391" s="3">
        <v>9.3000000000000007</v>
      </c>
      <c r="L391">
        <v>7012.2</v>
      </c>
    </row>
    <row r="392" spans="1:12" x14ac:dyDescent="0.3">
      <c r="A392">
        <v>20</v>
      </c>
      <c r="B392">
        <v>23</v>
      </c>
      <c r="C392">
        <v>1</v>
      </c>
      <c r="D392">
        <v>8</v>
      </c>
      <c r="E392">
        <v>12</v>
      </c>
      <c r="F392">
        <v>0</v>
      </c>
      <c r="G392">
        <v>0</v>
      </c>
      <c r="H392" t="s">
        <v>33</v>
      </c>
      <c r="I392" t="s">
        <v>77</v>
      </c>
      <c r="J392">
        <v>536</v>
      </c>
      <c r="K392" s="3">
        <v>9.3000000000000007</v>
      </c>
      <c r="L392">
        <v>4984.8</v>
      </c>
    </row>
    <row r="393" spans="1:12" x14ac:dyDescent="0.3">
      <c r="A393">
        <v>9</v>
      </c>
      <c r="B393">
        <v>23</v>
      </c>
      <c r="C393">
        <v>1</v>
      </c>
      <c r="D393">
        <v>22</v>
      </c>
      <c r="E393">
        <v>1</v>
      </c>
      <c r="F393">
        <v>0</v>
      </c>
      <c r="G393">
        <v>9</v>
      </c>
      <c r="H393" t="s">
        <v>39</v>
      </c>
      <c r="I393" t="s">
        <v>106</v>
      </c>
      <c r="J393">
        <v>490</v>
      </c>
      <c r="K393" s="3">
        <v>8.8000000000000007</v>
      </c>
      <c r="L393">
        <v>4312</v>
      </c>
    </row>
    <row r="394" spans="1:12" x14ac:dyDescent="0.3">
      <c r="A394">
        <v>18</v>
      </c>
      <c r="B394">
        <v>22</v>
      </c>
      <c r="C394">
        <v>0</v>
      </c>
      <c r="D394">
        <v>6</v>
      </c>
      <c r="E394">
        <v>0</v>
      </c>
      <c r="F394">
        <v>0</v>
      </c>
      <c r="G394">
        <v>4</v>
      </c>
      <c r="H394" t="s">
        <v>16</v>
      </c>
      <c r="I394" t="s">
        <v>368</v>
      </c>
      <c r="J394">
        <v>557</v>
      </c>
      <c r="K394" s="3">
        <v>8.9</v>
      </c>
      <c r="L394">
        <v>4957.3</v>
      </c>
    </row>
    <row r="395" spans="1:12" x14ac:dyDescent="0.3">
      <c r="A395">
        <v>0</v>
      </c>
      <c r="B395">
        <v>22</v>
      </c>
      <c r="C395">
        <v>0</v>
      </c>
      <c r="D395">
        <v>20</v>
      </c>
      <c r="E395">
        <v>1</v>
      </c>
      <c r="F395">
        <v>0</v>
      </c>
      <c r="G395">
        <v>6</v>
      </c>
      <c r="H395" t="s">
        <v>20</v>
      </c>
      <c r="I395" t="s">
        <v>75</v>
      </c>
      <c r="J395">
        <v>410</v>
      </c>
      <c r="K395" s="3">
        <v>9.1</v>
      </c>
      <c r="L395">
        <v>3731</v>
      </c>
    </row>
    <row r="396" spans="1:12" x14ac:dyDescent="0.3">
      <c r="A396">
        <v>15</v>
      </c>
      <c r="B396">
        <v>22</v>
      </c>
      <c r="C396">
        <v>3</v>
      </c>
      <c r="D396">
        <v>6</v>
      </c>
      <c r="E396">
        <v>1</v>
      </c>
      <c r="F396">
        <v>0</v>
      </c>
      <c r="G396">
        <v>9</v>
      </c>
      <c r="H396" t="s">
        <v>26</v>
      </c>
      <c r="I396" t="s">
        <v>76</v>
      </c>
      <c r="J396">
        <v>414</v>
      </c>
      <c r="K396" s="3">
        <v>8.5</v>
      </c>
      <c r="L396">
        <v>3519</v>
      </c>
    </row>
    <row r="397" spans="1:12" x14ac:dyDescent="0.3">
      <c r="A397">
        <v>18</v>
      </c>
      <c r="B397">
        <v>22</v>
      </c>
      <c r="C397">
        <v>0</v>
      </c>
      <c r="D397">
        <v>7</v>
      </c>
      <c r="E397">
        <v>1</v>
      </c>
      <c r="F397">
        <v>0</v>
      </c>
      <c r="G397">
        <v>1</v>
      </c>
      <c r="H397" t="s">
        <v>369</v>
      </c>
      <c r="I397" t="s">
        <v>82</v>
      </c>
      <c r="J397">
        <v>488</v>
      </c>
      <c r="K397" s="3">
        <v>8.1</v>
      </c>
      <c r="L397">
        <v>3952.7999999999902</v>
      </c>
    </row>
    <row r="398" spans="1:12" x14ac:dyDescent="0.3">
      <c r="A398">
        <v>6</v>
      </c>
      <c r="B398">
        <v>22</v>
      </c>
      <c r="C398">
        <v>0</v>
      </c>
      <c r="D398">
        <v>19</v>
      </c>
      <c r="E398">
        <v>1</v>
      </c>
      <c r="F398">
        <v>0</v>
      </c>
      <c r="G398">
        <v>0</v>
      </c>
      <c r="H398" t="s">
        <v>369</v>
      </c>
      <c r="I398" t="s">
        <v>84</v>
      </c>
      <c r="J398">
        <v>432</v>
      </c>
      <c r="K398" s="3">
        <v>7.8</v>
      </c>
      <c r="L398">
        <v>3369.6</v>
      </c>
    </row>
    <row r="399" spans="1:12" x14ac:dyDescent="0.3">
      <c r="A399">
        <v>17</v>
      </c>
      <c r="B399">
        <v>22</v>
      </c>
      <c r="C399">
        <v>3</v>
      </c>
      <c r="D399">
        <v>7</v>
      </c>
      <c r="E399">
        <v>1</v>
      </c>
      <c r="F399">
        <v>0</v>
      </c>
      <c r="G399">
        <v>12</v>
      </c>
      <c r="H399" t="s">
        <v>49</v>
      </c>
      <c r="I399" t="s">
        <v>91</v>
      </c>
      <c r="J399">
        <v>552</v>
      </c>
      <c r="K399" s="3">
        <v>8.5</v>
      </c>
      <c r="L399">
        <v>4692</v>
      </c>
    </row>
    <row r="400" spans="1:12" x14ac:dyDescent="0.3">
      <c r="A400">
        <v>11</v>
      </c>
      <c r="B400">
        <v>22</v>
      </c>
      <c r="C400">
        <v>1</v>
      </c>
      <c r="D400">
        <v>12</v>
      </c>
      <c r="E400">
        <v>1</v>
      </c>
      <c r="F400">
        <v>0</v>
      </c>
      <c r="G400">
        <v>12</v>
      </c>
      <c r="H400" t="s">
        <v>15</v>
      </c>
      <c r="I400" t="s">
        <v>107</v>
      </c>
      <c r="J400">
        <v>563</v>
      </c>
      <c r="K400" s="3">
        <v>8.3000000000000007</v>
      </c>
      <c r="L400">
        <v>4672.8999999999996</v>
      </c>
    </row>
    <row r="401" spans="1:12" x14ac:dyDescent="0.3">
      <c r="A401">
        <v>20</v>
      </c>
      <c r="B401">
        <v>23</v>
      </c>
      <c r="C401">
        <v>3</v>
      </c>
      <c r="D401">
        <v>20</v>
      </c>
      <c r="E401">
        <v>12</v>
      </c>
      <c r="F401">
        <v>0</v>
      </c>
      <c r="G401">
        <v>3</v>
      </c>
      <c r="H401" t="s">
        <v>22</v>
      </c>
      <c r="I401" t="s">
        <v>83</v>
      </c>
      <c r="J401">
        <v>754</v>
      </c>
      <c r="K401">
        <v>7.8</v>
      </c>
      <c r="L401">
        <v>5881.2</v>
      </c>
    </row>
    <row r="402" spans="1:12" x14ac:dyDescent="0.3">
      <c r="A402">
        <v>9</v>
      </c>
      <c r="B402">
        <v>20</v>
      </c>
      <c r="C402">
        <v>2</v>
      </c>
      <c r="D402">
        <v>3</v>
      </c>
      <c r="E402">
        <v>1</v>
      </c>
      <c r="F402">
        <v>0</v>
      </c>
      <c r="G402">
        <v>9</v>
      </c>
      <c r="H402" t="s">
        <v>16</v>
      </c>
      <c r="I402" t="s">
        <v>97</v>
      </c>
      <c r="J402">
        <v>414</v>
      </c>
      <c r="K402" s="3">
        <v>0</v>
      </c>
      <c r="L402">
        <v>3684.6</v>
      </c>
    </row>
    <row r="403" spans="1:12" x14ac:dyDescent="0.3">
      <c r="A403">
        <v>23</v>
      </c>
      <c r="B403">
        <v>23</v>
      </c>
      <c r="C403">
        <v>0</v>
      </c>
      <c r="D403">
        <v>22</v>
      </c>
      <c r="E403">
        <v>1</v>
      </c>
      <c r="F403">
        <v>0</v>
      </c>
      <c r="G403">
        <v>8</v>
      </c>
      <c r="H403" t="s">
        <v>18</v>
      </c>
      <c r="I403" t="s">
        <v>74</v>
      </c>
      <c r="J403">
        <v>563</v>
      </c>
      <c r="K403" s="3">
        <v>7.7</v>
      </c>
      <c r="L403">
        <v>4335.1000000000004</v>
      </c>
    </row>
    <row r="404" spans="1:12" x14ac:dyDescent="0.3">
      <c r="A404">
        <v>5</v>
      </c>
      <c r="B404">
        <v>18</v>
      </c>
      <c r="C404">
        <v>3</v>
      </c>
      <c r="D404">
        <v>3</v>
      </c>
      <c r="E404">
        <v>1</v>
      </c>
      <c r="F404">
        <v>0</v>
      </c>
      <c r="G404">
        <v>4</v>
      </c>
      <c r="H404" t="s">
        <v>28</v>
      </c>
      <c r="I404" t="s">
        <v>74</v>
      </c>
      <c r="J404">
        <v>309</v>
      </c>
      <c r="K404" s="3">
        <v>7.7</v>
      </c>
      <c r="L404">
        <v>2379.3000000000002</v>
      </c>
    </row>
    <row r="405" spans="1:12" x14ac:dyDescent="0.3">
      <c r="A405">
        <v>20</v>
      </c>
      <c r="B405">
        <v>23</v>
      </c>
      <c r="C405">
        <v>1</v>
      </c>
      <c r="D405">
        <v>8</v>
      </c>
      <c r="E405">
        <v>1</v>
      </c>
      <c r="F405">
        <v>0</v>
      </c>
      <c r="G405">
        <v>12</v>
      </c>
      <c r="H405" t="s">
        <v>20</v>
      </c>
      <c r="I405" t="s">
        <v>105</v>
      </c>
      <c r="J405">
        <v>566</v>
      </c>
      <c r="K405" s="3">
        <v>9.1</v>
      </c>
      <c r="L405">
        <v>5150.5999999999904</v>
      </c>
    </row>
    <row r="406" spans="1:12" x14ac:dyDescent="0.3">
      <c r="A406">
        <v>16</v>
      </c>
      <c r="B406">
        <v>23</v>
      </c>
      <c r="C406">
        <v>2</v>
      </c>
      <c r="D406">
        <v>0</v>
      </c>
      <c r="E406">
        <v>1</v>
      </c>
      <c r="F406">
        <v>0</v>
      </c>
      <c r="G406">
        <v>0</v>
      </c>
      <c r="H406" t="s">
        <v>35</v>
      </c>
      <c r="I406" t="s">
        <v>95</v>
      </c>
      <c r="J406">
        <v>588</v>
      </c>
      <c r="K406" s="3">
        <v>8.1999999999999993</v>
      </c>
      <c r="L406">
        <v>4821.5999999999904</v>
      </c>
    </row>
    <row r="407" spans="1:12" x14ac:dyDescent="0.3">
      <c r="A407">
        <v>18</v>
      </c>
      <c r="B407">
        <v>23</v>
      </c>
      <c r="C407">
        <v>1</v>
      </c>
      <c r="D407">
        <v>16</v>
      </c>
      <c r="E407">
        <v>0</v>
      </c>
      <c r="F407">
        <v>0</v>
      </c>
      <c r="G407">
        <v>3</v>
      </c>
      <c r="H407" t="s">
        <v>21</v>
      </c>
      <c r="I407" t="s">
        <v>73</v>
      </c>
      <c r="J407">
        <v>463</v>
      </c>
      <c r="K407">
        <v>8.6999999999999993</v>
      </c>
      <c r="L407">
        <v>4028.0999999999899</v>
      </c>
    </row>
    <row r="408" spans="1:12" x14ac:dyDescent="0.3">
      <c r="A408">
        <v>10</v>
      </c>
      <c r="B408">
        <v>0</v>
      </c>
      <c r="C408">
        <v>3</v>
      </c>
      <c r="D408">
        <v>9</v>
      </c>
      <c r="E408">
        <v>1</v>
      </c>
      <c r="F408">
        <v>0</v>
      </c>
      <c r="G408">
        <v>2</v>
      </c>
      <c r="H408" t="s">
        <v>35</v>
      </c>
      <c r="I408" t="s">
        <v>85</v>
      </c>
      <c r="J408">
        <v>369</v>
      </c>
      <c r="K408" s="3">
        <v>8.1999999999999993</v>
      </c>
      <c r="L408">
        <v>3025.7999999999902</v>
      </c>
    </row>
    <row r="409" spans="1:12" x14ac:dyDescent="0.3">
      <c r="A409">
        <v>13</v>
      </c>
      <c r="B409">
        <v>22</v>
      </c>
      <c r="C409">
        <v>2</v>
      </c>
      <c r="D409">
        <v>15</v>
      </c>
      <c r="E409">
        <v>1</v>
      </c>
      <c r="F409">
        <v>0</v>
      </c>
      <c r="G409">
        <v>9</v>
      </c>
      <c r="H409" t="s">
        <v>30</v>
      </c>
      <c r="I409" t="s">
        <v>74</v>
      </c>
      <c r="J409">
        <v>627</v>
      </c>
      <c r="K409" s="3">
        <v>9.1999999999999993</v>
      </c>
      <c r="L409">
        <v>5768.4</v>
      </c>
    </row>
    <row r="410" spans="1:12" x14ac:dyDescent="0.3">
      <c r="A410">
        <v>11</v>
      </c>
      <c r="B410">
        <v>23</v>
      </c>
      <c r="C410">
        <v>1</v>
      </c>
      <c r="D410">
        <v>22</v>
      </c>
      <c r="E410">
        <v>1</v>
      </c>
      <c r="F410">
        <v>0</v>
      </c>
      <c r="G410">
        <v>9</v>
      </c>
      <c r="H410" t="s">
        <v>20</v>
      </c>
      <c r="I410" t="s">
        <v>75</v>
      </c>
      <c r="J410">
        <v>0</v>
      </c>
      <c r="K410">
        <v>9.1</v>
      </c>
      <c r="L410">
        <v>5787.5999999999904</v>
      </c>
    </row>
    <row r="411" spans="1:12" x14ac:dyDescent="0.3">
      <c r="A411">
        <v>5</v>
      </c>
      <c r="B411">
        <v>23</v>
      </c>
      <c r="C411">
        <v>1</v>
      </c>
      <c r="D411">
        <v>19</v>
      </c>
      <c r="E411">
        <v>1</v>
      </c>
      <c r="F411">
        <v>0</v>
      </c>
      <c r="G411">
        <v>12</v>
      </c>
      <c r="H411" t="s">
        <v>46</v>
      </c>
      <c r="I411" t="s">
        <v>93</v>
      </c>
      <c r="J411">
        <v>522</v>
      </c>
      <c r="K411" s="3">
        <v>8.4</v>
      </c>
      <c r="L411">
        <v>4384.8</v>
      </c>
    </row>
    <row r="412" spans="1:12" x14ac:dyDescent="0.3">
      <c r="A412">
        <v>19</v>
      </c>
      <c r="B412">
        <v>23</v>
      </c>
      <c r="C412">
        <v>0</v>
      </c>
      <c r="D412">
        <v>5</v>
      </c>
      <c r="E412">
        <v>12</v>
      </c>
      <c r="F412">
        <v>0</v>
      </c>
      <c r="G412">
        <v>5</v>
      </c>
      <c r="H412" t="s">
        <v>24</v>
      </c>
      <c r="I412" t="s">
        <v>95</v>
      </c>
      <c r="J412">
        <v>503</v>
      </c>
      <c r="K412" s="3">
        <v>7.9</v>
      </c>
      <c r="L412">
        <v>3973.7</v>
      </c>
    </row>
    <row r="413" spans="1:12" x14ac:dyDescent="0.3">
      <c r="A413">
        <v>19</v>
      </c>
      <c r="B413">
        <v>22</v>
      </c>
      <c r="C413">
        <v>0</v>
      </c>
      <c r="D413">
        <v>13</v>
      </c>
      <c r="E413">
        <v>12</v>
      </c>
      <c r="F413">
        <v>0</v>
      </c>
      <c r="G413">
        <v>6</v>
      </c>
      <c r="H413" t="s">
        <v>40</v>
      </c>
      <c r="I413" t="s">
        <v>88</v>
      </c>
      <c r="J413">
        <v>456</v>
      </c>
      <c r="K413" s="3">
        <v>7.4</v>
      </c>
      <c r="L413">
        <v>3374.4</v>
      </c>
    </row>
    <row r="414" spans="1:12" x14ac:dyDescent="0.3">
      <c r="A414">
        <v>15</v>
      </c>
      <c r="B414">
        <v>22</v>
      </c>
      <c r="C414">
        <v>0</v>
      </c>
      <c r="D414">
        <v>7</v>
      </c>
      <c r="E414">
        <v>1</v>
      </c>
      <c r="F414">
        <v>0</v>
      </c>
      <c r="G414">
        <v>6</v>
      </c>
      <c r="H414" t="s">
        <v>25</v>
      </c>
      <c r="I414" t="s">
        <v>82</v>
      </c>
      <c r="J414">
        <v>539</v>
      </c>
      <c r="K414">
        <v>8.1</v>
      </c>
      <c r="L414">
        <v>4365.8999999999996</v>
      </c>
    </row>
    <row r="415" spans="1:12" x14ac:dyDescent="0.3">
      <c r="A415">
        <v>8</v>
      </c>
      <c r="B415">
        <v>23</v>
      </c>
      <c r="C415">
        <v>3</v>
      </c>
      <c r="D415">
        <v>9</v>
      </c>
      <c r="E415">
        <v>1</v>
      </c>
      <c r="F415">
        <v>0</v>
      </c>
      <c r="G415">
        <v>3</v>
      </c>
      <c r="H415" t="s">
        <v>32</v>
      </c>
      <c r="I415" t="s">
        <v>109</v>
      </c>
      <c r="J415">
        <v>526</v>
      </c>
      <c r="K415" s="3">
        <v>0</v>
      </c>
      <c r="L415">
        <v>3997.6</v>
      </c>
    </row>
    <row r="416" spans="1:12" x14ac:dyDescent="0.3">
      <c r="A416">
        <v>19</v>
      </c>
      <c r="B416">
        <v>22</v>
      </c>
      <c r="C416">
        <v>3</v>
      </c>
      <c r="D416">
        <v>19</v>
      </c>
      <c r="E416">
        <v>1</v>
      </c>
      <c r="F416">
        <v>0</v>
      </c>
      <c r="G416">
        <v>9</v>
      </c>
      <c r="H416" t="s">
        <v>26</v>
      </c>
      <c r="I416" t="s">
        <v>92</v>
      </c>
      <c r="J416">
        <v>736</v>
      </c>
      <c r="K416" s="3">
        <v>8.5</v>
      </c>
      <c r="L416">
        <v>6256</v>
      </c>
    </row>
    <row r="417" spans="1:12" x14ac:dyDescent="0.3">
      <c r="A417">
        <v>15</v>
      </c>
      <c r="B417">
        <v>22</v>
      </c>
      <c r="C417">
        <v>1</v>
      </c>
      <c r="D417">
        <v>19</v>
      </c>
      <c r="E417">
        <v>1</v>
      </c>
      <c r="F417">
        <v>0</v>
      </c>
      <c r="G417">
        <v>1</v>
      </c>
      <c r="H417" t="s">
        <v>32</v>
      </c>
      <c r="I417" t="s">
        <v>77</v>
      </c>
      <c r="J417">
        <v>634</v>
      </c>
      <c r="K417" s="3">
        <v>7.6</v>
      </c>
      <c r="L417">
        <v>4818.3999999999996</v>
      </c>
    </row>
    <row r="418" spans="1:12" x14ac:dyDescent="0.3">
      <c r="A418">
        <v>8</v>
      </c>
      <c r="B418">
        <v>19</v>
      </c>
      <c r="C418">
        <v>3</v>
      </c>
      <c r="D418">
        <v>22</v>
      </c>
      <c r="E418">
        <v>1</v>
      </c>
      <c r="F418">
        <v>0</v>
      </c>
      <c r="G418">
        <v>11</v>
      </c>
      <c r="H418" t="s">
        <v>369</v>
      </c>
      <c r="I418" t="s">
        <v>88</v>
      </c>
      <c r="J418">
        <v>607</v>
      </c>
      <c r="K418" s="3">
        <v>8.6999999999999993</v>
      </c>
      <c r="L418">
        <v>5280.9</v>
      </c>
    </row>
    <row r="419" spans="1:12" x14ac:dyDescent="0.3">
      <c r="A419">
        <v>20</v>
      </c>
      <c r="B419">
        <v>23</v>
      </c>
      <c r="C419">
        <v>2</v>
      </c>
      <c r="D419">
        <v>18</v>
      </c>
      <c r="E419">
        <v>1</v>
      </c>
      <c r="F419">
        <v>0</v>
      </c>
      <c r="G419">
        <v>11</v>
      </c>
      <c r="H419" t="s">
        <v>16</v>
      </c>
      <c r="I419" t="s">
        <v>84</v>
      </c>
      <c r="J419">
        <v>544</v>
      </c>
      <c r="K419" s="3">
        <v>8.9</v>
      </c>
      <c r="L419">
        <v>4841.6000000000004</v>
      </c>
    </row>
    <row r="420" spans="1:12" x14ac:dyDescent="0.3">
      <c r="A420">
        <v>0</v>
      </c>
      <c r="B420">
        <v>23</v>
      </c>
      <c r="C420">
        <v>1</v>
      </c>
      <c r="D420">
        <v>17</v>
      </c>
      <c r="E420">
        <v>1</v>
      </c>
      <c r="F420">
        <v>0</v>
      </c>
      <c r="G420">
        <v>4</v>
      </c>
      <c r="H420" t="s">
        <v>54</v>
      </c>
      <c r="I420" t="s">
        <v>79</v>
      </c>
      <c r="J420">
        <v>640</v>
      </c>
      <c r="K420" s="3">
        <v>0</v>
      </c>
      <c r="L420">
        <v>5888</v>
      </c>
    </row>
    <row r="421" spans="1:12" x14ac:dyDescent="0.3">
      <c r="A421">
        <v>7</v>
      </c>
      <c r="B421">
        <v>22</v>
      </c>
      <c r="C421">
        <v>3</v>
      </c>
      <c r="D421">
        <v>12</v>
      </c>
      <c r="E421">
        <v>1</v>
      </c>
      <c r="F421">
        <v>0</v>
      </c>
      <c r="G421">
        <v>12</v>
      </c>
      <c r="H421" t="s">
        <v>33</v>
      </c>
      <c r="I421" t="s">
        <v>81</v>
      </c>
      <c r="J421">
        <v>636</v>
      </c>
      <c r="K421" s="3">
        <v>9.3000000000000007</v>
      </c>
      <c r="L421">
        <v>5914.8</v>
      </c>
    </row>
    <row r="422" spans="1:12" x14ac:dyDescent="0.3">
      <c r="A422">
        <v>12</v>
      </c>
      <c r="B422">
        <v>23</v>
      </c>
      <c r="C422">
        <v>0</v>
      </c>
      <c r="D422">
        <v>14</v>
      </c>
      <c r="E422">
        <v>1</v>
      </c>
      <c r="F422">
        <v>0</v>
      </c>
      <c r="G422">
        <v>0</v>
      </c>
      <c r="H422" t="s">
        <v>59</v>
      </c>
      <c r="I422" t="s">
        <v>74</v>
      </c>
      <c r="J422">
        <v>460</v>
      </c>
      <c r="K422" s="3">
        <v>8.1</v>
      </c>
      <c r="L422">
        <v>3726</v>
      </c>
    </row>
    <row r="423" spans="1:12" x14ac:dyDescent="0.3">
      <c r="A423">
        <v>19</v>
      </c>
      <c r="B423">
        <v>23</v>
      </c>
      <c r="C423">
        <v>1</v>
      </c>
      <c r="D423">
        <v>20</v>
      </c>
      <c r="E423">
        <v>1</v>
      </c>
      <c r="F423">
        <v>0</v>
      </c>
      <c r="G423">
        <v>6</v>
      </c>
      <c r="H423" t="s">
        <v>26</v>
      </c>
      <c r="I423" t="s">
        <v>87</v>
      </c>
      <c r="J423">
        <v>508</v>
      </c>
      <c r="K423" s="3">
        <v>8.5</v>
      </c>
      <c r="L423">
        <v>4318</v>
      </c>
    </row>
    <row r="424" spans="1:12" x14ac:dyDescent="0.3">
      <c r="A424">
        <v>10</v>
      </c>
      <c r="B424">
        <v>20</v>
      </c>
      <c r="C424">
        <v>3</v>
      </c>
      <c r="D424">
        <v>17</v>
      </c>
      <c r="E424">
        <v>1</v>
      </c>
      <c r="F424">
        <v>0</v>
      </c>
      <c r="G424">
        <v>11</v>
      </c>
      <c r="H424" t="s">
        <v>16</v>
      </c>
      <c r="I424" t="s">
        <v>87</v>
      </c>
      <c r="J424">
        <v>524</v>
      </c>
      <c r="K424" s="3">
        <v>8.9</v>
      </c>
      <c r="L424">
        <v>4663.6000000000004</v>
      </c>
    </row>
    <row r="425" spans="1:12" x14ac:dyDescent="0.3">
      <c r="A425">
        <v>6</v>
      </c>
      <c r="B425">
        <v>0</v>
      </c>
      <c r="C425">
        <v>2</v>
      </c>
      <c r="D425">
        <v>18</v>
      </c>
      <c r="E425">
        <v>1</v>
      </c>
      <c r="F425">
        <v>0</v>
      </c>
      <c r="G425">
        <v>11</v>
      </c>
      <c r="H425" t="s">
        <v>369</v>
      </c>
      <c r="I425" t="s">
        <v>78</v>
      </c>
      <c r="J425">
        <v>534</v>
      </c>
      <c r="K425" s="3">
        <v>0</v>
      </c>
      <c r="L425">
        <v>4378.7999999999902</v>
      </c>
    </row>
    <row r="426" spans="1:12" x14ac:dyDescent="0.3">
      <c r="A426">
        <v>10</v>
      </c>
      <c r="B426">
        <v>18</v>
      </c>
      <c r="C426">
        <v>0</v>
      </c>
      <c r="D426">
        <v>17</v>
      </c>
      <c r="E426">
        <v>7</v>
      </c>
      <c r="F426">
        <v>0</v>
      </c>
      <c r="G426">
        <v>7</v>
      </c>
      <c r="H426" t="s">
        <v>36</v>
      </c>
      <c r="I426" t="s">
        <v>87</v>
      </c>
      <c r="J426">
        <v>397</v>
      </c>
      <c r="K426" s="3">
        <v>8.8000000000000007</v>
      </c>
      <c r="L426">
        <v>3493.6</v>
      </c>
    </row>
    <row r="427" spans="1:12" x14ac:dyDescent="0.3">
      <c r="A427">
        <v>22</v>
      </c>
      <c r="B427">
        <v>22</v>
      </c>
      <c r="C427">
        <v>3</v>
      </c>
      <c r="D427">
        <v>17</v>
      </c>
      <c r="E427">
        <v>1</v>
      </c>
      <c r="F427">
        <v>0</v>
      </c>
      <c r="G427">
        <v>4</v>
      </c>
      <c r="H427" t="s">
        <v>20</v>
      </c>
      <c r="I427" t="s">
        <v>77</v>
      </c>
      <c r="J427">
        <v>699</v>
      </c>
      <c r="K427" s="3">
        <v>9.1</v>
      </c>
      <c r="L427">
        <v>6360.9</v>
      </c>
    </row>
    <row r="428" spans="1:12" x14ac:dyDescent="0.3">
      <c r="A428">
        <v>9</v>
      </c>
      <c r="B428">
        <v>23</v>
      </c>
      <c r="C428">
        <v>0</v>
      </c>
      <c r="D428">
        <v>3</v>
      </c>
      <c r="E428">
        <v>0</v>
      </c>
      <c r="F428">
        <v>0</v>
      </c>
      <c r="G428">
        <v>8</v>
      </c>
      <c r="H428" t="s">
        <v>25</v>
      </c>
      <c r="I428" t="s">
        <v>71</v>
      </c>
      <c r="J428">
        <v>228</v>
      </c>
      <c r="K428" s="3">
        <v>8.1</v>
      </c>
      <c r="L428">
        <v>0</v>
      </c>
    </row>
    <row r="429" spans="1:12" x14ac:dyDescent="0.3">
      <c r="A429">
        <v>12</v>
      </c>
      <c r="B429">
        <v>22</v>
      </c>
      <c r="C429">
        <v>1</v>
      </c>
      <c r="D429">
        <v>7</v>
      </c>
      <c r="E429">
        <v>1</v>
      </c>
      <c r="F429">
        <v>0</v>
      </c>
      <c r="G429">
        <v>2</v>
      </c>
      <c r="H429" t="s">
        <v>33</v>
      </c>
      <c r="I429" t="s">
        <v>70</v>
      </c>
      <c r="J429">
        <v>474</v>
      </c>
      <c r="K429" s="3">
        <v>9.3000000000000007</v>
      </c>
      <c r="L429">
        <v>4408.2</v>
      </c>
    </row>
    <row r="430" spans="1:12" x14ac:dyDescent="0.3">
      <c r="A430">
        <v>5</v>
      </c>
      <c r="B430">
        <v>19</v>
      </c>
      <c r="C430">
        <v>1</v>
      </c>
      <c r="D430">
        <v>3</v>
      </c>
      <c r="E430">
        <v>1</v>
      </c>
      <c r="F430">
        <v>0</v>
      </c>
      <c r="G430">
        <v>11</v>
      </c>
      <c r="H430" t="s">
        <v>28</v>
      </c>
      <c r="I430" t="s">
        <v>73</v>
      </c>
      <c r="J430">
        <v>387</v>
      </c>
      <c r="K430" s="3">
        <v>7.7</v>
      </c>
      <c r="L430">
        <v>2979.9</v>
      </c>
    </row>
    <row r="431" spans="1:12" x14ac:dyDescent="0.3">
      <c r="A431">
        <v>21</v>
      </c>
      <c r="B431">
        <v>23</v>
      </c>
      <c r="C431">
        <v>3</v>
      </c>
      <c r="D431">
        <v>7</v>
      </c>
      <c r="E431">
        <v>1</v>
      </c>
      <c r="F431">
        <v>0</v>
      </c>
      <c r="G431">
        <v>8</v>
      </c>
      <c r="H431" t="s">
        <v>44</v>
      </c>
      <c r="I431" t="s">
        <v>80</v>
      </c>
      <c r="J431">
        <v>483</v>
      </c>
      <c r="K431">
        <v>8.1999999999999993</v>
      </c>
      <c r="L431">
        <v>3960.5999999999899</v>
      </c>
    </row>
    <row r="432" spans="1:12" x14ac:dyDescent="0.3">
      <c r="A432">
        <v>10</v>
      </c>
      <c r="B432">
        <v>20</v>
      </c>
      <c r="C432">
        <v>1</v>
      </c>
      <c r="D432">
        <v>0</v>
      </c>
      <c r="E432">
        <v>1</v>
      </c>
      <c r="F432">
        <v>0</v>
      </c>
      <c r="G432">
        <v>0</v>
      </c>
      <c r="H432" t="s">
        <v>35</v>
      </c>
      <c r="I432" t="s">
        <v>70</v>
      </c>
      <c r="J432">
        <v>492</v>
      </c>
      <c r="K432" s="3">
        <v>8.1999999999999993</v>
      </c>
      <c r="L432">
        <v>4034.3999999999901</v>
      </c>
    </row>
    <row r="433" spans="1:12" x14ac:dyDescent="0.3">
      <c r="A433">
        <v>18</v>
      </c>
      <c r="B433">
        <v>0</v>
      </c>
      <c r="C433">
        <v>2</v>
      </c>
      <c r="D433">
        <v>10</v>
      </c>
      <c r="E433">
        <v>1</v>
      </c>
      <c r="F433">
        <v>0</v>
      </c>
      <c r="G433">
        <v>5</v>
      </c>
      <c r="H433" t="s">
        <v>36</v>
      </c>
      <c r="I433" t="s">
        <v>121</v>
      </c>
      <c r="J433">
        <v>596</v>
      </c>
      <c r="K433" s="3">
        <v>8.8000000000000007</v>
      </c>
      <c r="L433">
        <v>5244.8</v>
      </c>
    </row>
    <row r="434" spans="1:12" x14ac:dyDescent="0.3">
      <c r="A434">
        <v>5</v>
      </c>
      <c r="B434">
        <v>17</v>
      </c>
      <c r="C434">
        <v>0</v>
      </c>
      <c r="D434">
        <v>10</v>
      </c>
      <c r="E434">
        <v>1</v>
      </c>
      <c r="F434">
        <v>0</v>
      </c>
      <c r="G434">
        <v>12</v>
      </c>
      <c r="H434" t="s">
        <v>16</v>
      </c>
      <c r="I434" t="s">
        <v>87</v>
      </c>
      <c r="J434">
        <v>302</v>
      </c>
      <c r="K434" s="3">
        <v>8.9</v>
      </c>
      <c r="L434">
        <v>2687.8</v>
      </c>
    </row>
    <row r="435" spans="1:12" x14ac:dyDescent="0.3">
      <c r="A435">
        <v>18</v>
      </c>
      <c r="B435">
        <v>23</v>
      </c>
      <c r="C435">
        <v>1</v>
      </c>
      <c r="D435">
        <v>18</v>
      </c>
      <c r="E435">
        <v>1</v>
      </c>
      <c r="F435">
        <v>0</v>
      </c>
      <c r="G435">
        <v>9</v>
      </c>
      <c r="H435" t="s">
        <v>23</v>
      </c>
      <c r="I435" t="s">
        <v>73</v>
      </c>
      <c r="J435">
        <v>495</v>
      </c>
      <c r="K435" s="3">
        <v>8.4</v>
      </c>
      <c r="L435">
        <v>4158</v>
      </c>
    </row>
    <row r="436" spans="1:12" x14ac:dyDescent="0.3">
      <c r="A436">
        <v>21</v>
      </c>
      <c r="B436">
        <v>23</v>
      </c>
      <c r="C436">
        <v>1</v>
      </c>
      <c r="D436">
        <v>15</v>
      </c>
      <c r="E436">
        <v>12</v>
      </c>
      <c r="F436">
        <v>0</v>
      </c>
      <c r="G436">
        <v>4</v>
      </c>
      <c r="H436" t="s">
        <v>32</v>
      </c>
      <c r="I436" t="s">
        <v>79</v>
      </c>
      <c r="J436">
        <v>618</v>
      </c>
      <c r="K436" s="3">
        <v>7.6</v>
      </c>
      <c r="L436">
        <v>4696.8</v>
      </c>
    </row>
    <row r="437" spans="1:12" x14ac:dyDescent="0.3">
      <c r="A437">
        <v>11</v>
      </c>
      <c r="B437">
        <v>23</v>
      </c>
      <c r="C437">
        <v>1</v>
      </c>
      <c r="D437">
        <v>13</v>
      </c>
      <c r="E437">
        <v>12</v>
      </c>
      <c r="F437">
        <v>0</v>
      </c>
      <c r="G437">
        <v>5</v>
      </c>
      <c r="H437" t="s">
        <v>18</v>
      </c>
      <c r="I437" t="s">
        <v>111</v>
      </c>
      <c r="J437">
        <v>665</v>
      </c>
      <c r="K437" s="3">
        <v>7.7</v>
      </c>
      <c r="L437">
        <v>5120.5</v>
      </c>
    </row>
    <row r="438" spans="1:12" x14ac:dyDescent="0.3">
      <c r="A438">
        <v>7</v>
      </c>
      <c r="B438">
        <v>23</v>
      </c>
      <c r="C438">
        <v>0</v>
      </c>
      <c r="D438">
        <v>14</v>
      </c>
      <c r="E438">
        <v>1</v>
      </c>
      <c r="F438">
        <v>0</v>
      </c>
      <c r="G438">
        <v>4</v>
      </c>
      <c r="H438" t="s">
        <v>15</v>
      </c>
      <c r="I438" t="s">
        <v>74</v>
      </c>
      <c r="J438">
        <v>553</v>
      </c>
      <c r="K438" s="3">
        <v>8.3000000000000007</v>
      </c>
      <c r="L438">
        <v>4589.8999999999996</v>
      </c>
    </row>
    <row r="439" spans="1:12" x14ac:dyDescent="0.3">
      <c r="A439">
        <v>15</v>
      </c>
      <c r="B439">
        <v>22</v>
      </c>
      <c r="C439">
        <v>1</v>
      </c>
      <c r="D439">
        <v>8</v>
      </c>
      <c r="E439">
        <v>0</v>
      </c>
      <c r="F439">
        <v>0</v>
      </c>
      <c r="G439">
        <v>9</v>
      </c>
      <c r="H439" t="s">
        <v>16</v>
      </c>
      <c r="I439" t="s">
        <v>76</v>
      </c>
      <c r="J439">
        <v>460</v>
      </c>
      <c r="K439" s="3">
        <v>8.9</v>
      </c>
      <c r="L439">
        <v>4094</v>
      </c>
    </row>
    <row r="440" spans="1:12" x14ac:dyDescent="0.3">
      <c r="A440">
        <v>17</v>
      </c>
      <c r="B440">
        <v>22</v>
      </c>
      <c r="C440">
        <v>0</v>
      </c>
      <c r="D440">
        <v>10</v>
      </c>
      <c r="E440">
        <v>1</v>
      </c>
      <c r="F440">
        <v>0</v>
      </c>
      <c r="G440">
        <v>4</v>
      </c>
      <c r="H440" t="s">
        <v>23</v>
      </c>
      <c r="I440" t="s">
        <v>84</v>
      </c>
      <c r="J440">
        <v>308</v>
      </c>
      <c r="K440">
        <v>8.4</v>
      </c>
      <c r="L440">
        <v>2587.1999999999998</v>
      </c>
    </row>
    <row r="441" spans="1:12" x14ac:dyDescent="0.3">
      <c r="A441">
        <v>0</v>
      </c>
      <c r="B441">
        <v>18</v>
      </c>
      <c r="C441">
        <v>1</v>
      </c>
      <c r="D441">
        <v>6</v>
      </c>
      <c r="E441">
        <v>7</v>
      </c>
      <c r="F441">
        <v>0</v>
      </c>
      <c r="G441">
        <v>10</v>
      </c>
      <c r="H441" t="s">
        <v>24</v>
      </c>
      <c r="I441" t="s">
        <v>116</v>
      </c>
      <c r="J441">
        <v>333</v>
      </c>
      <c r="K441" s="3">
        <v>7.9</v>
      </c>
      <c r="L441">
        <v>99999</v>
      </c>
    </row>
    <row r="442" spans="1:12" x14ac:dyDescent="0.3">
      <c r="A442">
        <v>13</v>
      </c>
      <c r="B442">
        <v>23</v>
      </c>
      <c r="C442">
        <v>1</v>
      </c>
      <c r="D442">
        <v>20</v>
      </c>
      <c r="E442">
        <v>1</v>
      </c>
      <c r="F442">
        <v>0</v>
      </c>
      <c r="G442">
        <v>9</v>
      </c>
      <c r="H442" t="s">
        <v>19</v>
      </c>
      <c r="I442" t="s">
        <v>80</v>
      </c>
      <c r="J442">
        <v>0</v>
      </c>
      <c r="K442" s="3">
        <v>8.9</v>
      </c>
      <c r="L442">
        <v>0</v>
      </c>
    </row>
    <row r="443" spans="1:12" x14ac:dyDescent="0.3">
      <c r="A443">
        <v>9</v>
      </c>
      <c r="B443">
        <v>21</v>
      </c>
      <c r="C443">
        <v>3</v>
      </c>
      <c r="D443">
        <v>13</v>
      </c>
      <c r="E443">
        <v>1</v>
      </c>
      <c r="F443">
        <v>0</v>
      </c>
      <c r="G443">
        <v>12</v>
      </c>
      <c r="H443" t="s">
        <v>32</v>
      </c>
      <c r="I443" t="s">
        <v>75</v>
      </c>
      <c r="J443">
        <v>383</v>
      </c>
      <c r="K443" s="3">
        <v>7.6</v>
      </c>
      <c r="L443">
        <v>0</v>
      </c>
    </row>
    <row r="444" spans="1:12" x14ac:dyDescent="0.3">
      <c r="A444">
        <v>19</v>
      </c>
      <c r="B444">
        <v>22</v>
      </c>
      <c r="C444">
        <v>1</v>
      </c>
      <c r="D444">
        <v>3</v>
      </c>
      <c r="E444">
        <v>1</v>
      </c>
      <c r="F444">
        <v>0</v>
      </c>
      <c r="G444">
        <v>5</v>
      </c>
      <c r="H444" t="s">
        <v>18</v>
      </c>
      <c r="I444" t="s">
        <v>368</v>
      </c>
      <c r="J444">
        <v>577</v>
      </c>
      <c r="K444" s="3">
        <v>7.7</v>
      </c>
      <c r="L444">
        <v>4442.8999999999996</v>
      </c>
    </row>
    <row r="445" spans="1:12" x14ac:dyDescent="0.3">
      <c r="A445">
        <v>15</v>
      </c>
      <c r="B445">
        <v>23</v>
      </c>
      <c r="C445">
        <v>3</v>
      </c>
      <c r="D445">
        <v>14</v>
      </c>
      <c r="E445">
        <v>12</v>
      </c>
      <c r="F445">
        <v>0</v>
      </c>
      <c r="G445">
        <v>12</v>
      </c>
      <c r="H445" t="s">
        <v>22</v>
      </c>
      <c r="I445" t="s">
        <v>75</v>
      </c>
      <c r="J445">
        <v>812</v>
      </c>
      <c r="K445" s="3">
        <v>7.8</v>
      </c>
      <c r="L445">
        <v>0</v>
      </c>
    </row>
    <row r="446" spans="1:12" x14ac:dyDescent="0.3">
      <c r="A446">
        <v>14</v>
      </c>
      <c r="B446">
        <v>22</v>
      </c>
      <c r="C446">
        <v>3</v>
      </c>
      <c r="D446">
        <v>18</v>
      </c>
      <c r="E446">
        <v>12</v>
      </c>
      <c r="F446">
        <v>0</v>
      </c>
      <c r="G446">
        <v>12</v>
      </c>
      <c r="H446" t="s">
        <v>23</v>
      </c>
      <c r="I446" t="s">
        <v>73</v>
      </c>
      <c r="J446">
        <v>712</v>
      </c>
      <c r="K446" s="3">
        <v>0</v>
      </c>
      <c r="L446">
        <v>5980.8</v>
      </c>
    </row>
    <row r="447" spans="1:12" x14ac:dyDescent="0.3">
      <c r="A447">
        <v>18</v>
      </c>
      <c r="B447">
        <v>23</v>
      </c>
      <c r="C447">
        <v>3</v>
      </c>
      <c r="D447">
        <v>6</v>
      </c>
      <c r="E447">
        <v>1</v>
      </c>
      <c r="F447">
        <v>0</v>
      </c>
      <c r="G447">
        <v>1</v>
      </c>
      <c r="H447" t="s">
        <v>23</v>
      </c>
      <c r="I447" t="s">
        <v>74</v>
      </c>
      <c r="J447">
        <v>599</v>
      </c>
      <c r="K447" s="3">
        <v>8.4</v>
      </c>
      <c r="L447">
        <v>5031.6000000000004</v>
      </c>
    </row>
    <row r="448" spans="1:12" x14ac:dyDescent="0.3">
      <c r="A448">
        <v>13</v>
      </c>
      <c r="B448">
        <v>23</v>
      </c>
      <c r="C448">
        <v>1</v>
      </c>
      <c r="D448">
        <v>17</v>
      </c>
      <c r="E448">
        <v>12</v>
      </c>
      <c r="F448">
        <v>0</v>
      </c>
      <c r="G448">
        <v>3</v>
      </c>
      <c r="H448" t="s">
        <v>24</v>
      </c>
      <c r="I448" t="s">
        <v>109</v>
      </c>
      <c r="J448">
        <v>0</v>
      </c>
      <c r="K448" s="3">
        <v>7.9</v>
      </c>
      <c r="L448">
        <v>5348.3</v>
      </c>
    </row>
    <row r="449" spans="1:12" x14ac:dyDescent="0.3">
      <c r="A449">
        <v>20</v>
      </c>
      <c r="B449">
        <v>22</v>
      </c>
      <c r="C449">
        <v>0</v>
      </c>
      <c r="D449">
        <v>6</v>
      </c>
      <c r="E449">
        <v>1</v>
      </c>
      <c r="F449">
        <v>0</v>
      </c>
      <c r="G449">
        <v>11</v>
      </c>
      <c r="H449" t="s">
        <v>43</v>
      </c>
      <c r="I449" t="s">
        <v>89</v>
      </c>
      <c r="J449">
        <v>403</v>
      </c>
      <c r="K449">
        <v>7.6</v>
      </c>
      <c r="L449">
        <v>0</v>
      </c>
    </row>
    <row r="450" spans="1:12" x14ac:dyDescent="0.3">
      <c r="A450">
        <v>19</v>
      </c>
      <c r="B450">
        <v>22</v>
      </c>
      <c r="C450">
        <v>3</v>
      </c>
      <c r="D450">
        <v>5</v>
      </c>
      <c r="E450">
        <v>12</v>
      </c>
      <c r="F450">
        <v>0</v>
      </c>
      <c r="G450">
        <v>8</v>
      </c>
      <c r="H450" t="s">
        <v>38</v>
      </c>
      <c r="I450" t="s">
        <v>95</v>
      </c>
      <c r="J450">
        <v>625</v>
      </c>
      <c r="K450" s="3">
        <v>7.4</v>
      </c>
      <c r="L450">
        <v>4625</v>
      </c>
    </row>
    <row r="451" spans="1:12" x14ac:dyDescent="0.3">
      <c r="A451">
        <v>21</v>
      </c>
      <c r="B451">
        <v>22</v>
      </c>
      <c r="C451">
        <v>3</v>
      </c>
      <c r="D451">
        <v>0</v>
      </c>
      <c r="E451">
        <v>0</v>
      </c>
      <c r="F451">
        <v>0</v>
      </c>
      <c r="G451">
        <v>6</v>
      </c>
      <c r="H451" t="s">
        <v>369</v>
      </c>
      <c r="I451" t="s">
        <v>93</v>
      </c>
      <c r="J451">
        <v>737</v>
      </c>
      <c r="K451" s="3">
        <v>7.9</v>
      </c>
      <c r="L451">
        <v>5822.3</v>
      </c>
    </row>
    <row r="452" spans="1:12" x14ac:dyDescent="0.3">
      <c r="A452">
        <v>13</v>
      </c>
      <c r="B452">
        <v>23</v>
      </c>
      <c r="C452">
        <v>2</v>
      </c>
      <c r="D452">
        <v>3</v>
      </c>
      <c r="E452">
        <v>1</v>
      </c>
      <c r="F452">
        <v>0</v>
      </c>
      <c r="G452">
        <v>11</v>
      </c>
      <c r="H452" t="s">
        <v>35</v>
      </c>
      <c r="I452" t="s">
        <v>104</v>
      </c>
      <c r="J452">
        <v>374</v>
      </c>
      <c r="K452" s="3">
        <v>8.1999999999999993</v>
      </c>
      <c r="L452">
        <v>3066.7999999999902</v>
      </c>
    </row>
    <row r="453" spans="1:12" x14ac:dyDescent="0.3">
      <c r="A453">
        <v>9</v>
      </c>
      <c r="B453">
        <v>22</v>
      </c>
      <c r="C453">
        <v>0</v>
      </c>
      <c r="D453">
        <v>21</v>
      </c>
      <c r="E453">
        <v>1</v>
      </c>
      <c r="F453">
        <v>0</v>
      </c>
      <c r="G453">
        <v>3</v>
      </c>
      <c r="H453" t="s">
        <v>21</v>
      </c>
      <c r="I453" t="s">
        <v>72</v>
      </c>
      <c r="J453">
        <v>418</v>
      </c>
      <c r="K453" s="3">
        <v>8.6999999999999993</v>
      </c>
      <c r="L453">
        <v>3636.6</v>
      </c>
    </row>
    <row r="454" spans="1:12" x14ac:dyDescent="0.3">
      <c r="A454">
        <v>21</v>
      </c>
      <c r="B454">
        <v>23</v>
      </c>
      <c r="C454">
        <v>3</v>
      </c>
      <c r="D454">
        <v>13</v>
      </c>
      <c r="E454">
        <v>0</v>
      </c>
      <c r="F454">
        <v>0</v>
      </c>
      <c r="G454">
        <v>8</v>
      </c>
      <c r="H454" t="s">
        <v>57</v>
      </c>
      <c r="I454" t="s">
        <v>95</v>
      </c>
      <c r="J454">
        <v>756</v>
      </c>
      <c r="K454" s="3">
        <v>9.1999999999999993</v>
      </c>
      <c r="L454">
        <v>6955.2</v>
      </c>
    </row>
    <row r="455" spans="1:12" x14ac:dyDescent="0.3">
      <c r="A455">
        <v>9</v>
      </c>
      <c r="B455">
        <v>18</v>
      </c>
      <c r="C455">
        <v>3</v>
      </c>
      <c r="D455">
        <v>13</v>
      </c>
      <c r="E455">
        <v>1</v>
      </c>
      <c r="F455">
        <v>0</v>
      </c>
      <c r="G455">
        <v>3</v>
      </c>
      <c r="H455" t="s">
        <v>16</v>
      </c>
      <c r="I455" t="s">
        <v>106</v>
      </c>
      <c r="J455">
        <v>341</v>
      </c>
      <c r="K455">
        <v>8.9</v>
      </c>
      <c r="L455">
        <v>3034.9</v>
      </c>
    </row>
    <row r="456" spans="1:12" x14ac:dyDescent="0.3">
      <c r="A456">
        <v>20</v>
      </c>
      <c r="B456">
        <v>22</v>
      </c>
      <c r="C456">
        <v>0</v>
      </c>
      <c r="D456">
        <v>22</v>
      </c>
      <c r="E456">
        <v>12</v>
      </c>
      <c r="F456">
        <v>0</v>
      </c>
      <c r="G456">
        <v>10</v>
      </c>
      <c r="H456" t="s">
        <v>30</v>
      </c>
      <c r="I456" t="s">
        <v>368</v>
      </c>
      <c r="J456">
        <v>754</v>
      </c>
      <c r="K456" s="3">
        <v>9.1999999999999993</v>
      </c>
      <c r="L456">
        <v>6936.7999999999902</v>
      </c>
    </row>
    <row r="457" spans="1:12" x14ac:dyDescent="0.3">
      <c r="A457">
        <v>20</v>
      </c>
      <c r="B457">
        <v>23</v>
      </c>
      <c r="C457">
        <v>1</v>
      </c>
      <c r="D457">
        <v>4</v>
      </c>
      <c r="E457">
        <v>1</v>
      </c>
      <c r="F457">
        <v>0</v>
      </c>
      <c r="G457">
        <v>11</v>
      </c>
      <c r="H457" t="s">
        <v>30</v>
      </c>
      <c r="I457" t="s">
        <v>92</v>
      </c>
      <c r="J457">
        <v>317</v>
      </c>
      <c r="K457" s="3">
        <v>9.1999999999999993</v>
      </c>
      <c r="L457">
        <v>2916.3999999999901</v>
      </c>
    </row>
    <row r="458" spans="1:12" x14ac:dyDescent="0.3">
      <c r="A458">
        <v>21</v>
      </c>
      <c r="B458">
        <v>23</v>
      </c>
      <c r="C458">
        <v>0</v>
      </c>
      <c r="D458">
        <v>6</v>
      </c>
      <c r="E458">
        <v>1</v>
      </c>
      <c r="F458">
        <v>0</v>
      </c>
      <c r="G458">
        <v>12</v>
      </c>
      <c r="H458" t="s">
        <v>36</v>
      </c>
      <c r="I458" t="s">
        <v>87</v>
      </c>
      <c r="J458">
        <v>580</v>
      </c>
      <c r="K458" s="3">
        <v>8.8000000000000007</v>
      </c>
      <c r="L458">
        <v>5104</v>
      </c>
    </row>
    <row r="459" spans="1:12" x14ac:dyDescent="0.3">
      <c r="A459">
        <v>0</v>
      </c>
      <c r="B459">
        <v>23</v>
      </c>
      <c r="C459">
        <v>3</v>
      </c>
      <c r="D459">
        <v>0</v>
      </c>
      <c r="E459">
        <v>1</v>
      </c>
      <c r="F459">
        <v>0</v>
      </c>
      <c r="G459">
        <v>12</v>
      </c>
      <c r="H459" t="s">
        <v>369</v>
      </c>
      <c r="I459" t="s">
        <v>89</v>
      </c>
      <c r="J459">
        <v>523</v>
      </c>
      <c r="K459" s="3">
        <v>7.9</v>
      </c>
      <c r="L459">
        <v>4131.7</v>
      </c>
    </row>
    <row r="460" spans="1:12" x14ac:dyDescent="0.3">
      <c r="A460">
        <v>12</v>
      </c>
      <c r="B460">
        <v>23</v>
      </c>
      <c r="C460">
        <v>0</v>
      </c>
      <c r="D460">
        <v>7</v>
      </c>
      <c r="E460">
        <v>1</v>
      </c>
      <c r="F460">
        <v>0</v>
      </c>
      <c r="G460">
        <v>6</v>
      </c>
      <c r="H460" t="s">
        <v>23</v>
      </c>
      <c r="I460" t="s">
        <v>104</v>
      </c>
      <c r="J460">
        <v>298</v>
      </c>
      <c r="K460" s="3">
        <v>8.4</v>
      </c>
      <c r="L460">
        <v>2503.1999999999998</v>
      </c>
    </row>
    <row r="461" spans="1:12" x14ac:dyDescent="0.3">
      <c r="A461">
        <v>18</v>
      </c>
      <c r="B461">
        <v>23</v>
      </c>
      <c r="C461">
        <v>1</v>
      </c>
      <c r="D461">
        <v>17</v>
      </c>
      <c r="E461">
        <v>1</v>
      </c>
      <c r="F461">
        <v>0</v>
      </c>
      <c r="G461">
        <v>2</v>
      </c>
      <c r="H461" t="s">
        <v>16</v>
      </c>
      <c r="I461" t="s">
        <v>79</v>
      </c>
      <c r="J461">
        <v>653</v>
      </c>
      <c r="K461" s="3">
        <v>8.9</v>
      </c>
      <c r="L461">
        <v>5811.7</v>
      </c>
    </row>
    <row r="462" spans="1:12" x14ac:dyDescent="0.3">
      <c r="A462">
        <v>9</v>
      </c>
      <c r="B462">
        <v>17</v>
      </c>
      <c r="C462">
        <v>1</v>
      </c>
      <c r="D462">
        <v>18</v>
      </c>
      <c r="E462">
        <v>1</v>
      </c>
      <c r="F462">
        <v>0</v>
      </c>
      <c r="G462">
        <v>12</v>
      </c>
      <c r="H462" t="s">
        <v>35</v>
      </c>
      <c r="I462" t="s">
        <v>77</v>
      </c>
      <c r="J462">
        <v>518</v>
      </c>
      <c r="K462" s="3">
        <v>8.1999999999999993</v>
      </c>
      <c r="L462">
        <v>4247.5999999999904</v>
      </c>
    </row>
    <row r="463" spans="1:12" x14ac:dyDescent="0.3">
      <c r="A463">
        <v>13</v>
      </c>
      <c r="B463">
        <v>22</v>
      </c>
      <c r="C463">
        <v>1</v>
      </c>
      <c r="D463">
        <v>5</v>
      </c>
      <c r="E463">
        <v>1</v>
      </c>
      <c r="F463">
        <v>0</v>
      </c>
      <c r="G463">
        <v>2</v>
      </c>
      <c r="H463" t="s">
        <v>22</v>
      </c>
      <c r="I463" t="s">
        <v>93</v>
      </c>
      <c r="J463">
        <v>298</v>
      </c>
      <c r="K463" s="3">
        <v>7.8</v>
      </c>
      <c r="L463">
        <v>2324.4</v>
      </c>
    </row>
    <row r="464" spans="1:12" x14ac:dyDescent="0.3">
      <c r="A464">
        <v>11</v>
      </c>
      <c r="B464">
        <v>22</v>
      </c>
      <c r="C464">
        <v>0</v>
      </c>
      <c r="D464">
        <v>11</v>
      </c>
      <c r="E464">
        <v>12</v>
      </c>
      <c r="F464">
        <v>0</v>
      </c>
      <c r="G464">
        <v>2</v>
      </c>
      <c r="H464" t="s">
        <v>22</v>
      </c>
      <c r="I464" t="s">
        <v>82</v>
      </c>
      <c r="J464">
        <v>357</v>
      </c>
      <c r="K464" s="3">
        <v>0</v>
      </c>
      <c r="L464">
        <v>2784.6</v>
      </c>
    </row>
    <row r="465" spans="1:12" x14ac:dyDescent="0.3">
      <c r="A465">
        <v>16</v>
      </c>
      <c r="B465">
        <v>23</v>
      </c>
      <c r="C465">
        <v>3</v>
      </c>
      <c r="D465">
        <v>20</v>
      </c>
      <c r="E465">
        <v>1</v>
      </c>
      <c r="F465">
        <v>0</v>
      </c>
      <c r="G465">
        <v>6</v>
      </c>
      <c r="H465" t="s">
        <v>18</v>
      </c>
      <c r="I465" t="s">
        <v>368</v>
      </c>
      <c r="J465">
        <v>566</v>
      </c>
      <c r="K465" s="3">
        <v>7.7</v>
      </c>
      <c r="L465">
        <v>4358.2</v>
      </c>
    </row>
    <row r="466" spans="1:12" x14ac:dyDescent="0.3">
      <c r="A466">
        <v>18</v>
      </c>
      <c r="B466">
        <v>23</v>
      </c>
      <c r="C466">
        <v>1</v>
      </c>
      <c r="D466">
        <v>9</v>
      </c>
      <c r="E466">
        <v>1</v>
      </c>
      <c r="F466">
        <v>0</v>
      </c>
      <c r="G466">
        <v>7</v>
      </c>
      <c r="H466" t="s">
        <v>36</v>
      </c>
      <c r="I466" t="s">
        <v>87</v>
      </c>
      <c r="J466">
        <v>562</v>
      </c>
      <c r="K466" s="3">
        <v>8.8000000000000007</v>
      </c>
      <c r="L466">
        <v>4945.6000000000004</v>
      </c>
    </row>
    <row r="467" spans="1:12" x14ac:dyDescent="0.3">
      <c r="A467">
        <v>6</v>
      </c>
      <c r="B467">
        <v>19</v>
      </c>
      <c r="C467">
        <v>2</v>
      </c>
      <c r="D467">
        <v>14</v>
      </c>
      <c r="E467">
        <v>1</v>
      </c>
      <c r="F467">
        <v>0</v>
      </c>
      <c r="G467">
        <v>7</v>
      </c>
      <c r="H467" t="s">
        <v>21</v>
      </c>
      <c r="I467" t="s">
        <v>70</v>
      </c>
      <c r="J467">
        <v>410</v>
      </c>
      <c r="K467" s="3">
        <v>8.6999999999999993</v>
      </c>
      <c r="L467">
        <v>3566.99999999999</v>
      </c>
    </row>
    <row r="468" spans="1:12" x14ac:dyDescent="0.3">
      <c r="A468">
        <v>16</v>
      </c>
      <c r="B468">
        <v>23</v>
      </c>
      <c r="C468">
        <v>2</v>
      </c>
      <c r="D468">
        <v>7</v>
      </c>
      <c r="E468">
        <v>1</v>
      </c>
      <c r="F468">
        <v>0</v>
      </c>
      <c r="G468">
        <v>3</v>
      </c>
      <c r="H468" t="s">
        <v>26</v>
      </c>
      <c r="I468" t="s">
        <v>93</v>
      </c>
      <c r="J468">
        <v>373</v>
      </c>
      <c r="K468" s="3">
        <v>8.5</v>
      </c>
      <c r="L468">
        <v>3170.5</v>
      </c>
    </row>
    <row r="469" spans="1:12" x14ac:dyDescent="0.3">
      <c r="A469">
        <v>12</v>
      </c>
      <c r="B469">
        <v>23</v>
      </c>
      <c r="C469">
        <v>0</v>
      </c>
      <c r="D469">
        <v>11</v>
      </c>
      <c r="E469">
        <v>12</v>
      </c>
      <c r="F469">
        <v>0</v>
      </c>
      <c r="G469">
        <v>9</v>
      </c>
      <c r="H469" t="s">
        <v>51</v>
      </c>
      <c r="I469" t="s">
        <v>85</v>
      </c>
      <c r="J469">
        <v>533</v>
      </c>
      <c r="K469" s="3">
        <v>8.8000000000000007</v>
      </c>
      <c r="L469">
        <v>4690.3999999999996</v>
      </c>
    </row>
    <row r="470" spans="1:12" x14ac:dyDescent="0.3">
      <c r="A470">
        <v>20</v>
      </c>
      <c r="B470">
        <v>23</v>
      </c>
      <c r="C470">
        <v>2</v>
      </c>
      <c r="D470">
        <v>8</v>
      </c>
      <c r="E470">
        <v>1</v>
      </c>
      <c r="F470">
        <v>0</v>
      </c>
      <c r="G470">
        <v>5</v>
      </c>
      <c r="H470" t="s">
        <v>22</v>
      </c>
      <c r="I470" t="s">
        <v>92</v>
      </c>
      <c r="J470">
        <v>507</v>
      </c>
      <c r="K470" s="3">
        <v>7.8</v>
      </c>
      <c r="L470">
        <v>3954.6</v>
      </c>
    </row>
    <row r="471" spans="1:12" x14ac:dyDescent="0.3">
      <c r="A471">
        <v>15</v>
      </c>
      <c r="B471">
        <v>22</v>
      </c>
      <c r="C471">
        <v>3</v>
      </c>
      <c r="D471">
        <v>18</v>
      </c>
      <c r="E471">
        <v>12</v>
      </c>
      <c r="F471">
        <v>0</v>
      </c>
      <c r="G471">
        <v>4</v>
      </c>
      <c r="H471" t="s">
        <v>31</v>
      </c>
      <c r="I471" t="s">
        <v>90</v>
      </c>
      <c r="J471">
        <v>700</v>
      </c>
      <c r="K471" s="3">
        <v>7.9</v>
      </c>
      <c r="L471">
        <v>5530</v>
      </c>
    </row>
    <row r="472" spans="1:12" x14ac:dyDescent="0.3">
      <c r="A472">
        <v>12</v>
      </c>
      <c r="B472">
        <v>23</v>
      </c>
      <c r="C472">
        <v>1</v>
      </c>
      <c r="D472">
        <v>5</v>
      </c>
      <c r="E472">
        <v>1</v>
      </c>
      <c r="F472">
        <v>0</v>
      </c>
      <c r="G472">
        <v>11</v>
      </c>
      <c r="H472" t="s">
        <v>30</v>
      </c>
      <c r="I472" t="s">
        <v>80</v>
      </c>
      <c r="J472">
        <v>468</v>
      </c>
      <c r="K472" s="3">
        <v>9.1999999999999993</v>
      </c>
      <c r="L472">
        <v>4305.5999999999904</v>
      </c>
    </row>
    <row r="473" spans="1:12" x14ac:dyDescent="0.3">
      <c r="A473">
        <v>20</v>
      </c>
      <c r="B473">
        <v>23</v>
      </c>
      <c r="C473">
        <v>1</v>
      </c>
      <c r="D473">
        <v>6</v>
      </c>
      <c r="E473">
        <v>1</v>
      </c>
      <c r="F473">
        <v>0</v>
      </c>
      <c r="G473">
        <v>5</v>
      </c>
      <c r="H473" t="s">
        <v>18</v>
      </c>
      <c r="I473" t="s">
        <v>85</v>
      </c>
      <c r="J473">
        <v>413</v>
      </c>
      <c r="K473">
        <v>7.7</v>
      </c>
      <c r="L473">
        <v>3180.1</v>
      </c>
    </row>
    <row r="474" spans="1:12" x14ac:dyDescent="0.3">
      <c r="A474">
        <v>23</v>
      </c>
      <c r="B474">
        <v>22</v>
      </c>
      <c r="C474">
        <v>0</v>
      </c>
      <c r="D474">
        <v>18</v>
      </c>
      <c r="E474">
        <v>12</v>
      </c>
      <c r="F474">
        <v>0</v>
      </c>
      <c r="G474">
        <v>12</v>
      </c>
      <c r="H474" t="s">
        <v>23</v>
      </c>
      <c r="I474" t="s">
        <v>107</v>
      </c>
      <c r="J474">
        <v>799</v>
      </c>
      <c r="K474" s="3">
        <v>8.4</v>
      </c>
      <c r="L474">
        <v>0</v>
      </c>
    </row>
    <row r="475" spans="1:12" x14ac:dyDescent="0.3">
      <c r="A475">
        <v>15</v>
      </c>
      <c r="B475">
        <v>22</v>
      </c>
      <c r="C475">
        <v>2</v>
      </c>
      <c r="D475">
        <v>14</v>
      </c>
      <c r="E475">
        <v>1</v>
      </c>
      <c r="F475">
        <v>0</v>
      </c>
      <c r="G475">
        <v>6</v>
      </c>
      <c r="H475" t="s">
        <v>30</v>
      </c>
      <c r="I475" t="s">
        <v>105</v>
      </c>
      <c r="J475">
        <v>487</v>
      </c>
      <c r="K475">
        <v>9.1999999999999993</v>
      </c>
      <c r="L475">
        <v>4480.3999999999996</v>
      </c>
    </row>
    <row r="476" spans="1:12" x14ac:dyDescent="0.3">
      <c r="A476">
        <v>22</v>
      </c>
      <c r="B476">
        <v>23</v>
      </c>
      <c r="C476">
        <v>2</v>
      </c>
      <c r="D476">
        <v>12</v>
      </c>
      <c r="E476">
        <v>1</v>
      </c>
      <c r="F476">
        <v>0</v>
      </c>
      <c r="G476">
        <v>1</v>
      </c>
      <c r="H476" t="s">
        <v>18</v>
      </c>
      <c r="I476" t="s">
        <v>83</v>
      </c>
      <c r="J476">
        <v>480</v>
      </c>
      <c r="K476" s="3">
        <v>7.7</v>
      </c>
      <c r="L476">
        <v>3696</v>
      </c>
    </row>
    <row r="477" spans="1:12" x14ac:dyDescent="0.3">
      <c r="A477">
        <v>12</v>
      </c>
      <c r="B477">
        <v>0</v>
      </c>
      <c r="C477">
        <v>2</v>
      </c>
      <c r="D477">
        <v>19</v>
      </c>
      <c r="E477">
        <v>1</v>
      </c>
      <c r="F477">
        <v>0</v>
      </c>
      <c r="G477">
        <v>6</v>
      </c>
      <c r="H477" t="s">
        <v>22</v>
      </c>
      <c r="I477" t="s">
        <v>96</v>
      </c>
      <c r="J477">
        <v>611</v>
      </c>
      <c r="K477" s="3">
        <v>7.8</v>
      </c>
      <c r="L477">
        <v>4765.8</v>
      </c>
    </row>
    <row r="478" spans="1:12" x14ac:dyDescent="0.3">
      <c r="A478">
        <v>8</v>
      </c>
      <c r="B478">
        <v>19</v>
      </c>
      <c r="C478">
        <v>0</v>
      </c>
      <c r="D478">
        <v>14</v>
      </c>
      <c r="E478">
        <v>1</v>
      </c>
      <c r="F478">
        <v>0</v>
      </c>
      <c r="G478">
        <v>2</v>
      </c>
      <c r="H478" t="s">
        <v>20</v>
      </c>
      <c r="I478" t="s">
        <v>96</v>
      </c>
      <c r="J478">
        <v>327</v>
      </c>
      <c r="K478" s="3">
        <v>9.1</v>
      </c>
      <c r="L478">
        <v>2975.7</v>
      </c>
    </row>
    <row r="479" spans="1:12" x14ac:dyDescent="0.3">
      <c r="A479">
        <v>11</v>
      </c>
      <c r="B479">
        <v>23</v>
      </c>
      <c r="C479">
        <v>1</v>
      </c>
      <c r="D479">
        <v>19</v>
      </c>
      <c r="E479">
        <v>1</v>
      </c>
      <c r="F479">
        <v>0</v>
      </c>
      <c r="G479">
        <v>6</v>
      </c>
      <c r="H479" t="s">
        <v>38</v>
      </c>
      <c r="I479" t="s">
        <v>96</v>
      </c>
      <c r="J479">
        <v>507</v>
      </c>
      <c r="K479" s="3">
        <v>7.4</v>
      </c>
      <c r="L479">
        <v>3751.8</v>
      </c>
    </row>
    <row r="480" spans="1:12" x14ac:dyDescent="0.3">
      <c r="A480">
        <v>18</v>
      </c>
      <c r="B480">
        <v>22</v>
      </c>
      <c r="C480">
        <v>3</v>
      </c>
      <c r="D480">
        <v>7</v>
      </c>
      <c r="E480">
        <v>1</v>
      </c>
      <c r="F480">
        <v>0</v>
      </c>
      <c r="G480">
        <v>11</v>
      </c>
      <c r="H480" t="s">
        <v>25</v>
      </c>
      <c r="I480" t="s">
        <v>87</v>
      </c>
      <c r="J480">
        <v>602</v>
      </c>
      <c r="K480" s="3">
        <v>8.1</v>
      </c>
      <c r="L480">
        <v>4876.2</v>
      </c>
    </row>
    <row r="481" spans="1:12" x14ac:dyDescent="0.3">
      <c r="A481">
        <v>16</v>
      </c>
      <c r="B481">
        <v>23</v>
      </c>
      <c r="C481">
        <v>2</v>
      </c>
      <c r="D481">
        <v>3</v>
      </c>
      <c r="E481">
        <v>1</v>
      </c>
      <c r="F481">
        <v>0</v>
      </c>
      <c r="G481">
        <v>11</v>
      </c>
      <c r="H481" t="s">
        <v>57</v>
      </c>
      <c r="I481" t="s">
        <v>90</v>
      </c>
      <c r="J481">
        <v>314</v>
      </c>
      <c r="K481" s="3">
        <v>9.1999999999999993</v>
      </c>
      <c r="L481">
        <v>2888.7999999999902</v>
      </c>
    </row>
    <row r="482" spans="1:12" x14ac:dyDescent="0.3">
      <c r="A482">
        <v>6</v>
      </c>
      <c r="B482">
        <v>22</v>
      </c>
      <c r="C482">
        <v>1</v>
      </c>
      <c r="D482">
        <v>15</v>
      </c>
      <c r="E482">
        <v>7</v>
      </c>
      <c r="F482">
        <v>0</v>
      </c>
      <c r="G482">
        <v>5</v>
      </c>
      <c r="H482" t="s">
        <v>14</v>
      </c>
      <c r="I482" t="s">
        <v>80</v>
      </c>
      <c r="J482">
        <v>389</v>
      </c>
      <c r="K482" s="3">
        <v>8.9</v>
      </c>
      <c r="L482">
        <v>3462.1</v>
      </c>
    </row>
    <row r="483" spans="1:12" x14ac:dyDescent="0.3">
      <c r="A483">
        <v>9</v>
      </c>
      <c r="B483">
        <v>20</v>
      </c>
      <c r="C483">
        <v>3</v>
      </c>
      <c r="D483">
        <v>16</v>
      </c>
      <c r="E483">
        <v>1</v>
      </c>
      <c r="F483">
        <v>0</v>
      </c>
      <c r="G483">
        <v>11</v>
      </c>
      <c r="H483" t="s">
        <v>22</v>
      </c>
      <c r="I483" t="s">
        <v>107</v>
      </c>
      <c r="J483">
        <v>616</v>
      </c>
      <c r="K483" s="3">
        <v>7.8</v>
      </c>
      <c r="L483">
        <v>0</v>
      </c>
    </row>
    <row r="484" spans="1:12" x14ac:dyDescent="0.3">
      <c r="A484">
        <v>6</v>
      </c>
      <c r="B484">
        <v>17</v>
      </c>
      <c r="C484">
        <v>3</v>
      </c>
      <c r="D484">
        <v>13</v>
      </c>
      <c r="E484">
        <v>1</v>
      </c>
      <c r="F484">
        <v>0</v>
      </c>
      <c r="G484">
        <v>12</v>
      </c>
      <c r="H484" t="s">
        <v>19</v>
      </c>
      <c r="I484" t="s">
        <v>107</v>
      </c>
      <c r="J484">
        <v>331</v>
      </c>
      <c r="K484" s="3">
        <v>8.9</v>
      </c>
      <c r="L484">
        <v>2945.9</v>
      </c>
    </row>
    <row r="485" spans="1:12" x14ac:dyDescent="0.3">
      <c r="A485">
        <v>11</v>
      </c>
      <c r="B485">
        <v>22</v>
      </c>
      <c r="C485">
        <v>3</v>
      </c>
      <c r="D485">
        <v>17</v>
      </c>
      <c r="E485">
        <v>1</v>
      </c>
      <c r="F485">
        <v>0</v>
      </c>
      <c r="G485">
        <v>6</v>
      </c>
      <c r="H485" t="s">
        <v>38</v>
      </c>
      <c r="I485" t="s">
        <v>120</v>
      </c>
      <c r="J485">
        <v>481</v>
      </c>
      <c r="K485" s="3">
        <v>7.4</v>
      </c>
      <c r="L485">
        <v>3559.4</v>
      </c>
    </row>
    <row r="486" spans="1:12" x14ac:dyDescent="0.3">
      <c r="A486">
        <v>17</v>
      </c>
      <c r="B486">
        <v>23</v>
      </c>
      <c r="C486">
        <v>1</v>
      </c>
      <c r="D486">
        <v>0</v>
      </c>
      <c r="E486">
        <v>1</v>
      </c>
      <c r="F486">
        <v>0</v>
      </c>
      <c r="G486">
        <v>3</v>
      </c>
      <c r="H486" t="s">
        <v>33</v>
      </c>
      <c r="I486" t="s">
        <v>97</v>
      </c>
      <c r="J486">
        <v>334</v>
      </c>
      <c r="K486">
        <v>9.3000000000000007</v>
      </c>
      <c r="L486">
        <v>3106.2</v>
      </c>
    </row>
    <row r="487" spans="1:12" x14ac:dyDescent="0.3">
      <c r="A487">
        <v>21</v>
      </c>
      <c r="B487">
        <v>0</v>
      </c>
      <c r="C487">
        <v>3</v>
      </c>
      <c r="D487">
        <v>12</v>
      </c>
      <c r="E487">
        <v>1</v>
      </c>
      <c r="F487">
        <v>0</v>
      </c>
      <c r="G487">
        <v>8</v>
      </c>
      <c r="H487" t="s">
        <v>16</v>
      </c>
      <c r="I487" t="s">
        <v>82</v>
      </c>
      <c r="J487">
        <v>490</v>
      </c>
      <c r="K487" s="3">
        <v>8.9</v>
      </c>
      <c r="L487">
        <v>4361</v>
      </c>
    </row>
    <row r="488" spans="1:12" x14ac:dyDescent="0.3">
      <c r="A488">
        <v>18</v>
      </c>
      <c r="B488">
        <v>22</v>
      </c>
      <c r="C488">
        <v>1</v>
      </c>
      <c r="D488">
        <v>16</v>
      </c>
      <c r="E488">
        <v>1</v>
      </c>
      <c r="F488">
        <v>0</v>
      </c>
      <c r="G488">
        <v>2</v>
      </c>
      <c r="H488" t="s">
        <v>36</v>
      </c>
      <c r="I488" t="s">
        <v>92</v>
      </c>
      <c r="J488">
        <v>524</v>
      </c>
      <c r="K488" s="3">
        <v>8.8000000000000007</v>
      </c>
      <c r="L488">
        <v>4611.2</v>
      </c>
    </row>
    <row r="489" spans="1:12" x14ac:dyDescent="0.3">
      <c r="A489">
        <v>11</v>
      </c>
      <c r="B489">
        <v>22</v>
      </c>
      <c r="C489">
        <v>1</v>
      </c>
      <c r="D489">
        <v>20</v>
      </c>
      <c r="E489">
        <v>1</v>
      </c>
      <c r="F489">
        <v>0</v>
      </c>
      <c r="G489">
        <v>8</v>
      </c>
      <c r="H489" t="s">
        <v>32</v>
      </c>
      <c r="I489" t="s">
        <v>71</v>
      </c>
      <c r="J489">
        <v>525</v>
      </c>
      <c r="K489" s="3">
        <v>7.6</v>
      </c>
      <c r="L489">
        <v>3990</v>
      </c>
    </row>
    <row r="490" spans="1:12" x14ac:dyDescent="0.3">
      <c r="A490">
        <v>12</v>
      </c>
      <c r="B490">
        <v>22</v>
      </c>
      <c r="C490">
        <v>0</v>
      </c>
      <c r="D490">
        <v>14</v>
      </c>
      <c r="E490">
        <v>12</v>
      </c>
      <c r="F490">
        <v>0</v>
      </c>
      <c r="G490">
        <v>0</v>
      </c>
      <c r="H490" t="s">
        <v>48</v>
      </c>
      <c r="I490" t="s">
        <v>71</v>
      </c>
      <c r="J490">
        <v>604</v>
      </c>
      <c r="K490" s="3">
        <v>8.6999999999999993</v>
      </c>
      <c r="L490">
        <v>5254.7999999999902</v>
      </c>
    </row>
    <row r="491" spans="1:12" x14ac:dyDescent="0.3">
      <c r="A491">
        <v>5</v>
      </c>
      <c r="B491">
        <v>18</v>
      </c>
      <c r="C491">
        <v>2</v>
      </c>
      <c r="D491">
        <v>20</v>
      </c>
      <c r="E491">
        <v>1</v>
      </c>
      <c r="F491">
        <v>0</v>
      </c>
      <c r="G491">
        <v>8</v>
      </c>
      <c r="H491" t="s">
        <v>23</v>
      </c>
      <c r="I491" t="s">
        <v>90</v>
      </c>
      <c r="J491">
        <v>426</v>
      </c>
      <c r="K491" s="3">
        <v>8.4</v>
      </c>
      <c r="L491">
        <v>3578.4</v>
      </c>
    </row>
    <row r="492" spans="1:12" x14ac:dyDescent="0.3">
      <c r="A492">
        <v>7</v>
      </c>
      <c r="B492">
        <v>17</v>
      </c>
      <c r="C492">
        <v>2</v>
      </c>
      <c r="D492">
        <v>16</v>
      </c>
      <c r="E492">
        <v>7</v>
      </c>
      <c r="F492">
        <v>0</v>
      </c>
      <c r="G492">
        <v>8</v>
      </c>
      <c r="H492" t="s">
        <v>16</v>
      </c>
      <c r="I492" t="s">
        <v>73</v>
      </c>
      <c r="J492">
        <v>570</v>
      </c>
      <c r="K492" s="3">
        <v>8.9</v>
      </c>
      <c r="L492">
        <v>5073</v>
      </c>
    </row>
    <row r="493" spans="1:12" x14ac:dyDescent="0.3">
      <c r="A493">
        <v>5</v>
      </c>
      <c r="B493">
        <v>21</v>
      </c>
      <c r="C493">
        <v>0</v>
      </c>
      <c r="D493">
        <v>15</v>
      </c>
      <c r="E493">
        <v>1</v>
      </c>
      <c r="F493">
        <v>0</v>
      </c>
      <c r="G493">
        <v>10</v>
      </c>
      <c r="H493" t="s">
        <v>21</v>
      </c>
      <c r="I493" t="s">
        <v>83</v>
      </c>
      <c r="J493">
        <v>443</v>
      </c>
      <c r="K493" s="3">
        <v>8.6999999999999993</v>
      </c>
      <c r="L493">
        <v>3854.1</v>
      </c>
    </row>
    <row r="494" spans="1:12" x14ac:dyDescent="0.3">
      <c r="A494">
        <v>13</v>
      </c>
      <c r="B494">
        <v>22</v>
      </c>
      <c r="C494">
        <v>0</v>
      </c>
      <c r="D494">
        <v>12</v>
      </c>
      <c r="E494">
        <v>1</v>
      </c>
      <c r="F494">
        <v>0</v>
      </c>
      <c r="G494">
        <v>6</v>
      </c>
      <c r="H494" t="s">
        <v>16</v>
      </c>
      <c r="I494" t="s">
        <v>99</v>
      </c>
      <c r="J494">
        <v>377</v>
      </c>
      <c r="K494" s="3">
        <v>0</v>
      </c>
      <c r="L494">
        <v>3355.3</v>
      </c>
    </row>
    <row r="495" spans="1:12" x14ac:dyDescent="0.3">
      <c r="A495">
        <v>19</v>
      </c>
      <c r="B495">
        <v>22</v>
      </c>
      <c r="C495">
        <v>0</v>
      </c>
      <c r="D495">
        <v>20</v>
      </c>
      <c r="E495">
        <v>12</v>
      </c>
      <c r="F495">
        <v>0</v>
      </c>
      <c r="G495">
        <v>9</v>
      </c>
      <c r="H495" t="s">
        <v>30</v>
      </c>
      <c r="I495" t="s">
        <v>93</v>
      </c>
      <c r="J495">
        <v>0</v>
      </c>
      <c r="K495" s="3">
        <v>9.1999999999999993</v>
      </c>
      <c r="L495">
        <v>5198</v>
      </c>
    </row>
    <row r="496" spans="1:12" x14ac:dyDescent="0.3">
      <c r="A496">
        <v>22</v>
      </c>
      <c r="B496">
        <v>22</v>
      </c>
      <c r="C496">
        <v>3</v>
      </c>
      <c r="D496">
        <v>14</v>
      </c>
      <c r="E496">
        <v>1</v>
      </c>
      <c r="F496">
        <v>0</v>
      </c>
      <c r="G496">
        <v>3</v>
      </c>
      <c r="H496" t="s">
        <v>35</v>
      </c>
      <c r="I496" t="s">
        <v>72</v>
      </c>
      <c r="J496">
        <v>666</v>
      </c>
      <c r="K496" s="3">
        <v>8.1999999999999993</v>
      </c>
      <c r="L496">
        <v>5461.2</v>
      </c>
    </row>
    <row r="497" spans="1:12" x14ac:dyDescent="0.3">
      <c r="A497">
        <v>9</v>
      </c>
      <c r="B497">
        <v>23</v>
      </c>
      <c r="C497">
        <v>2</v>
      </c>
      <c r="D497">
        <v>5</v>
      </c>
      <c r="E497">
        <v>1</v>
      </c>
      <c r="F497">
        <v>0</v>
      </c>
      <c r="G497">
        <v>8</v>
      </c>
      <c r="H497" t="s">
        <v>369</v>
      </c>
      <c r="I497" t="s">
        <v>122</v>
      </c>
      <c r="J497">
        <v>341</v>
      </c>
      <c r="K497" s="3">
        <v>7.4</v>
      </c>
      <c r="L497">
        <v>2523.4</v>
      </c>
    </row>
    <row r="498" spans="1:12" x14ac:dyDescent="0.3">
      <c r="A498">
        <v>9</v>
      </c>
      <c r="B498">
        <v>23</v>
      </c>
      <c r="C498">
        <v>1</v>
      </c>
      <c r="D498">
        <v>3</v>
      </c>
      <c r="E498">
        <v>1</v>
      </c>
      <c r="F498">
        <v>0</v>
      </c>
      <c r="G498">
        <v>1</v>
      </c>
      <c r="H498" t="s">
        <v>24</v>
      </c>
      <c r="I498" t="s">
        <v>76</v>
      </c>
      <c r="J498">
        <v>392</v>
      </c>
      <c r="K498" s="3">
        <v>7.9</v>
      </c>
      <c r="L498">
        <v>3096.8</v>
      </c>
    </row>
    <row r="499" spans="1:12" x14ac:dyDescent="0.3">
      <c r="A499">
        <v>15</v>
      </c>
      <c r="B499">
        <v>22</v>
      </c>
      <c r="C499">
        <v>2</v>
      </c>
      <c r="D499">
        <v>7</v>
      </c>
      <c r="E499">
        <v>1</v>
      </c>
      <c r="F499">
        <v>0</v>
      </c>
      <c r="G499">
        <v>6</v>
      </c>
      <c r="H499" t="s">
        <v>26</v>
      </c>
      <c r="I499" t="s">
        <v>84</v>
      </c>
      <c r="J499">
        <v>477</v>
      </c>
      <c r="K499" s="3">
        <v>8.5</v>
      </c>
      <c r="L499">
        <v>4054.5</v>
      </c>
    </row>
    <row r="500" spans="1:12" x14ac:dyDescent="0.3">
      <c r="A500">
        <v>21</v>
      </c>
      <c r="B500">
        <v>23</v>
      </c>
      <c r="C500">
        <v>0</v>
      </c>
      <c r="D500">
        <v>21</v>
      </c>
      <c r="E500">
        <v>1</v>
      </c>
      <c r="F500">
        <v>0</v>
      </c>
      <c r="G500">
        <v>3</v>
      </c>
      <c r="H500" t="s">
        <v>21</v>
      </c>
      <c r="I500" t="s">
        <v>75</v>
      </c>
      <c r="J500">
        <v>478</v>
      </c>
      <c r="K500">
        <v>8.6999999999999993</v>
      </c>
      <c r="L500">
        <v>4158.5999999999904</v>
      </c>
    </row>
    <row r="501" spans="1:12" x14ac:dyDescent="0.3">
      <c r="A501">
        <v>23</v>
      </c>
      <c r="B501">
        <v>23</v>
      </c>
      <c r="C501">
        <v>3</v>
      </c>
      <c r="D501">
        <v>11</v>
      </c>
      <c r="E501">
        <v>1</v>
      </c>
      <c r="F501">
        <v>0</v>
      </c>
      <c r="G501">
        <v>5</v>
      </c>
      <c r="H501" t="s">
        <v>60</v>
      </c>
      <c r="I501" t="s">
        <v>80</v>
      </c>
      <c r="J501">
        <v>533</v>
      </c>
      <c r="K501" s="3">
        <v>9.1</v>
      </c>
      <c r="L501">
        <v>4850.3</v>
      </c>
    </row>
    <row r="502" spans="1:12" x14ac:dyDescent="0.3">
      <c r="A502">
        <v>12</v>
      </c>
      <c r="B502">
        <v>22</v>
      </c>
      <c r="C502">
        <v>0</v>
      </c>
      <c r="D502">
        <v>9</v>
      </c>
      <c r="E502">
        <v>1</v>
      </c>
      <c r="F502">
        <v>0</v>
      </c>
      <c r="G502">
        <v>9</v>
      </c>
      <c r="H502" t="s">
        <v>24</v>
      </c>
      <c r="I502" t="s">
        <v>93</v>
      </c>
      <c r="J502">
        <v>494</v>
      </c>
      <c r="K502" s="3">
        <v>7.9</v>
      </c>
      <c r="L502">
        <v>3902.6</v>
      </c>
    </row>
    <row r="503" spans="1:12" x14ac:dyDescent="0.3">
      <c r="A503">
        <v>18</v>
      </c>
      <c r="B503">
        <v>22</v>
      </c>
      <c r="C503">
        <v>3</v>
      </c>
      <c r="D503">
        <v>19</v>
      </c>
      <c r="E503">
        <v>1</v>
      </c>
      <c r="F503">
        <v>0</v>
      </c>
      <c r="G503">
        <v>3</v>
      </c>
      <c r="H503" t="s">
        <v>20</v>
      </c>
      <c r="I503" t="s">
        <v>80</v>
      </c>
      <c r="J503">
        <v>751</v>
      </c>
      <c r="K503" s="3">
        <v>9.1</v>
      </c>
      <c r="L503">
        <v>0</v>
      </c>
    </row>
    <row r="504" spans="1:12" x14ac:dyDescent="0.3">
      <c r="A504">
        <v>0</v>
      </c>
      <c r="B504">
        <v>21</v>
      </c>
      <c r="C504">
        <v>0</v>
      </c>
      <c r="D504">
        <v>5</v>
      </c>
      <c r="E504">
        <v>1</v>
      </c>
      <c r="F504">
        <v>0</v>
      </c>
      <c r="G504">
        <v>11</v>
      </c>
      <c r="H504" t="s">
        <v>20</v>
      </c>
      <c r="I504" t="s">
        <v>100</v>
      </c>
      <c r="J504">
        <v>321</v>
      </c>
      <c r="K504" s="3">
        <v>9.1</v>
      </c>
      <c r="L504">
        <v>2921.1</v>
      </c>
    </row>
    <row r="505" spans="1:12" x14ac:dyDescent="0.3">
      <c r="A505">
        <v>13</v>
      </c>
      <c r="B505">
        <v>22</v>
      </c>
      <c r="C505">
        <v>0</v>
      </c>
      <c r="D505">
        <v>0</v>
      </c>
      <c r="E505">
        <v>12</v>
      </c>
      <c r="F505">
        <v>0</v>
      </c>
      <c r="G505">
        <v>6</v>
      </c>
      <c r="H505" t="s">
        <v>30</v>
      </c>
      <c r="I505" t="s">
        <v>106</v>
      </c>
      <c r="J505">
        <v>503</v>
      </c>
      <c r="K505" s="3">
        <v>9.1999999999999993</v>
      </c>
      <c r="L505">
        <v>4627.5999999999904</v>
      </c>
    </row>
    <row r="506" spans="1:12" x14ac:dyDescent="0.3">
      <c r="A506">
        <v>18</v>
      </c>
      <c r="B506">
        <v>23</v>
      </c>
      <c r="C506">
        <v>2</v>
      </c>
      <c r="D506">
        <v>4</v>
      </c>
      <c r="E506">
        <v>12</v>
      </c>
      <c r="F506">
        <v>0</v>
      </c>
      <c r="G506">
        <v>5</v>
      </c>
      <c r="H506" t="s">
        <v>20</v>
      </c>
      <c r="I506" t="s">
        <v>75</v>
      </c>
      <c r="J506">
        <v>692</v>
      </c>
      <c r="K506" s="3">
        <v>9.1</v>
      </c>
      <c r="L506">
        <v>6297.2</v>
      </c>
    </row>
    <row r="507" spans="1:12" x14ac:dyDescent="0.3">
      <c r="A507">
        <v>22</v>
      </c>
      <c r="B507">
        <v>22</v>
      </c>
      <c r="C507">
        <v>2</v>
      </c>
      <c r="D507">
        <v>7</v>
      </c>
      <c r="E507">
        <v>1</v>
      </c>
      <c r="F507">
        <v>0</v>
      </c>
      <c r="G507">
        <v>10</v>
      </c>
      <c r="H507" t="s">
        <v>25</v>
      </c>
      <c r="I507" t="s">
        <v>93</v>
      </c>
      <c r="J507">
        <v>602</v>
      </c>
      <c r="K507" s="3">
        <v>8.1</v>
      </c>
      <c r="L507">
        <v>4876.2</v>
      </c>
    </row>
    <row r="508" spans="1:12" x14ac:dyDescent="0.3">
      <c r="A508">
        <v>20</v>
      </c>
      <c r="B508">
        <v>23</v>
      </c>
      <c r="C508">
        <v>1</v>
      </c>
      <c r="D508">
        <v>10</v>
      </c>
      <c r="E508">
        <v>12</v>
      </c>
      <c r="F508">
        <v>0</v>
      </c>
      <c r="G508">
        <v>9</v>
      </c>
      <c r="H508" t="s">
        <v>32</v>
      </c>
      <c r="I508" t="s">
        <v>89</v>
      </c>
      <c r="J508">
        <v>545</v>
      </c>
      <c r="K508" s="3">
        <v>7.6</v>
      </c>
      <c r="L508">
        <v>4142</v>
      </c>
    </row>
    <row r="509" spans="1:12" x14ac:dyDescent="0.3">
      <c r="A509">
        <v>15</v>
      </c>
      <c r="B509">
        <v>23</v>
      </c>
      <c r="C509">
        <v>3</v>
      </c>
      <c r="D509">
        <v>15</v>
      </c>
      <c r="E509">
        <v>12</v>
      </c>
      <c r="F509">
        <v>0</v>
      </c>
      <c r="G509">
        <v>9</v>
      </c>
      <c r="H509" t="s">
        <v>63</v>
      </c>
      <c r="I509" t="s">
        <v>94</v>
      </c>
      <c r="J509">
        <v>587</v>
      </c>
      <c r="K509" s="3">
        <v>7.7</v>
      </c>
      <c r="L509">
        <v>4519.8999999999996</v>
      </c>
    </row>
    <row r="510" spans="1:12" x14ac:dyDescent="0.3">
      <c r="A510">
        <v>8</v>
      </c>
      <c r="B510">
        <v>18</v>
      </c>
      <c r="C510">
        <v>1</v>
      </c>
      <c r="D510">
        <v>5</v>
      </c>
      <c r="E510">
        <v>1</v>
      </c>
      <c r="F510">
        <v>0</v>
      </c>
      <c r="G510">
        <v>10</v>
      </c>
      <c r="H510" t="s">
        <v>23</v>
      </c>
      <c r="I510" t="s">
        <v>93</v>
      </c>
      <c r="J510">
        <v>404</v>
      </c>
      <c r="K510" s="3">
        <v>8.4</v>
      </c>
      <c r="L510">
        <v>3393.6</v>
      </c>
    </row>
    <row r="511" spans="1:12" x14ac:dyDescent="0.3">
      <c r="A511">
        <v>13</v>
      </c>
      <c r="B511">
        <v>22</v>
      </c>
      <c r="C511">
        <v>0</v>
      </c>
      <c r="D511">
        <v>0</v>
      </c>
      <c r="E511">
        <v>1</v>
      </c>
      <c r="F511">
        <v>0</v>
      </c>
      <c r="G511">
        <v>8</v>
      </c>
      <c r="H511" t="s">
        <v>55</v>
      </c>
      <c r="I511" t="s">
        <v>106</v>
      </c>
      <c r="J511">
        <v>408</v>
      </c>
      <c r="K511" s="3">
        <v>7.8</v>
      </c>
      <c r="L511">
        <v>3182.4</v>
      </c>
    </row>
    <row r="512" spans="1:12" x14ac:dyDescent="0.3">
      <c r="A512">
        <v>20</v>
      </c>
      <c r="B512">
        <v>23</v>
      </c>
      <c r="C512">
        <v>3</v>
      </c>
      <c r="D512">
        <v>10</v>
      </c>
      <c r="E512">
        <v>1</v>
      </c>
      <c r="F512">
        <v>0</v>
      </c>
      <c r="G512">
        <v>8</v>
      </c>
      <c r="H512" t="s">
        <v>20</v>
      </c>
      <c r="I512" t="s">
        <v>85</v>
      </c>
      <c r="J512">
        <v>675</v>
      </c>
      <c r="K512" s="3">
        <v>9.1</v>
      </c>
      <c r="L512">
        <v>6142.5</v>
      </c>
    </row>
    <row r="513" spans="1:12" x14ac:dyDescent="0.3">
      <c r="A513">
        <v>11</v>
      </c>
      <c r="B513">
        <v>22</v>
      </c>
      <c r="C513">
        <v>1</v>
      </c>
      <c r="D513">
        <v>11</v>
      </c>
      <c r="E513">
        <v>1</v>
      </c>
      <c r="F513">
        <v>0</v>
      </c>
      <c r="G513">
        <v>12</v>
      </c>
      <c r="H513" t="s">
        <v>33</v>
      </c>
      <c r="I513" t="s">
        <v>89</v>
      </c>
      <c r="J513">
        <v>413</v>
      </c>
      <c r="K513" s="3">
        <v>9.3000000000000007</v>
      </c>
      <c r="L513">
        <v>3840.9</v>
      </c>
    </row>
    <row r="514" spans="1:12" x14ac:dyDescent="0.3">
      <c r="A514">
        <v>16</v>
      </c>
      <c r="B514">
        <v>23</v>
      </c>
      <c r="C514">
        <v>0</v>
      </c>
      <c r="D514">
        <v>14</v>
      </c>
      <c r="E514">
        <v>1</v>
      </c>
      <c r="F514">
        <v>0</v>
      </c>
      <c r="G514">
        <v>3</v>
      </c>
      <c r="H514" t="s">
        <v>22</v>
      </c>
      <c r="I514" t="s">
        <v>91</v>
      </c>
      <c r="J514">
        <v>631</v>
      </c>
      <c r="K514" s="3">
        <v>7.8</v>
      </c>
      <c r="L514">
        <v>4921.8</v>
      </c>
    </row>
    <row r="515" spans="1:12" x14ac:dyDescent="0.3">
      <c r="A515">
        <v>17</v>
      </c>
      <c r="B515">
        <v>23</v>
      </c>
      <c r="C515">
        <v>1</v>
      </c>
      <c r="D515">
        <v>12</v>
      </c>
      <c r="E515">
        <v>1</v>
      </c>
      <c r="F515">
        <v>0</v>
      </c>
      <c r="G515">
        <v>0</v>
      </c>
      <c r="H515" t="s">
        <v>26</v>
      </c>
      <c r="I515" t="s">
        <v>94</v>
      </c>
      <c r="J515">
        <v>512</v>
      </c>
      <c r="K515" s="3">
        <v>8.5</v>
      </c>
      <c r="L515">
        <v>4352</v>
      </c>
    </row>
    <row r="516" spans="1:12" x14ac:dyDescent="0.3">
      <c r="A516">
        <v>14</v>
      </c>
      <c r="B516">
        <v>23</v>
      </c>
      <c r="C516">
        <v>2</v>
      </c>
      <c r="D516">
        <v>7</v>
      </c>
      <c r="E516">
        <v>1</v>
      </c>
      <c r="F516">
        <v>0</v>
      </c>
      <c r="G516">
        <v>12</v>
      </c>
      <c r="H516" t="s">
        <v>25</v>
      </c>
      <c r="I516" t="s">
        <v>85</v>
      </c>
      <c r="J516">
        <v>545</v>
      </c>
      <c r="K516" s="3">
        <v>8.1</v>
      </c>
      <c r="L516">
        <v>4414.5</v>
      </c>
    </row>
    <row r="517" spans="1:12" x14ac:dyDescent="0.3">
      <c r="A517">
        <v>7</v>
      </c>
      <c r="B517">
        <v>20</v>
      </c>
      <c r="C517">
        <v>2</v>
      </c>
      <c r="D517">
        <v>6</v>
      </c>
      <c r="E517">
        <v>7</v>
      </c>
      <c r="F517">
        <v>0</v>
      </c>
      <c r="G517">
        <v>7</v>
      </c>
      <c r="H517" t="s">
        <v>369</v>
      </c>
      <c r="I517" t="s">
        <v>78</v>
      </c>
      <c r="J517">
        <v>416</v>
      </c>
      <c r="K517" s="3">
        <v>7.7</v>
      </c>
      <c r="L517">
        <v>3203.2</v>
      </c>
    </row>
    <row r="518" spans="1:12" x14ac:dyDescent="0.3">
      <c r="A518">
        <v>5</v>
      </c>
      <c r="B518">
        <v>17</v>
      </c>
      <c r="C518">
        <v>2</v>
      </c>
      <c r="D518">
        <v>12</v>
      </c>
      <c r="E518">
        <v>1</v>
      </c>
      <c r="F518">
        <v>0</v>
      </c>
      <c r="G518">
        <v>10</v>
      </c>
      <c r="H518" t="s">
        <v>24</v>
      </c>
      <c r="I518" t="s">
        <v>87</v>
      </c>
      <c r="J518">
        <v>494</v>
      </c>
      <c r="K518" s="3">
        <v>7.9</v>
      </c>
      <c r="L518">
        <v>3902.6</v>
      </c>
    </row>
    <row r="519" spans="1:12" x14ac:dyDescent="0.3">
      <c r="A519">
        <v>13</v>
      </c>
      <c r="B519">
        <v>22</v>
      </c>
      <c r="C519">
        <v>1</v>
      </c>
      <c r="D519">
        <v>7</v>
      </c>
      <c r="E519">
        <v>1</v>
      </c>
      <c r="F519">
        <v>0</v>
      </c>
      <c r="G519">
        <v>0</v>
      </c>
      <c r="H519" t="s">
        <v>35</v>
      </c>
      <c r="I519" t="s">
        <v>76</v>
      </c>
      <c r="J519">
        <v>432</v>
      </c>
      <c r="K519" s="3">
        <v>8.1999999999999993</v>
      </c>
      <c r="L519">
        <v>3542.3999999999901</v>
      </c>
    </row>
    <row r="520" spans="1:12" x14ac:dyDescent="0.3">
      <c r="A520">
        <v>20</v>
      </c>
      <c r="B520">
        <v>22</v>
      </c>
      <c r="C520">
        <v>1</v>
      </c>
      <c r="D520">
        <v>0</v>
      </c>
      <c r="E520">
        <v>12</v>
      </c>
      <c r="F520">
        <v>0</v>
      </c>
      <c r="G520">
        <v>5</v>
      </c>
      <c r="H520" t="s">
        <v>33</v>
      </c>
      <c r="I520" t="s">
        <v>84</v>
      </c>
      <c r="J520">
        <v>560</v>
      </c>
      <c r="K520" s="3">
        <v>9.3000000000000007</v>
      </c>
      <c r="L520">
        <v>5208</v>
      </c>
    </row>
    <row r="521" spans="1:12" x14ac:dyDescent="0.3">
      <c r="A521">
        <v>11</v>
      </c>
      <c r="B521">
        <v>22</v>
      </c>
      <c r="C521">
        <v>2</v>
      </c>
      <c r="D521">
        <v>20</v>
      </c>
      <c r="E521">
        <v>1</v>
      </c>
      <c r="F521">
        <v>0</v>
      </c>
      <c r="G521">
        <v>2</v>
      </c>
      <c r="H521" t="s">
        <v>20</v>
      </c>
      <c r="I521" t="s">
        <v>95</v>
      </c>
      <c r="J521">
        <v>650</v>
      </c>
      <c r="K521" s="3">
        <v>9.1</v>
      </c>
      <c r="L521">
        <v>5915</v>
      </c>
    </row>
    <row r="522" spans="1:12" x14ac:dyDescent="0.3">
      <c r="A522">
        <v>9</v>
      </c>
      <c r="B522">
        <v>18</v>
      </c>
      <c r="C522">
        <v>2</v>
      </c>
      <c r="D522">
        <v>12</v>
      </c>
      <c r="E522">
        <v>1</v>
      </c>
      <c r="F522">
        <v>0</v>
      </c>
      <c r="G522">
        <v>2</v>
      </c>
      <c r="H522" t="s">
        <v>24</v>
      </c>
      <c r="I522" t="s">
        <v>73</v>
      </c>
      <c r="J522">
        <v>460</v>
      </c>
      <c r="K522" s="3">
        <v>7.9</v>
      </c>
      <c r="L522">
        <v>3634</v>
      </c>
    </row>
    <row r="523" spans="1:12" x14ac:dyDescent="0.3">
      <c r="A523">
        <v>5</v>
      </c>
      <c r="B523">
        <v>17</v>
      </c>
      <c r="C523">
        <v>0</v>
      </c>
      <c r="D523">
        <v>17</v>
      </c>
      <c r="E523">
        <v>1</v>
      </c>
      <c r="F523">
        <v>0</v>
      </c>
      <c r="G523">
        <v>1</v>
      </c>
      <c r="H523" t="s">
        <v>20</v>
      </c>
      <c r="I523" t="s">
        <v>111</v>
      </c>
      <c r="J523">
        <v>458</v>
      </c>
      <c r="K523" s="3">
        <v>9.1</v>
      </c>
      <c r="L523">
        <v>4167.8</v>
      </c>
    </row>
    <row r="524" spans="1:12" x14ac:dyDescent="0.3">
      <c r="A524">
        <v>6</v>
      </c>
      <c r="B524">
        <v>21</v>
      </c>
      <c r="C524">
        <v>2</v>
      </c>
      <c r="D524">
        <v>3</v>
      </c>
      <c r="E524">
        <v>1</v>
      </c>
      <c r="F524">
        <v>0</v>
      </c>
      <c r="G524">
        <v>11</v>
      </c>
      <c r="H524" t="s">
        <v>24</v>
      </c>
      <c r="I524" t="s">
        <v>77</v>
      </c>
      <c r="J524">
        <v>487</v>
      </c>
      <c r="K524" s="3">
        <v>7.9</v>
      </c>
      <c r="L524">
        <v>3847.3</v>
      </c>
    </row>
    <row r="525" spans="1:12" x14ac:dyDescent="0.3">
      <c r="A525">
        <v>18</v>
      </c>
      <c r="B525">
        <v>22</v>
      </c>
      <c r="C525">
        <v>2</v>
      </c>
      <c r="D525">
        <v>7</v>
      </c>
      <c r="E525">
        <v>1</v>
      </c>
      <c r="F525">
        <v>0</v>
      </c>
      <c r="G525">
        <v>4</v>
      </c>
      <c r="H525" t="s">
        <v>26</v>
      </c>
      <c r="I525" t="s">
        <v>84</v>
      </c>
      <c r="J525">
        <v>491</v>
      </c>
      <c r="K525" s="3">
        <v>8.5</v>
      </c>
      <c r="L525">
        <v>4173.5</v>
      </c>
    </row>
    <row r="526" spans="1:12" x14ac:dyDescent="0.3">
      <c r="A526">
        <v>22</v>
      </c>
      <c r="B526">
        <v>22</v>
      </c>
      <c r="C526">
        <v>3</v>
      </c>
      <c r="D526">
        <v>4</v>
      </c>
      <c r="E526">
        <v>1</v>
      </c>
      <c r="F526">
        <v>0</v>
      </c>
      <c r="G526">
        <v>10</v>
      </c>
      <c r="H526" t="s">
        <v>22</v>
      </c>
      <c r="I526" t="s">
        <v>96</v>
      </c>
      <c r="J526">
        <v>503</v>
      </c>
      <c r="K526" s="3">
        <v>7.8</v>
      </c>
      <c r="L526">
        <v>3923.4</v>
      </c>
    </row>
    <row r="527" spans="1:12" x14ac:dyDescent="0.3">
      <c r="A527">
        <v>21</v>
      </c>
      <c r="B527">
        <v>22</v>
      </c>
      <c r="C527">
        <v>2</v>
      </c>
      <c r="D527">
        <v>14</v>
      </c>
      <c r="E527">
        <v>12</v>
      </c>
      <c r="F527">
        <v>0</v>
      </c>
      <c r="G527">
        <v>4</v>
      </c>
      <c r="H527" t="s">
        <v>23</v>
      </c>
      <c r="I527" t="s">
        <v>90</v>
      </c>
      <c r="J527">
        <v>564</v>
      </c>
      <c r="K527" s="3">
        <v>8.4</v>
      </c>
      <c r="L527">
        <v>4737.6000000000004</v>
      </c>
    </row>
    <row r="528" spans="1:12" x14ac:dyDescent="0.3">
      <c r="A528">
        <v>11</v>
      </c>
      <c r="B528">
        <v>23</v>
      </c>
      <c r="C528">
        <v>1</v>
      </c>
      <c r="D528">
        <v>6</v>
      </c>
      <c r="E528">
        <v>1</v>
      </c>
      <c r="F528">
        <v>0</v>
      </c>
      <c r="G528">
        <v>8</v>
      </c>
      <c r="H528" t="s">
        <v>24</v>
      </c>
      <c r="I528" t="s">
        <v>85</v>
      </c>
      <c r="J528">
        <v>459</v>
      </c>
      <c r="K528" s="3">
        <v>7.9</v>
      </c>
      <c r="L528">
        <v>3626.1</v>
      </c>
    </row>
    <row r="529" spans="1:12" x14ac:dyDescent="0.3">
      <c r="A529">
        <v>17</v>
      </c>
      <c r="B529">
        <v>22</v>
      </c>
      <c r="C529">
        <v>1</v>
      </c>
      <c r="D529">
        <v>17</v>
      </c>
      <c r="E529">
        <v>1</v>
      </c>
      <c r="F529">
        <v>0</v>
      </c>
      <c r="G529">
        <v>9</v>
      </c>
      <c r="H529" t="s">
        <v>369</v>
      </c>
      <c r="I529" t="s">
        <v>85</v>
      </c>
      <c r="J529">
        <v>525</v>
      </c>
      <c r="K529">
        <v>8.6999999999999993</v>
      </c>
      <c r="L529">
        <v>4567.5</v>
      </c>
    </row>
    <row r="530" spans="1:12" x14ac:dyDescent="0.3">
      <c r="A530">
        <v>10</v>
      </c>
      <c r="B530">
        <v>23</v>
      </c>
      <c r="C530">
        <v>2</v>
      </c>
      <c r="D530">
        <v>22</v>
      </c>
      <c r="E530">
        <v>1</v>
      </c>
      <c r="F530">
        <v>0</v>
      </c>
      <c r="G530">
        <v>8</v>
      </c>
      <c r="H530" t="s">
        <v>24</v>
      </c>
      <c r="I530" t="s">
        <v>83</v>
      </c>
      <c r="J530">
        <v>631</v>
      </c>
      <c r="K530" s="3">
        <v>7.9</v>
      </c>
      <c r="L530">
        <v>4984.8999999999996</v>
      </c>
    </row>
    <row r="531" spans="1:12" x14ac:dyDescent="0.3">
      <c r="A531">
        <v>8</v>
      </c>
      <c r="B531">
        <v>23</v>
      </c>
      <c r="C531">
        <v>0</v>
      </c>
      <c r="D531">
        <v>5</v>
      </c>
      <c r="E531">
        <v>1</v>
      </c>
      <c r="F531">
        <v>0</v>
      </c>
      <c r="G531">
        <v>12</v>
      </c>
      <c r="H531" t="s">
        <v>15</v>
      </c>
      <c r="I531" t="s">
        <v>76</v>
      </c>
      <c r="J531">
        <v>0</v>
      </c>
      <c r="K531" s="3">
        <v>8.3000000000000007</v>
      </c>
      <c r="L531">
        <v>2216.1</v>
      </c>
    </row>
    <row r="532" spans="1:12" x14ac:dyDescent="0.3">
      <c r="A532">
        <v>12</v>
      </c>
      <c r="B532">
        <v>22</v>
      </c>
      <c r="C532">
        <v>1</v>
      </c>
      <c r="D532">
        <v>18</v>
      </c>
      <c r="E532">
        <v>1</v>
      </c>
      <c r="F532">
        <v>0</v>
      </c>
      <c r="G532">
        <v>2</v>
      </c>
      <c r="H532" t="s">
        <v>30</v>
      </c>
      <c r="I532" t="s">
        <v>90</v>
      </c>
      <c r="J532">
        <v>591</v>
      </c>
      <c r="K532" s="3">
        <v>9.1999999999999993</v>
      </c>
      <c r="L532">
        <v>0</v>
      </c>
    </row>
    <row r="533" spans="1:12" x14ac:dyDescent="0.3">
      <c r="A533">
        <v>13</v>
      </c>
      <c r="B533">
        <v>22</v>
      </c>
      <c r="C533">
        <v>1</v>
      </c>
      <c r="D533">
        <v>3</v>
      </c>
      <c r="E533">
        <v>0</v>
      </c>
      <c r="F533">
        <v>0</v>
      </c>
      <c r="G533">
        <v>8</v>
      </c>
      <c r="H533" t="s">
        <v>36</v>
      </c>
      <c r="I533" t="s">
        <v>71</v>
      </c>
      <c r="J533" t="s">
        <v>143</v>
      </c>
      <c r="K533" s="3">
        <v>8.8000000000000007</v>
      </c>
      <c r="L533">
        <v>3696</v>
      </c>
    </row>
    <row r="534" spans="1:12" x14ac:dyDescent="0.3">
      <c r="A534">
        <v>18</v>
      </c>
      <c r="B534">
        <v>23</v>
      </c>
      <c r="C534">
        <v>2</v>
      </c>
      <c r="D534">
        <v>13</v>
      </c>
      <c r="E534">
        <v>1</v>
      </c>
      <c r="F534">
        <v>0</v>
      </c>
      <c r="G534">
        <v>1</v>
      </c>
      <c r="H534" t="s">
        <v>21</v>
      </c>
      <c r="I534" t="s">
        <v>123</v>
      </c>
      <c r="J534">
        <v>661</v>
      </c>
      <c r="K534" s="3">
        <v>8.6999999999999993</v>
      </c>
      <c r="L534">
        <v>5750.7</v>
      </c>
    </row>
    <row r="535" spans="1:12" x14ac:dyDescent="0.3">
      <c r="A535">
        <v>0</v>
      </c>
      <c r="B535">
        <v>22</v>
      </c>
      <c r="C535">
        <v>3</v>
      </c>
      <c r="D535">
        <v>19</v>
      </c>
      <c r="E535">
        <v>1</v>
      </c>
      <c r="F535">
        <v>0</v>
      </c>
      <c r="G535">
        <v>9</v>
      </c>
      <c r="H535" t="s">
        <v>58</v>
      </c>
      <c r="I535" t="s">
        <v>75</v>
      </c>
      <c r="J535">
        <v>701</v>
      </c>
      <c r="K535" s="3">
        <v>8.4</v>
      </c>
      <c r="L535">
        <v>5888.4</v>
      </c>
    </row>
    <row r="536" spans="1:12" x14ac:dyDescent="0.3">
      <c r="A536">
        <v>10</v>
      </c>
      <c r="B536">
        <v>23</v>
      </c>
      <c r="C536">
        <v>2</v>
      </c>
      <c r="D536">
        <v>11</v>
      </c>
      <c r="E536">
        <v>1</v>
      </c>
      <c r="F536">
        <v>0</v>
      </c>
      <c r="G536">
        <v>4</v>
      </c>
      <c r="H536" t="s">
        <v>18</v>
      </c>
      <c r="I536" t="s">
        <v>74</v>
      </c>
      <c r="J536">
        <v>404</v>
      </c>
      <c r="K536" s="3">
        <v>7.7</v>
      </c>
      <c r="L536">
        <v>3110.8</v>
      </c>
    </row>
    <row r="537" spans="1:12" x14ac:dyDescent="0.3">
      <c r="A537">
        <v>19</v>
      </c>
      <c r="B537">
        <v>22</v>
      </c>
      <c r="C537">
        <v>2</v>
      </c>
      <c r="D537">
        <v>3</v>
      </c>
      <c r="E537">
        <v>1</v>
      </c>
      <c r="F537">
        <v>0</v>
      </c>
      <c r="G537">
        <v>9</v>
      </c>
      <c r="H537" t="s">
        <v>24</v>
      </c>
      <c r="I537" t="s">
        <v>95</v>
      </c>
      <c r="J537">
        <v>589</v>
      </c>
      <c r="K537" s="3">
        <v>7.9</v>
      </c>
      <c r="L537">
        <v>4653.1000000000004</v>
      </c>
    </row>
    <row r="538" spans="1:12" x14ac:dyDescent="0.3">
      <c r="A538">
        <v>10</v>
      </c>
      <c r="B538">
        <v>22</v>
      </c>
      <c r="C538">
        <v>3</v>
      </c>
      <c r="D538">
        <v>8</v>
      </c>
      <c r="E538">
        <v>1</v>
      </c>
      <c r="F538">
        <v>0</v>
      </c>
      <c r="G538">
        <v>4</v>
      </c>
      <c r="H538" t="s">
        <v>36</v>
      </c>
      <c r="I538" t="s">
        <v>83</v>
      </c>
      <c r="J538">
        <v>352</v>
      </c>
      <c r="K538" s="3">
        <v>8.8000000000000007</v>
      </c>
      <c r="L538">
        <v>3097.6</v>
      </c>
    </row>
    <row r="539" spans="1:12" x14ac:dyDescent="0.3">
      <c r="A539">
        <v>17</v>
      </c>
      <c r="B539">
        <v>22</v>
      </c>
      <c r="C539">
        <v>2</v>
      </c>
      <c r="D539">
        <v>14</v>
      </c>
      <c r="E539">
        <v>1</v>
      </c>
      <c r="F539">
        <v>0</v>
      </c>
      <c r="G539">
        <v>12</v>
      </c>
      <c r="H539" t="s">
        <v>35</v>
      </c>
      <c r="I539" t="s">
        <v>70</v>
      </c>
      <c r="J539">
        <v>685</v>
      </c>
      <c r="K539" s="3">
        <v>8.1999999999999993</v>
      </c>
      <c r="L539">
        <v>5616.99999999999</v>
      </c>
    </row>
    <row r="540" spans="1:12" x14ac:dyDescent="0.3">
      <c r="A540">
        <v>22</v>
      </c>
      <c r="B540">
        <v>23</v>
      </c>
      <c r="C540">
        <v>0</v>
      </c>
      <c r="D540">
        <v>19</v>
      </c>
      <c r="E540">
        <v>1</v>
      </c>
      <c r="F540">
        <v>0</v>
      </c>
      <c r="G540">
        <v>8</v>
      </c>
      <c r="H540" t="s">
        <v>26</v>
      </c>
      <c r="I540" t="s">
        <v>76</v>
      </c>
      <c r="J540">
        <v>601</v>
      </c>
      <c r="K540" s="3">
        <v>8.5</v>
      </c>
      <c r="L540">
        <v>5108.5</v>
      </c>
    </row>
    <row r="541" spans="1:12" x14ac:dyDescent="0.3">
      <c r="A541">
        <v>13</v>
      </c>
      <c r="B541">
        <v>22</v>
      </c>
      <c r="C541">
        <v>3</v>
      </c>
      <c r="D541">
        <v>8</v>
      </c>
      <c r="E541">
        <v>1</v>
      </c>
      <c r="F541">
        <v>0</v>
      </c>
      <c r="G541">
        <v>11</v>
      </c>
      <c r="H541" t="s">
        <v>26</v>
      </c>
      <c r="I541" t="s">
        <v>77</v>
      </c>
      <c r="J541">
        <v>569</v>
      </c>
      <c r="K541" s="3">
        <v>8.5</v>
      </c>
      <c r="L541">
        <v>4836.5</v>
      </c>
    </row>
    <row r="542" spans="1:12" x14ac:dyDescent="0.3">
      <c r="A542">
        <v>19</v>
      </c>
      <c r="B542">
        <v>22</v>
      </c>
      <c r="C542">
        <v>0</v>
      </c>
      <c r="D542">
        <v>9</v>
      </c>
      <c r="E542">
        <v>1</v>
      </c>
      <c r="F542">
        <v>0</v>
      </c>
      <c r="G542">
        <v>12</v>
      </c>
      <c r="H542" t="s">
        <v>18</v>
      </c>
      <c r="I542" t="s">
        <v>87</v>
      </c>
      <c r="J542">
        <v>444</v>
      </c>
      <c r="K542">
        <v>7.7</v>
      </c>
      <c r="L542">
        <v>3418.8</v>
      </c>
    </row>
    <row r="543" spans="1:12" x14ac:dyDescent="0.3">
      <c r="A543">
        <v>14</v>
      </c>
      <c r="B543">
        <v>22</v>
      </c>
      <c r="C543">
        <v>3</v>
      </c>
      <c r="D543">
        <v>8</v>
      </c>
      <c r="E543">
        <v>12</v>
      </c>
      <c r="F543">
        <v>0</v>
      </c>
      <c r="G543">
        <v>7</v>
      </c>
      <c r="H543" t="s">
        <v>57</v>
      </c>
      <c r="I543" t="s">
        <v>74</v>
      </c>
      <c r="J543">
        <v>596</v>
      </c>
      <c r="K543" s="3">
        <v>0</v>
      </c>
      <c r="L543">
        <v>5483.2</v>
      </c>
    </row>
    <row r="544" spans="1:12" x14ac:dyDescent="0.3">
      <c r="A544">
        <v>21</v>
      </c>
      <c r="B544">
        <v>22</v>
      </c>
      <c r="C544">
        <v>2</v>
      </c>
      <c r="D544">
        <v>13</v>
      </c>
      <c r="E544">
        <v>1</v>
      </c>
      <c r="F544">
        <v>0</v>
      </c>
      <c r="G544">
        <v>5</v>
      </c>
      <c r="H544" t="s">
        <v>369</v>
      </c>
      <c r="I544" t="s">
        <v>71</v>
      </c>
      <c r="J544">
        <v>672</v>
      </c>
      <c r="K544" s="3">
        <v>7.7</v>
      </c>
      <c r="L544">
        <v>5174.3999999999996</v>
      </c>
    </row>
    <row r="545" spans="1:12" x14ac:dyDescent="0.3">
      <c r="A545">
        <v>11</v>
      </c>
      <c r="B545">
        <v>23</v>
      </c>
      <c r="C545">
        <v>2</v>
      </c>
      <c r="D545">
        <v>19</v>
      </c>
      <c r="E545">
        <v>12</v>
      </c>
      <c r="F545">
        <v>0</v>
      </c>
      <c r="G545">
        <v>3</v>
      </c>
      <c r="H545" t="s">
        <v>20</v>
      </c>
      <c r="I545" t="s">
        <v>72</v>
      </c>
      <c r="J545">
        <v>819</v>
      </c>
      <c r="K545" s="3">
        <v>9.1</v>
      </c>
      <c r="L545">
        <v>7452.9</v>
      </c>
    </row>
    <row r="546" spans="1:12" x14ac:dyDescent="0.3">
      <c r="A546">
        <v>0</v>
      </c>
      <c r="B546">
        <v>17</v>
      </c>
      <c r="C546">
        <v>2</v>
      </c>
      <c r="D546">
        <v>5</v>
      </c>
      <c r="E546">
        <v>0</v>
      </c>
      <c r="F546">
        <v>0</v>
      </c>
      <c r="G546">
        <v>12</v>
      </c>
      <c r="H546" t="s">
        <v>15</v>
      </c>
      <c r="I546" t="s">
        <v>74</v>
      </c>
      <c r="J546">
        <v>389</v>
      </c>
      <c r="K546" s="3">
        <v>8.3000000000000007</v>
      </c>
      <c r="L546">
        <v>0</v>
      </c>
    </row>
    <row r="547" spans="1:12" x14ac:dyDescent="0.3">
      <c r="A547">
        <v>22</v>
      </c>
      <c r="B547">
        <v>23</v>
      </c>
      <c r="C547">
        <v>0</v>
      </c>
      <c r="D547">
        <v>20</v>
      </c>
      <c r="E547">
        <v>1</v>
      </c>
      <c r="F547">
        <v>0</v>
      </c>
      <c r="G547">
        <v>10</v>
      </c>
      <c r="H547" t="s">
        <v>35</v>
      </c>
      <c r="I547" t="s">
        <v>86</v>
      </c>
      <c r="J547">
        <v>673</v>
      </c>
      <c r="K547" s="3">
        <v>8.1999999999999993</v>
      </c>
      <c r="L547">
        <v>5518.5999999999904</v>
      </c>
    </row>
    <row r="548" spans="1:12" x14ac:dyDescent="0.3">
      <c r="A548">
        <v>20</v>
      </c>
      <c r="B548">
        <v>23</v>
      </c>
      <c r="C548">
        <v>3</v>
      </c>
      <c r="D548">
        <v>4</v>
      </c>
      <c r="E548">
        <v>1</v>
      </c>
      <c r="F548">
        <v>0</v>
      </c>
      <c r="G548">
        <v>2</v>
      </c>
      <c r="H548" t="s">
        <v>15</v>
      </c>
      <c r="I548" t="s">
        <v>73</v>
      </c>
      <c r="J548">
        <v>574</v>
      </c>
      <c r="K548" s="3">
        <v>8.3000000000000007</v>
      </c>
      <c r="L548">
        <v>4764.2</v>
      </c>
    </row>
    <row r="549" spans="1:12" x14ac:dyDescent="0.3">
      <c r="A549">
        <v>12</v>
      </c>
      <c r="B549">
        <v>22</v>
      </c>
      <c r="C549">
        <v>2</v>
      </c>
      <c r="D549">
        <v>6</v>
      </c>
      <c r="E549">
        <v>0</v>
      </c>
      <c r="F549">
        <v>0</v>
      </c>
      <c r="G549">
        <v>6</v>
      </c>
      <c r="H549" t="s">
        <v>23</v>
      </c>
      <c r="I549" t="s">
        <v>79</v>
      </c>
      <c r="J549">
        <v>463</v>
      </c>
      <c r="K549" s="3">
        <v>8.4</v>
      </c>
      <c r="L549">
        <v>3889.2</v>
      </c>
    </row>
    <row r="550" spans="1:12" x14ac:dyDescent="0.3">
      <c r="A550">
        <v>14</v>
      </c>
      <c r="B550">
        <v>22</v>
      </c>
      <c r="C550">
        <v>3</v>
      </c>
      <c r="D550">
        <v>20</v>
      </c>
      <c r="E550">
        <v>1</v>
      </c>
      <c r="F550">
        <v>0</v>
      </c>
      <c r="G550">
        <v>5</v>
      </c>
      <c r="H550" t="s">
        <v>32</v>
      </c>
      <c r="I550" t="s">
        <v>124</v>
      </c>
      <c r="J550">
        <v>742</v>
      </c>
      <c r="K550" s="3">
        <v>7.6</v>
      </c>
      <c r="L550">
        <v>5639.2</v>
      </c>
    </row>
    <row r="551" spans="1:12" x14ac:dyDescent="0.3">
      <c r="A551">
        <v>13</v>
      </c>
      <c r="B551">
        <v>22</v>
      </c>
      <c r="C551">
        <v>2</v>
      </c>
      <c r="D551">
        <v>22</v>
      </c>
      <c r="E551">
        <v>1</v>
      </c>
      <c r="F551">
        <v>0</v>
      </c>
      <c r="G551">
        <v>3</v>
      </c>
      <c r="H551" t="s">
        <v>26</v>
      </c>
      <c r="I551" t="s">
        <v>85</v>
      </c>
      <c r="J551">
        <v>0</v>
      </c>
      <c r="K551" s="3">
        <v>8.5</v>
      </c>
      <c r="L551">
        <v>0</v>
      </c>
    </row>
    <row r="552" spans="1:12" x14ac:dyDescent="0.3">
      <c r="A552">
        <v>0</v>
      </c>
      <c r="B552">
        <v>22</v>
      </c>
      <c r="C552">
        <v>2</v>
      </c>
      <c r="D552">
        <v>14</v>
      </c>
      <c r="E552">
        <v>12</v>
      </c>
      <c r="F552">
        <v>0</v>
      </c>
      <c r="G552">
        <v>8</v>
      </c>
      <c r="H552" t="s">
        <v>30</v>
      </c>
      <c r="I552" t="s">
        <v>84</v>
      </c>
      <c r="J552">
        <v>577</v>
      </c>
      <c r="K552" s="3">
        <v>9.1999999999999993</v>
      </c>
      <c r="L552">
        <v>5308.4</v>
      </c>
    </row>
    <row r="553" spans="1:12" x14ac:dyDescent="0.3">
      <c r="A553">
        <v>18</v>
      </c>
      <c r="B553">
        <v>22</v>
      </c>
      <c r="C553">
        <v>2</v>
      </c>
      <c r="D553">
        <v>20</v>
      </c>
      <c r="E553">
        <v>1</v>
      </c>
      <c r="F553">
        <v>0</v>
      </c>
      <c r="G553">
        <v>5</v>
      </c>
      <c r="H553" t="s">
        <v>21</v>
      </c>
      <c r="I553" t="s">
        <v>74</v>
      </c>
      <c r="J553">
        <v>506</v>
      </c>
      <c r="K553">
        <v>8.6999999999999993</v>
      </c>
      <c r="L553">
        <v>4402.2</v>
      </c>
    </row>
    <row r="554" spans="1:12" x14ac:dyDescent="0.3">
      <c r="A554">
        <v>11</v>
      </c>
      <c r="B554">
        <v>22</v>
      </c>
      <c r="C554">
        <v>0</v>
      </c>
      <c r="D554">
        <v>4</v>
      </c>
      <c r="E554">
        <v>12</v>
      </c>
      <c r="F554">
        <v>0</v>
      </c>
      <c r="G554">
        <v>1</v>
      </c>
      <c r="H554" t="s">
        <v>16</v>
      </c>
      <c r="I554" t="s">
        <v>89</v>
      </c>
      <c r="J554">
        <v>596</v>
      </c>
      <c r="K554" s="3">
        <v>8.9</v>
      </c>
      <c r="L554">
        <v>0</v>
      </c>
    </row>
    <row r="555" spans="1:12" x14ac:dyDescent="0.3">
      <c r="A555">
        <v>10</v>
      </c>
      <c r="B555">
        <v>19</v>
      </c>
      <c r="C555">
        <v>1</v>
      </c>
      <c r="D555">
        <v>16</v>
      </c>
      <c r="E555">
        <v>1</v>
      </c>
      <c r="F555">
        <v>0</v>
      </c>
      <c r="G555">
        <v>11</v>
      </c>
      <c r="H555" t="s">
        <v>25</v>
      </c>
      <c r="I555" t="s">
        <v>75</v>
      </c>
      <c r="J555">
        <v>397</v>
      </c>
      <c r="K555" s="3">
        <v>8.1</v>
      </c>
      <c r="L555">
        <v>3215.7</v>
      </c>
    </row>
    <row r="556" spans="1:12" x14ac:dyDescent="0.3">
      <c r="A556">
        <v>16</v>
      </c>
      <c r="B556">
        <v>22</v>
      </c>
      <c r="C556">
        <v>2</v>
      </c>
      <c r="D556">
        <v>9</v>
      </c>
      <c r="E556">
        <v>12</v>
      </c>
      <c r="F556">
        <v>0</v>
      </c>
      <c r="G556">
        <v>11</v>
      </c>
      <c r="H556" t="s">
        <v>26</v>
      </c>
      <c r="I556" t="s">
        <v>95</v>
      </c>
      <c r="J556">
        <v>0</v>
      </c>
      <c r="K556" s="3">
        <v>8.5</v>
      </c>
      <c r="L556">
        <v>4190.5</v>
      </c>
    </row>
    <row r="557" spans="1:12" x14ac:dyDescent="0.3">
      <c r="A557">
        <v>22</v>
      </c>
      <c r="B557">
        <v>22</v>
      </c>
      <c r="C557">
        <v>1</v>
      </c>
      <c r="D557">
        <v>11</v>
      </c>
      <c r="E557">
        <v>1</v>
      </c>
      <c r="F557">
        <v>0</v>
      </c>
      <c r="G557">
        <v>8</v>
      </c>
      <c r="H557" t="s">
        <v>36</v>
      </c>
      <c r="I557" t="s">
        <v>81</v>
      </c>
      <c r="J557">
        <v>486</v>
      </c>
      <c r="K557" s="3">
        <v>8.8000000000000007</v>
      </c>
      <c r="L557">
        <v>4276.8</v>
      </c>
    </row>
    <row r="558" spans="1:12" x14ac:dyDescent="0.3">
      <c r="A558">
        <v>7</v>
      </c>
      <c r="B558">
        <v>21</v>
      </c>
      <c r="C558">
        <v>1</v>
      </c>
      <c r="D558">
        <v>12</v>
      </c>
      <c r="E558">
        <v>1</v>
      </c>
      <c r="F558">
        <v>0</v>
      </c>
      <c r="G558">
        <v>10</v>
      </c>
      <c r="H558" t="s">
        <v>22</v>
      </c>
      <c r="I558" t="s">
        <v>368</v>
      </c>
      <c r="J558">
        <v>311</v>
      </c>
      <c r="K558" s="3">
        <v>7.8</v>
      </c>
      <c r="L558">
        <v>2425.7999999999902</v>
      </c>
    </row>
    <row r="559" spans="1:12" x14ac:dyDescent="0.3">
      <c r="A559">
        <v>10</v>
      </c>
      <c r="B559">
        <v>22</v>
      </c>
      <c r="C559">
        <v>2</v>
      </c>
      <c r="D559">
        <v>21</v>
      </c>
      <c r="E559">
        <v>7</v>
      </c>
      <c r="F559">
        <v>0</v>
      </c>
      <c r="G559">
        <v>3</v>
      </c>
      <c r="H559" t="s">
        <v>24</v>
      </c>
      <c r="I559" t="s">
        <v>83</v>
      </c>
      <c r="J559">
        <v>734</v>
      </c>
      <c r="K559" s="3">
        <v>7.9</v>
      </c>
      <c r="L559">
        <v>5798.6</v>
      </c>
    </row>
    <row r="560" spans="1:12" x14ac:dyDescent="0.3">
      <c r="A560">
        <v>23</v>
      </c>
      <c r="B560">
        <v>22</v>
      </c>
      <c r="C560">
        <v>2</v>
      </c>
      <c r="D560">
        <v>15</v>
      </c>
      <c r="E560">
        <v>1</v>
      </c>
      <c r="F560">
        <v>0</v>
      </c>
      <c r="G560">
        <v>2</v>
      </c>
      <c r="H560" t="s">
        <v>42</v>
      </c>
      <c r="I560" t="s">
        <v>90</v>
      </c>
      <c r="J560">
        <v>669</v>
      </c>
      <c r="K560" s="3">
        <v>7.8</v>
      </c>
      <c r="L560">
        <v>5218.2</v>
      </c>
    </row>
    <row r="561" spans="1:12" x14ac:dyDescent="0.3">
      <c r="A561">
        <v>5</v>
      </c>
      <c r="B561">
        <v>17</v>
      </c>
      <c r="C561">
        <v>2</v>
      </c>
      <c r="D561">
        <v>4</v>
      </c>
      <c r="E561">
        <v>1</v>
      </c>
      <c r="F561">
        <v>0</v>
      </c>
      <c r="G561">
        <v>5</v>
      </c>
      <c r="H561" t="s">
        <v>369</v>
      </c>
      <c r="I561" t="s">
        <v>368</v>
      </c>
      <c r="J561">
        <v>376</v>
      </c>
      <c r="K561" s="3">
        <v>7.6</v>
      </c>
      <c r="L561">
        <v>2857.6</v>
      </c>
    </row>
    <row r="562" spans="1:12" x14ac:dyDescent="0.3">
      <c r="A562">
        <v>20</v>
      </c>
      <c r="B562">
        <v>23</v>
      </c>
      <c r="C562">
        <v>2</v>
      </c>
      <c r="D562">
        <v>12</v>
      </c>
      <c r="E562">
        <v>1</v>
      </c>
      <c r="F562">
        <v>0</v>
      </c>
      <c r="G562">
        <v>8</v>
      </c>
      <c r="H562" t="s">
        <v>35</v>
      </c>
      <c r="I562" t="s">
        <v>75</v>
      </c>
      <c r="J562">
        <v>483</v>
      </c>
      <c r="K562" s="3">
        <v>8.1999999999999993</v>
      </c>
      <c r="L562">
        <v>3960.5999999999899</v>
      </c>
    </row>
    <row r="563" spans="1:12" x14ac:dyDescent="0.3">
      <c r="A563">
        <v>21</v>
      </c>
      <c r="B563">
        <v>22</v>
      </c>
      <c r="C563">
        <v>1</v>
      </c>
      <c r="D563">
        <v>3</v>
      </c>
      <c r="E563">
        <v>1</v>
      </c>
      <c r="F563">
        <v>0</v>
      </c>
      <c r="G563">
        <v>3</v>
      </c>
      <c r="H563" t="s">
        <v>30</v>
      </c>
      <c r="I563" t="s">
        <v>97</v>
      </c>
      <c r="J563">
        <v>405</v>
      </c>
      <c r="K563" s="3">
        <v>9.1999999999999993</v>
      </c>
      <c r="L563">
        <v>3725.99999999999</v>
      </c>
    </row>
    <row r="564" spans="1:12" x14ac:dyDescent="0.3">
      <c r="A564">
        <v>8</v>
      </c>
      <c r="B564">
        <v>22</v>
      </c>
      <c r="C564">
        <v>1</v>
      </c>
      <c r="D564">
        <v>17</v>
      </c>
      <c r="E564">
        <v>1</v>
      </c>
      <c r="F564">
        <v>0</v>
      </c>
      <c r="G564">
        <v>2</v>
      </c>
      <c r="H564" t="s">
        <v>24</v>
      </c>
      <c r="I564" t="s">
        <v>125</v>
      </c>
      <c r="J564">
        <v>371</v>
      </c>
      <c r="K564" s="3">
        <v>7.9</v>
      </c>
      <c r="L564">
        <v>2930.9</v>
      </c>
    </row>
    <row r="565" spans="1:12" x14ac:dyDescent="0.3">
      <c r="A565">
        <v>8</v>
      </c>
      <c r="B565">
        <v>21</v>
      </c>
      <c r="C565">
        <v>1</v>
      </c>
      <c r="D565">
        <v>15</v>
      </c>
      <c r="E565">
        <v>1</v>
      </c>
      <c r="F565">
        <v>0</v>
      </c>
      <c r="G565">
        <v>4</v>
      </c>
      <c r="H565" t="s">
        <v>16</v>
      </c>
      <c r="I565" t="s">
        <v>88</v>
      </c>
      <c r="J565">
        <v>571</v>
      </c>
      <c r="K565" s="3">
        <v>8.9</v>
      </c>
      <c r="L565">
        <v>5081.8999999999996</v>
      </c>
    </row>
    <row r="566" spans="1:12" x14ac:dyDescent="0.3">
      <c r="A566">
        <v>19</v>
      </c>
      <c r="B566">
        <v>23</v>
      </c>
      <c r="C566">
        <v>0</v>
      </c>
      <c r="D566">
        <v>19</v>
      </c>
      <c r="E566">
        <v>1</v>
      </c>
      <c r="F566">
        <v>0</v>
      </c>
      <c r="G566">
        <v>4</v>
      </c>
      <c r="H566" t="s">
        <v>18</v>
      </c>
      <c r="I566" t="s">
        <v>70</v>
      </c>
      <c r="J566">
        <v>614</v>
      </c>
      <c r="K566" s="3">
        <v>0</v>
      </c>
      <c r="L566">
        <v>4727.8</v>
      </c>
    </row>
    <row r="567" spans="1:12" x14ac:dyDescent="0.3">
      <c r="A567">
        <v>23</v>
      </c>
      <c r="B567">
        <v>22</v>
      </c>
      <c r="C567">
        <v>1</v>
      </c>
      <c r="D567">
        <v>16</v>
      </c>
      <c r="E567">
        <v>1</v>
      </c>
      <c r="F567">
        <v>0</v>
      </c>
      <c r="G567">
        <v>9</v>
      </c>
      <c r="H567" t="s">
        <v>23</v>
      </c>
      <c r="I567" t="s">
        <v>109</v>
      </c>
      <c r="J567">
        <v>610</v>
      </c>
      <c r="K567" s="3">
        <v>8.4</v>
      </c>
      <c r="L567">
        <v>5124</v>
      </c>
    </row>
    <row r="568" spans="1:12" x14ac:dyDescent="0.3">
      <c r="A568">
        <v>16</v>
      </c>
      <c r="B568">
        <v>22</v>
      </c>
      <c r="C568">
        <v>3</v>
      </c>
      <c r="D568">
        <v>4</v>
      </c>
      <c r="E568">
        <v>1</v>
      </c>
      <c r="F568">
        <v>0</v>
      </c>
      <c r="G568">
        <v>3</v>
      </c>
      <c r="H568" t="s">
        <v>46</v>
      </c>
      <c r="I568" t="s">
        <v>70</v>
      </c>
      <c r="J568">
        <v>492</v>
      </c>
      <c r="K568" s="3">
        <v>8.4</v>
      </c>
      <c r="L568">
        <v>4132.8</v>
      </c>
    </row>
    <row r="569" spans="1:12" x14ac:dyDescent="0.3">
      <c r="A569">
        <v>22</v>
      </c>
      <c r="B569">
        <v>22</v>
      </c>
      <c r="C569">
        <v>1</v>
      </c>
      <c r="D569">
        <v>4</v>
      </c>
      <c r="E569">
        <v>1</v>
      </c>
      <c r="F569">
        <v>0</v>
      </c>
      <c r="G569">
        <v>12</v>
      </c>
      <c r="H569" t="s">
        <v>18</v>
      </c>
      <c r="I569" t="s">
        <v>84</v>
      </c>
      <c r="J569">
        <v>497</v>
      </c>
      <c r="K569" s="3">
        <v>7.7</v>
      </c>
      <c r="L569">
        <v>3826.9</v>
      </c>
    </row>
    <row r="570" spans="1:12" x14ac:dyDescent="0.3">
      <c r="A570">
        <v>22</v>
      </c>
      <c r="B570">
        <v>23</v>
      </c>
      <c r="C570">
        <v>0</v>
      </c>
      <c r="D570">
        <v>18</v>
      </c>
      <c r="E570">
        <v>1</v>
      </c>
      <c r="F570">
        <v>0</v>
      </c>
      <c r="G570">
        <v>6</v>
      </c>
      <c r="H570" t="s">
        <v>20</v>
      </c>
      <c r="I570" t="s">
        <v>73</v>
      </c>
      <c r="J570">
        <v>581</v>
      </c>
      <c r="K570" s="3">
        <v>0</v>
      </c>
      <c r="L570">
        <v>5287.0999999999904</v>
      </c>
    </row>
    <row r="571" spans="1:12" x14ac:dyDescent="0.3">
      <c r="A571">
        <v>21</v>
      </c>
      <c r="B571">
        <v>23</v>
      </c>
      <c r="C571">
        <v>3</v>
      </c>
      <c r="D571">
        <v>0</v>
      </c>
      <c r="E571">
        <v>1</v>
      </c>
      <c r="F571">
        <v>0</v>
      </c>
      <c r="G571">
        <v>12</v>
      </c>
      <c r="H571" t="s">
        <v>16</v>
      </c>
      <c r="I571" t="s">
        <v>105</v>
      </c>
      <c r="J571">
        <v>594</v>
      </c>
      <c r="K571" s="3">
        <v>8.9</v>
      </c>
      <c r="L571">
        <v>5286.6</v>
      </c>
    </row>
    <row r="572" spans="1:12" x14ac:dyDescent="0.3">
      <c r="A572">
        <v>12</v>
      </c>
      <c r="B572">
        <v>22</v>
      </c>
      <c r="C572">
        <v>3</v>
      </c>
      <c r="D572">
        <v>15</v>
      </c>
      <c r="E572">
        <v>12</v>
      </c>
      <c r="F572">
        <v>0</v>
      </c>
      <c r="G572">
        <v>10</v>
      </c>
      <c r="H572" t="s">
        <v>16</v>
      </c>
      <c r="I572" t="s">
        <v>91</v>
      </c>
      <c r="J572">
        <v>747</v>
      </c>
      <c r="K572" s="3">
        <v>8.9</v>
      </c>
      <c r="L572">
        <v>6648.3</v>
      </c>
    </row>
    <row r="573" spans="1:12" x14ac:dyDescent="0.3">
      <c r="A573">
        <v>9</v>
      </c>
      <c r="B573">
        <v>22</v>
      </c>
      <c r="C573">
        <v>3</v>
      </c>
      <c r="D573">
        <v>5</v>
      </c>
      <c r="E573">
        <v>1</v>
      </c>
      <c r="F573">
        <v>0</v>
      </c>
      <c r="G573">
        <v>1</v>
      </c>
      <c r="H573" t="s">
        <v>369</v>
      </c>
      <c r="I573" t="s">
        <v>97</v>
      </c>
      <c r="J573">
        <v>401</v>
      </c>
      <c r="K573" s="3">
        <v>8.1</v>
      </c>
      <c r="L573">
        <v>3248.1</v>
      </c>
    </row>
    <row r="574" spans="1:12" x14ac:dyDescent="0.3">
      <c r="A574">
        <v>19</v>
      </c>
      <c r="B574">
        <v>23</v>
      </c>
      <c r="C574">
        <v>1</v>
      </c>
      <c r="D574">
        <v>8</v>
      </c>
      <c r="E574">
        <v>1</v>
      </c>
      <c r="F574">
        <v>0</v>
      </c>
      <c r="G574">
        <v>10</v>
      </c>
      <c r="H574" t="s">
        <v>30</v>
      </c>
      <c r="I574" t="s">
        <v>96</v>
      </c>
      <c r="J574">
        <v>555</v>
      </c>
      <c r="K574" s="3">
        <v>9.1999999999999993</v>
      </c>
      <c r="L574">
        <v>5106</v>
      </c>
    </row>
    <row r="575" spans="1:12" x14ac:dyDescent="0.3">
      <c r="A575">
        <v>19</v>
      </c>
      <c r="B575">
        <v>22</v>
      </c>
      <c r="C575">
        <v>3</v>
      </c>
      <c r="D575">
        <v>7</v>
      </c>
      <c r="E575">
        <v>0</v>
      </c>
      <c r="F575">
        <v>0</v>
      </c>
      <c r="G575">
        <v>4</v>
      </c>
      <c r="H575" t="s">
        <v>16</v>
      </c>
      <c r="I575" t="s">
        <v>109</v>
      </c>
      <c r="J575">
        <v>384</v>
      </c>
      <c r="K575" s="3">
        <v>8.9</v>
      </c>
      <c r="L575">
        <v>3417.6</v>
      </c>
    </row>
    <row r="576" spans="1:12" x14ac:dyDescent="0.3">
      <c r="A576">
        <v>11</v>
      </c>
      <c r="B576">
        <v>23</v>
      </c>
      <c r="C576">
        <v>0</v>
      </c>
      <c r="D576">
        <v>15</v>
      </c>
      <c r="E576">
        <v>1</v>
      </c>
      <c r="F576">
        <v>0</v>
      </c>
      <c r="G576">
        <v>2</v>
      </c>
      <c r="H576" t="s">
        <v>38</v>
      </c>
      <c r="I576" t="s">
        <v>89</v>
      </c>
      <c r="J576">
        <v>352</v>
      </c>
      <c r="K576" s="3">
        <v>7.4</v>
      </c>
      <c r="L576">
        <v>2604.8000000000002</v>
      </c>
    </row>
    <row r="577" spans="1:12" x14ac:dyDescent="0.3">
      <c r="A577">
        <v>14</v>
      </c>
      <c r="B577">
        <v>23</v>
      </c>
      <c r="C577">
        <v>1</v>
      </c>
      <c r="D577">
        <v>6</v>
      </c>
      <c r="E577">
        <v>0</v>
      </c>
      <c r="F577">
        <v>0</v>
      </c>
      <c r="G577">
        <v>12</v>
      </c>
      <c r="H577" t="s">
        <v>15</v>
      </c>
      <c r="I577" t="s">
        <v>102</v>
      </c>
      <c r="J577">
        <v>619</v>
      </c>
      <c r="K577" s="3">
        <v>8.3000000000000007</v>
      </c>
      <c r="L577">
        <v>5137.7</v>
      </c>
    </row>
    <row r="578" spans="1:12" x14ac:dyDescent="0.3">
      <c r="A578">
        <v>9</v>
      </c>
      <c r="B578">
        <v>20</v>
      </c>
      <c r="C578">
        <v>1</v>
      </c>
      <c r="D578">
        <v>4</v>
      </c>
      <c r="E578">
        <v>7</v>
      </c>
      <c r="F578">
        <v>0</v>
      </c>
      <c r="G578">
        <v>1</v>
      </c>
      <c r="H578" t="s">
        <v>25</v>
      </c>
      <c r="I578" t="s">
        <v>91</v>
      </c>
      <c r="J578">
        <v>398</v>
      </c>
      <c r="K578" s="3">
        <v>0</v>
      </c>
      <c r="L578">
        <v>3223.7999999999902</v>
      </c>
    </row>
    <row r="579" spans="1:12" x14ac:dyDescent="0.3">
      <c r="A579">
        <v>22</v>
      </c>
      <c r="B579">
        <v>23</v>
      </c>
      <c r="C579">
        <v>3</v>
      </c>
      <c r="D579">
        <v>19</v>
      </c>
      <c r="E579">
        <v>1</v>
      </c>
      <c r="F579">
        <v>0</v>
      </c>
      <c r="G579">
        <v>5</v>
      </c>
      <c r="H579" t="s">
        <v>24</v>
      </c>
      <c r="I579" t="s">
        <v>87</v>
      </c>
      <c r="J579">
        <v>733</v>
      </c>
      <c r="K579" s="3">
        <v>7.9</v>
      </c>
      <c r="L579">
        <v>5790.7</v>
      </c>
    </row>
    <row r="580" spans="1:12" x14ac:dyDescent="0.3">
      <c r="A580">
        <v>21</v>
      </c>
      <c r="B580">
        <v>22</v>
      </c>
      <c r="C580">
        <v>2</v>
      </c>
      <c r="D580">
        <v>13</v>
      </c>
      <c r="E580">
        <v>1</v>
      </c>
      <c r="F580">
        <v>0</v>
      </c>
      <c r="G580">
        <v>6</v>
      </c>
      <c r="H580" t="s">
        <v>36</v>
      </c>
      <c r="I580" t="s">
        <v>97</v>
      </c>
      <c r="J580">
        <v>516</v>
      </c>
      <c r="K580" s="3">
        <v>8.8000000000000007</v>
      </c>
      <c r="L580">
        <v>4540.8</v>
      </c>
    </row>
    <row r="581" spans="1:12" x14ac:dyDescent="0.3">
      <c r="A581">
        <v>14</v>
      </c>
      <c r="B581">
        <v>22</v>
      </c>
      <c r="C581">
        <v>2</v>
      </c>
      <c r="D581">
        <v>6</v>
      </c>
      <c r="E581">
        <v>1</v>
      </c>
      <c r="F581">
        <v>0</v>
      </c>
      <c r="G581">
        <v>3</v>
      </c>
      <c r="H581" t="s">
        <v>51</v>
      </c>
      <c r="I581" t="s">
        <v>368</v>
      </c>
      <c r="J581">
        <v>376</v>
      </c>
      <c r="K581" s="3">
        <v>8.8000000000000007</v>
      </c>
      <c r="L581">
        <v>3308.8</v>
      </c>
    </row>
    <row r="582" spans="1:12" x14ac:dyDescent="0.3">
      <c r="A582">
        <v>0</v>
      </c>
      <c r="B582">
        <v>19</v>
      </c>
      <c r="C582">
        <v>1</v>
      </c>
      <c r="D582">
        <v>14</v>
      </c>
      <c r="E582">
        <v>1</v>
      </c>
      <c r="F582">
        <v>0</v>
      </c>
      <c r="G582">
        <v>5</v>
      </c>
      <c r="H582" t="s">
        <v>22</v>
      </c>
      <c r="I582" t="s">
        <v>111</v>
      </c>
      <c r="J582">
        <v>313</v>
      </c>
      <c r="K582" s="3">
        <v>7.8</v>
      </c>
      <c r="L582">
        <v>2441.4</v>
      </c>
    </row>
    <row r="583" spans="1:12" x14ac:dyDescent="0.3">
      <c r="A583">
        <v>8</v>
      </c>
      <c r="B583">
        <v>19</v>
      </c>
      <c r="C583">
        <v>1</v>
      </c>
      <c r="D583">
        <v>9</v>
      </c>
      <c r="E583">
        <v>1</v>
      </c>
      <c r="F583">
        <v>0</v>
      </c>
      <c r="G583">
        <v>11</v>
      </c>
      <c r="H583" t="s">
        <v>15</v>
      </c>
      <c r="I583" t="s">
        <v>89</v>
      </c>
      <c r="J583">
        <v>358</v>
      </c>
      <c r="K583" s="3">
        <v>8.3000000000000007</v>
      </c>
      <c r="L583">
        <v>2971.4</v>
      </c>
    </row>
    <row r="584" spans="1:12" x14ac:dyDescent="0.3">
      <c r="A584">
        <v>5</v>
      </c>
      <c r="B584">
        <v>19</v>
      </c>
      <c r="C584">
        <v>1</v>
      </c>
      <c r="D584">
        <v>6</v>
      </c>
      <c r="E584">
        <v>0</v>
      </c>
      <c r="F584">
        <v>0</v>
      </c>
      <c r="G584">
        <v>3</v>
      </c>
      <c r="H584" t="s">
        <v>38</v>
      </c>
      <c r="I584" t="s">
        <v>96</v>
      </c>
      <c r="J584">
        <v>403</v>
      </c>
      <c r="K584">
        <v>7.4</v>
      </c>
      <c r="L584">
        <v>2982.2</v>
      </c>
    </row>
    <row r="585" spans="1:12" x14ac:dyDescent="0.3">
      <c r="A585">
        <v>5</v>
      </c>
      <c r="B585">
        <v>17</v>
      </c>
      <c r="C585">
        <v>2</v>
      </c>
      <c r="D585">
        <v>22</v>
      </c>
      <c r="E585">
        <v>1</v>
      </c>
      <c r="F585">
        <v>0</v>
      </c>
      <c r="G585">
        <v>7</v>
      </c>
      <c r="H585" t="s">
        <v>36</v>
      </c>
      <c r="I585" t="s">
        <v>76</v>
      </c>
      <c r="J585">
        <v>574</v>
      </c>
      <c r="K585" s="3">
        <v>8.8000000000000007</v>
      </c>
      <c r="L585">
        <v>5051.2</v>
      </c>
    </row>
    <row r="586" spans="1:12" x14ac:dyDescent="0.3">
      <c r="A586">
        <v>6</v>
      </c>
      <c r="B586">
        <v>17</v>
      </c>
      <c r="C586">
        <v>3</v>
      </c>
      <c r="D586">
        <v>15</v>
      </c>
      <c r="E586">
        <v>1</v>
      </c>
      <c r="F586">
        <v>0</v>
      </c>
      <c r="G586">
        <v>10</v>
      </c>
      <c r="H586" t="s">
        <v>55</v>
      </c>
      <c r="I586" t="s">
        <v>106</v>
      </c>
      <c r="J586">
        <v>440</v>
      </c>
      <c r="K586" s="3">
        <v>7.8</v>
      </c>
      <c r="L586">
        <v>3432</v>
      </c>
    </row>
    <row r="587" spans="1:12" x14ac:dyDescent="0.3">
      <c r="A587">
        <v>16</v>
      </c>
      <c r="B587">
        <v>22</v>
      </c>
      <c r="C587">
        <v>0</v>
      </c>
      <c r="D587">
        <v>21</v>
      </c>
      <c r="E587">
        <v>12</v>
      </c>
      <c r="F587">
        <v>0</v>
      </c>
      <c r="G587">
        <v>10</v>
      </c>
      <c r="H587" t="s">
        <v>21</v>
      </c>
      <c r="I587" t="s">
        <v>94</v>
      </c>
      <c r="J587">
        <v>589</v>
      </c>
      <c r="K587" s="3">
        <v>8.6999999999999993</v>
      </c>
      <c r="L587">
        <v>5124.2999999999902</v>
      </c>
    </row>
    <row r="588" spans="1:12" x14ac:dyDescent="0.3">
      <c r="A588">
        <v>15</v>
      </c>
      <c r="B588">
        <v>23</v>
      </c>
      <c r="C588">
        <v>2</v>
      </c>
      <c r="D588">
        <v>10</v>
      </c>
      <c r="E588">
        <v>1</v>
      </c>
      <c r="F588">
        <v>0</v>
      </c>
      <c r="G588">
        <v>8</v>
      </c>
      <c r="H588" t="s">
        <v>18</v>
      </c>
      <c r="I588" t="s">
        <v>97</v>
      </c>
      <c r="J588">
        <v>414</v>
      </c>
      <c r="K588" s="3">
        <v>7.7</v>
      </c>
      <c r="L588">
        <v>3187.8</v>
      </c>
    </row>
    <row r="589" spans="1:12" x14ac:dyDescent="0.3">
      <c r="A589">
        <v>5</v>
      </c>
      <c r="B589">
        <v>22</v>
      </c>
      <c r="C589">
        <v>1</v>
      </c>
      <c r="D589">
        <v>22</v>
      </c>
      <c r="E589">
        <v>7</v>
      </c>
      <c r="F589">
        <v>0</v>
      </c>
      <c r="G589">
        <v>2</v>
      </c>
      <c r="H589" t="s">
        <v>24</v>
      </c>
      <c r="I589" t="s">
        <v>92</v>
      </c>
      <c r="J589">
        <v>0</v>
      </c>
      <c r="K589" s="3">
        <v>0</v>
      </c>
      <c r="L589">
        <v>5071.8</v>
      </c>
    </row>
    <row r="590" spans="1:12" x14ac:dyDescent="0.3">
      <c r="A590">
        <v>21</v>
      </c>
      <c r="B590">
        <v>22</v>
      </c>
      <c r="C590">
        <v>0</v>
      </c>
      <c r="D590">
        <v>6</v>
      </c>
      <c r="E590">
        <v>1</v>
      </c>
      <c r="F590">
        <v>0</v>
      </c>
      <c r="G590">
        <v>11</v>
      </c>
      <c r="H590" t="s">
        <v>59</v>
      </c>
      <c r="I590" t="s">
        <v>85</v>
      </c>
      <c r="J590">
        <v>645</v>
      </c>
      <c r="K590" s="3">
        <v>8.1</v>
      </c>
      <c r="L590">
        <v>5224.5</v>
      </c>
    </row>
    <row r="591" spans="1:12" x14ac:dyDescent="0.3">
      <c r="A591">
        <v>23</v>
      </c>
      <c r="B591">
        <v>22</v>
      </c>
      <c r="C591">
        <v>3</v>
      </c>
      <c r="D591">
        <v>5</v>
      </c>
      <c r="E591">
        <v>1</v>
      </c>
      <c r="F591">
        <v>0</v>
      </c>
      <c r="G591">
        <v>7</v>
      </c>
      <c r="H591" t="s">
        <v>32</v>
      </c>
      <c r="I591" t="s">
        <v>126</v>
      </c>
      <c r="J591">
        <v>475</v>
      </c>
      <c r="K591" s="3">
        <v>7.6</v>
      </c>
      <c r="L591">
        <v>3610</v>
      </c>
    </row>
    <row r="592" spans="1:12" x14ac:dyDescent="0.3">
      <c r="A592">
        <v>12</v>
      </c>
      <c r="B592">
        <v>23</v>
      </c>
      <c r="C592">
        <v>2</v>
      </c>
      <c r="D592">
        <v>7</v>
      </c>
      <c r="E592">
        <v>1</v>
      </c>
      <c r="F592">
        <v>0</v>
      </c>
      <c r="G592">
        <v>7</v>
      </c>
      <c r="H592" t="s">
        <v>36</v>
      </c>
      <c r="I592" t="s">
        <v>79</v>
      </c>
      <c r="J592">
        <v>362</v>
      </c>
      <c r="K592" s="3">
        <v>8.8000000000000007</v>
      </c>
      <c r="L592">
        <v>3185.6</v>
      </c>
    </row>
    <row r="593" spans="1:12" x14ac:dyDescent="0.3">
      <c r="A593">
        <v>11</v>
      </c>
      <c r="B593">
        <v>23</v>
      </c>
      <c r="C593">
        <v>0</v>
      </c>
      <c r="D593">
        <v>18</v>
      </c>
      <c r="E593">
        <v>1</v>
      </c>
      <c r="F593">
        <v>0</v>
      </c>
      <c r="G593">
        <v>4</v>
      </c>
      <c r="H593" t="s">
        <v>369</v>
      </c>
      <c r="I593" t="s">
        <v>78</v>
      </c>
      <c r="J593">
        <v>529</v>
      </c>
      <c r="K593" s="3">
        <v>0</v>
      </c>
      <c r="L593">
        <v>4443.6000000000004</v>
      </c>
    </row>
    <row r="594" spans="1:12" x14ac:dyDescent="0.3">
      <c r="A594">
        <v>10</v>
      </c>
      <c r="B594">
        <v>21</v>
      </c>
      <c r="C594">
        <v>1</v>
      </c>
      <c r="D594">
        <v>22</v>
      </c>
      <c r="E594">
        <v>1</v>
      </c>
      <c r="F594">
        <v>0</v>
      </c>
      <c r="G594">
        <v>6</v>
      </c>
      <c r="H594" t="s">
        <v>32</v>
      </c>
      <c r="I594" t="s">
        <v>73</v>
      </c>
      <c r="J594">
        <v>646</v>
      </c>
      <c r="K594" s="3">
        <v>7.6</v>
      </c>
      <c r="L594">
        <v>4909.5999999999904</v>
      </c>
    </row>
    <row r="595" spans="1:12" x14ac:dyDescent="0.3">
      <c r="A595">
        <v>7</v>
      </c>
      <c r="B595">
        <v>20</v>
      </c>
      <c r="C595">
        <v>1</v>
      </c>
      <c r="D595">
        <v>11</v>
      </c>
      <c r="E595">
        <v>1</v>
      </c>
      <c r="F595">
        <v>0</v>
      </c>
      <c r="G595">
        <v>5</v>
      </c>
      <c r="H595" t="s">
        <v>21</v>
      </c>
      <c r="I595" t="s">
        <v>95</v>
      </c>
      <c r="J595">
        <v>299</v>
      </c>
      <c r="K595" s="3">
        <v>8.6999999999999993</v>
      </c>
      <c r="L595">
        <v>2601.2999999999902</v>
      </c>
    </row>
    <row r="596" spans="1:12" x14ac:dyDescent="0.3">
      <c r="A596">
        <v>23</v>
      </c>
      <c r="B596">
        <v>22</v>
      </c>
      <c r="C596">
        <v>0</v>
      </c>
      <c r="D596">
        <v>17</v>
      </c>
      <c r="E596">
        <v>1</v>
      </c>
      <c r="F596">
        <v>0</v>
      </c>
      <c r="G596">
        <v>8</v>
      </c>
      <c r="H596" t="s">
        <v>20</v>
      </c>
      <c r="I596" t="s">
        <v>77</v>
      </c>
      <c r="J596">
        <v>675</v>
      </c>
      <c r="K596" s="3">
        <v>9.1</v>
      </c>
      <c r="L596">
        <v>6142.5</v>
      </c>
    </row>
    <row r="597" spans="1:12" x14ac:dyDescent="0.3">
      <c r="A597">
        <v>7</v>
      </c>
      <c r="B597">
        <v>23</v>
      </c>
      <c r="C597">
        <v>2</v>
      </c>
      <c r="D597">
        <v>13</v>
      </c>
      <c r="E597">
        <v>1</v>
      </c>
      <c r="F597">
        <v>0</v>
      </c>
      <c r="G597">
        <v>4</v>
      </c>
      <c r="H597" t="s">
        <v>52</v>
      </c>
      <c r="I597" t="s">
        <v>79</v>
      </c>
      <c r="J597">
        <v>503</v>
      </c>
      <c r="K597" s="3">
        <v>9.3000000000000007</v>
      </c>
      <c r="L597">
        <v>4677.8999999999996</v>
      </c>
    </row>
    <row r="598" spans="1:12" x14ac:dyDescent="0.3">
      <c r="A598">
        <v>18</v>
      </c>
      <c r="B598">
        <v>23</v>
      </c>
      <c r="C598">
        <v>0</v>
      </c>
      <c r="D598">
        <v>8</v>
      </c>
      <c r="E598">
        <v>0</v>
      </c>
      <c r="F598">
        <v>0</v>
      </c>
      <c r="G598">
        <v>3</v>
      </c>
      <c r="H598" t="s">
        <v>23</v>
      </c>
      <c r="I598" t="s">
        <v>94</v>
      </c>
      <c r="J598">
        <v>530</v>
      </c>
      <c r="K598" s="3">
        <v>8.4</v>
      </c>
      <c r="L598">
        <v>4452</v>
      </c>
    </row>
    <row r="599" spans="1:12" x14ac:dyDescent="0.3">
      <c r="A599">
        <v>8</v>
      </c>
      <c r="B599">
        <v>23</v>
      </c>
      <c r="C599">
        <v>2</v>
      </c>
      <c r="D599">
        <v>8</v>
      </c>
      <c r="E599">
        <v>1</v>
      </c>
      <c r="F599">
        <v>0</v>
      </c>
      <c r="G599">
        <v>7</v>
      </c>
      <c r="H599" t="s">
        <v>14</v>
      </c>
      <c r="I599" t="s">
        <v>87</v>
      </c>
      <c r="J599">
        <v>554</v>
      </c>
      <c r="K599" s="3">
        <v>8.9</v>
      </c>
      <c r="L599">
        <v>4930.6000000000004</v>
      </c>
    </row>
    <row r="600" spans="1:12" x14ac:dyDescent="0.3">
      <c r="A600">
        <v>8</v>
      </c>
      <c r="B600">
        <v>23</v>
      </c>
      <c r="C600">
        <v>2</v>
      </c>
      <c r="D600">
        <v>8</v>
      </c>
      <c r="E600">
        <v>1</v>
      </c>
      <c r="F600">
        <v>0</v>
      </c>
      <c r="G600">
        <v>7</v>
      </c>
      <c r="H600" t="s">
        <v>15</v>
      </c>
      <c r="I600" t="s">
        <v>78</v>
      </c>
      <c r="J600">
        <v>597</v>
      </c>
      <c r="K600" s="3">
        <v>8.3000000000000007</v>
      </c>
      <c r="L600">
        <v>4955.1000000000004</v>
      </c>
    </row>
    <row r="601" spans="1:12" x14ac:dyDescent="0.3">
      <c r="A601">
        <v>18</v>
      </c>
      <c r="B601">
        <v>22</v>
      </c>
      <c r="C601">
        <v>0</v>
      </c>
      <c r="D601">
        <v>16</v>
      </c>
      <c r="E601">
        <v>1</v>
      </c>
      <c r="F601">
        <v>0</v>
      </c>
      <c r="G601">
        <v>3</v>
      </c>
      <c r="H601" t="s">
        <v>22</v>
      </c>
      <c r="I601" t="s">
        <v>76</v>
      </c>
      <c r="J601">
        <v>552</v>
      </c>
      <c r="K601" s="3">
        <v>7.8</v>
      </c>
      <c r="L601">
        <v>4305.5999999999904</v>
      </c>
    </row>
    <row r="602" spans="1:12" x14ac:dyDescent="0.3">
      <c r="A602">
        <v>5</v>
      </c>
      <c r="B602">
        <v>18</v>
      </c>
      <c r="C602">
        <v>1</v>
      </c>
      <c r="D602">
        <v>11</v>
      </c>
      <c r="E602">
        <v>1</v>
      </c>
      <c r="F602">
        <v>0</v>
      </c>
      <c r="G602">
        <v>4</v>
      </c>
      <c r="H602" t="s">
        <v>62</v>
      </c>
      <c r="I602" t="s">
        <v>105</v>
      </c>
      <c r="J602">
        <v>267</v>
      </c>
      <c r="K602" s="3">
        <v>8.5</v>
      </c>
      <c r="L602">
        <v>2269.5</v>
      </c>
    </row>
    <row r="603" spans="1:12" x14ac:dyDescent="0.3">
      <c r="A603">
        <v>17</v>
      </c>
      <c r="B603">
        <v>23</v>
      </c>
      <c r="C603">
        <v>1</v>
      </c>
      <c r="D603">
        <v>14</v>
      </c>
      <c r="E603">
        <v>1</v>
      </c>
      <c r="F603">
        <v>0</v>
      </c>
      <c r="G603">
        <v>0</v>
      </c>
      <c r="H603" t="s">
        <v>35</v>
      </c>
      <c r="I603" t="s">
        <v>76</v>
      </c>
      <c r="J603">
        <v>567</v>
      </c>
      <c r="K603" s="3">
        <v>8.1999999999999993</v>
      </c>
      <c r="L603">
        <v>0</v>
      </c>
    </row>
    <row r="604" spans="1:12" x14ac:dyDescent="0.3">
      <c r="A604">
        <v>7</v>
      </c>
      <c r="B604">
        <v>23</v>
      </c>
      <c r="C604">
        <v>1</v>
      </c>
      <c r="D604">
        <v>12</v>
      </c>
      <c r="E604">
        <v>7</v>
      </c>
      <c r="F604">
        <v>0</v>
      </c>
      <c r="G604">
        <v>5</v>
      </c>
      <c r="H604" t="s">
        <v>18</v>
      </c>
      <c r="I604" t="s">
        <v>368</v>
      </c>
      <c r="J604">
        <v>611</v>
      </c>
      <c r="K604" s="3">
        <v>7.7</v>
      </c>
      <c r="L604">
        <v>4704.7</v>
      </c>
    </row>
    <row r="605" spans="1:12" x14ac:dyDescent="0.3">
      <c r="A605">
        <v>5</v>
      </c>
      <c r="B605">
        <v>23</v>
      </c>
      <c r="C605">
        <v>1</v>
      </c>
      <c r="D605">
        <v>5</v>
      </c>
      <c r="E605">
        <v>1</v>
      </c>
      <c r="F605">
        <v>0</v>
      </c>
      <c r="G605">
        <v>11</v>
      </c>
      <c r="H605" t="s">
        <v>38</v>
      </c>
      <c r="I605" t="s">
        <v>109</v>
      </c>
      <c r="J605">
        <v>360</v>
      </c>
      <c r="K605" s="3">
        <v>7.4</v>
      </c>
      <c r="L605">
        <v>2664</v>
      </c>
    </row>
    <row r="606" spans="1:12" x14ac:dyDescent="0.3">
      <c r="A606">
        <v>21</v>
      </c>
      <c r="B606">
        <v>22</v>
      </c>
      <c r="C606">
        <v>2</v>
      </c>
      <c r="D606">
        <v>19</v>
      </c>
      <c r="E606">
        <v>1</v>
      </c>
      <c r="F606">
        <v>0</v>
      </c>
      <c r="G606">
        <v>6</v>
      </c>
      <c r="H606" t="s">
        <v>49</v>
      </c>
      <c r="I606" t="s">
        <v>96</v>
      </c>
      <c r="J606">
        <v>702</v>
      </c>
      <c r="K606" s="3">
        <v>8.5</v>
      </c>
      <c r="L606">
        <v>5967</v>
      </c>
    </row>
    <row r="607" spans="1:12" x14ac:dyDescent="0.3">
      <c r="A607">
        <v>20</v>
      </c>
      <c r="B607">
        <v>22</v>
      </c>
      <c r="C607">
        <v>1</v>
      </c>
      <c r="D607">
        <v>17</v>
      </c>
      <c r="E607">
        <v>1</v>
      </c>
      <c r="F607">
        <v>0</v>
      </c>
      <c r="G607">
        <v>7</v>
      </c>
      <c r="H607" t="s">
        <v>18</v>
      </c>
      <c r="I607" t="s">
        <v>72</v>
      </c>
      <c r="J607">
        <v>575</v>
      </c>
      <c r="K607" s="3">
        <v>7.7</v>
      </c>
      <c r="L607">
        <v>4427.5</v>
      </c>
    </row>
    <row r="608" spans="1:12" x14ac:dyDescent="0.3">
      <c r="A608">
        <v>8</v>
      </c>
      <c r="B608">
        <v>21</v>
      </c>
      <c r="C608">
        <v>0</v>
      </c>
      <c r="D608">
        <v>0</v>
      </c>
      <c r="E608">
        <v>7</v>
      </c>
      <c r="F608">
        <v>0</v>
      </c>
      <c r="G608">
        <v>9</v>
      </c>
      <c r="H608" t="s">
        <v>24</v>
      </c>
      <c r="I608" t="s">
        <v>92</v>
      </c>
      <c r="J608">
        <v>413</v>
      </c>
      <c r="K608" s="3">
        <v>7.9</v>
      </c>
      <c r="L608">
        <v>3262.7</v>
      </c>
    </row>
    <row r="609" spans="1:12" x14ac:dyDescent="0.3">
      <c r="A609">
        <v>22</v>
      </c>
      <c r="B609">
        <v>22</v>
      </c>
      <c r="C609">
        <v>1</v>
      </c>
      <c r="D609">
        <v>15</v>
      </c>
      <c r="E609">
        <v>1</v>
      </c>
      <c r="F609">
        <v>0</v>
      </c>
      <c r="G609">
        <v>5</v>
      </c>
      <c r="H609" t="s">
        <v>22</v>
      </c>
      <c r="I609" t="s">
        <v>75</v>
      </c>
      <c r="J609">
        <v>633</v>
      </c>
      <c r="K609" s="3">
        <v>7.8</v>
      </c>
      <c r="L609">
        <v>4937.3999999999996</v>
      </c>
    </row>
    <row r="610" spans="1:12" x14ac:dyDescent="0.3">
      <c r="A610">
        <v>11</v>
      </c>
      <c r="B610">
        <v>22</v>
      </c>
      <c r="C610">
        <v>1</v>
      </c>
      <c r="D610">
        <v>0</v>
      </c>
      <c r="E610">
        <v>1</v>
      </c>
      <c r="F610">
        <v>0</v>
      </c>
      <c r="G610">
        <v>12</v>
      </c>
      <c r="H610" t="s">
        <v>23</v>
      </c>
      <c r="I610" t="s">
        <v>89</v>
      </c>
      <c r="J610">
        <v>585</v>
      </c>
      <c r="K610" s="3">
        <v>8.4</v>
      </c>
      <c r="L610" t="s">
        <v>143</v>
      </c>
    </row>
    <row r="611" spans="1:12" x14ac:dyDescent="0.3">
      <c r="A611">
        <v>19</v>
      </c>
      <c r="B611">
        <v>23</v>
      </c>
      <c r="C611">
        <v>0</v>
      </c>
      <c r="D611">
        <v>15</v>
      </c>
      <c r="E611">
        <v>12</v>
      </c>
      <c r="F611">
        <v>0</v>
      </c>
      <c r="G611">
        <v>2</v>
      </c>
      <c r="H611" t="s">
        <v>42</v>
      </c>
      <c r="I611" t="s">
        <v>97</v>
      </c>
      <c r="J611">
        <v>642</v>
      </c>
      <c r="K611" s="3">
        <v>7.8</v>
      </c>
      <c r="L611">
        <v>5007.5999999999904</v>
      </c>
    </row>
    <row r="612" spans="1:12" x14ac:dyDescent="0.3">
      <c r="A612">
        <v>18</v>
      </c>
      <c r="B612">
        <v>22</v>
      </c>
      <c r="C612">
        <v>3</v>
      </c>
      <c r="D612">
        <v>9</v>
      </c>
      <c r="E612">
        <v>1</v>
      </c>
      <c r="F612">
        <v>0</v>
      </c>
      <c r="G612">
        <v>9</v>
      </c>
      <c r="H612" t="s">
        <v>21</v>
      </c>
      <c r="I612" t="s">
        <v>96</v>
      </c>
      <c r="J612">
        <v>653</v>
      </c>
      <c r="K612" s="3">
        <v>8.6999999999999993</v>
      </c>
      <c r="L612">
        <v>5681.0999999999904</v>
      </c>
    </row>
    <row r="613" spans="1:12" x14ac:dyDescent="0.3">
      <c r="A613">
        <v>11</v>
      </c>
      <c r="B613">
        <v>22</v>
      </c>
      <c r="C613">
        <v>0</v>
      </c>
      <c r="D613">
        <v>13</v>
      </c>
      <c r="E613">
        <v>1</v>
      </c>
      <c r="F613">
        <v>0</v>
      </c>
      <c r="G613">
        <v>4</v>
      </c>
      <c r="H613" t="s">
        <v>31</v>
      </c>
      <c r="I613" t="s">
        <v>82</v>
      </c>
      <c r="J613">
        <v>490</v>
      </c>
      <c r="K613" s="3">
        <v>7.9</v>
      </c>
      <c r="L613">
        <v>3871</v>
      </c>
    </row>
    <row r="614" spans="1:12" x14ac:dyDescent="0.3">
      <c r="A614">
        <v>20</v>
      </c>
      <c r="B614">
        <v>0</v>
      </c>
      <c r="C614">
        <v>2</v>
      </c>
      <c r="D614">
        <v>5</v>
      </c>
      <c r="E614">
        <v>1</v>
      </c>
      <c r="F614">
        <v>0</v>
      </c>
      <c r="G614">
        <v>3</v>
      </c>
      <c r="H614" t="s">
        <v>22</v>
      </c>
      <c r="I614" t="s">
        <v>72</v>
      </c>
      <c r="J614">
        <v>0</v>
      </c>
      <c r="K614">
        <v>7.8</v>
      </c>
      <c r="L614">
        <v>4126.2</v>
      </c>
    </row>
    <row r="615" spans="1:12" x14ac:dyDescent="0.3">
      <c r="A615">
        <v>18</v>
      </c>
      <c r="B615">
        <v>23</v>
      </c>
      <c r="C615">
        <v>2</v>
      </c>
      <c r="D615">
        <v>14</v>
      </c>
      <c r="E615">
        <v>1</v>
      </c>
      <c r="F615">
        <v>0</v>
      </c>
      <c r="G615">
        <v>4</v>
      </c>
      <c r="H615" t="s">
        <v>20</v>
      </c>
      <c r="I615" t="s">
        <v>90</v>
      </c>
      <c r="J615">
        <v>660</v>
      </c>
      <c r="K615" s="3">
        <v>9.1</v>
      </c>
      <c r="L615">
        <v>6006</v>
      </c>
    </row>
    <row r="616" spans="1:12" x14ac:dyDescent="0.3">
      <c r="A616">
        <v>9</v>
      </c>
      <c r="B616">
        <v>18</v>
      </c>
      <c r="C616">
        <v>1</v>
      </c>
      <c r="D616">
        <v>14</v>
      </c>
      <c r="E616">
        <v>1</v>
      </c>
      <c r="F616">
        <v>0</v>
      </c>
      <c r="G616">
        <v>0</v>
      </c>
      <c r="H616" t="s">
        <v>12</v>
      </c>
      <c r="I616" t="s">
        <v>127</v>
      </c>
      <c r="J616">
        <v>447</v>
      </c>
      <c r="K616" s="3">
        <v>8.1</v>
      </c>
      <c r="L616">
        <v>3620.7</v>
      </c>
    </row>
    <row r="617" spans="1:12" x14ac:dyDescent="0.3">
      <c r="A617">
        <v>7</v>
      </c>
      <c r="B617">
        <v>0</v>
      </c>
      <c r="C617">
        <v>0</v>
      </c>
      <c r="D617">
        <v>16</v>
      </c>
      <c r="E617">
        <v>1</v>
      </c>
      <c r="F617">
        <v>0</v>
      </c>
      <c r="G617">
        <v>1</v>
      </c>
      <c r="H617" t="s">
        <v>60</v>
      </c>
      <c r="I617" t="s">
        <v>97</v>
      </c>
      <c r="J617">
        <v>590</v>
      </c>
      <c r="K617" s="3">
        <v>9.1</v>
      </c>
      <c r="L617">
        <v>5369</v>
      </c>
    </row>
    <row r="618" spans="1:12" x14ac:dyDescent="0.3">
      <c r="A618">
        <v>15</v>
      </c>
      <c r="B618">
        <v>23</v>
      </c>
      <c r="C618">
        <v>1</v>
      </c>
      <c r="D618">
        <v>19</v>
      </c>
      <c r="E618">
        <v>1</v>
      </c>
      <c r="F618">
        <v>0</v>
      </c>
      <c r="G618">
        <v>8</v>
      </c>
      <c r="H618" t="s">
        <v>20</v>
      </c>
      <c r="I618" t="s">
        <v>85</v>
      </c>
      <c r="J618">
        <v>477</v>
      </c>
      <c r="K618" s="3">
        <v>9.1</v>
      </c>
      <c r="L618">
        <v>0</v>
      </c>
    </row>
    <row r="619" spans="1:12" x14ac:dyDescent="0.3">
      <c r="A619">
        <v>18</v>
      </c>
      <c r="B619">
        <v>23</v>
      </c>
      <c r="C619">
        <v>2</v>
      </c>
      <c r="D619">
        <v>12</v>
      </c>
      <c r="E619">
        <v>12</v>
      </c>
      <c r="F619">
        <v>0</v>
      </c>
      <c r="G619">
        <v>3</v>
      </c>
      <c r="H619" t="s">
        <v>32</v>
      </c>
      <c r="I619" t="s">
        <v>82</v>
      </c>
      <c r="J619">
        <v>532</v>
      </c>
      <c r="K619" s="3">
        <v>7.6</v>
      </c>
      <c r="L619">
        <v>4043.2</v>
      </c>
    </row>
    <row r="620" spans="1:12" x14ac:dyDescent="0.3">
      <c r="A620">
        <v>15</v>
      </c>
      <c r="B620">
        <v>22</v>
      </c>
      <c r="C620">
        <v>0</v>
      </c>
      <c r="D620">
        <v>14</v>
      </c>
      <c r="E620">
        <v>1</v>
      </c>
      <c r="F620">
        <v>0</v>
      </c>
      <c r="G620">
        <v>9</v>
      </c>
      <c r="H620" t="s">
        <v>30</v>
      </c>
      <c r="I620" t="s">
        <v>95</v>
      </c>
      <c r="J620">
        <v>598</v>
      </c>
      <c r="K620" s="3">
        <v>9.1999999999999993</v>
      </c>
      <c r="L620">
        <v>5501.5999999999904</v>
      </c>
    </row>
    <row r="621" spans="1:12" x14ac:dyDescent="0.3">
      <c r="A621">
        <v>0</v>
      </c>
      <c r="B621">
        <v>22</v>
      </c>
      <c r="C621">
        <v>1</v>
      </c>
      <c r="D621">
        <v>9</v>
      </c>
      <c r="E621">
        <v>1</v>
      </c>
      <c r="F621">
        <v>0</v>
      </c>
      <c r="G621">
        <v>2</v>
      </c>
      <c r="H621" t="s">
        <v>23</v>
      </c>
      <c r="I621" t="s">
        <v>78</v>
      </c>
      <c r="J621">
        <v>314</v>
      </c>
      <c r="K621" s="3">
        <v>8.4</v>
      </c>
      <c r="L621">
        <v>2637.6</v>
      </c>
    </row>
    <row r="622" spans="1:12" x14ac:dyDescent="0.3">
      <c r="A622">
        <v>0</v>
      </c>
      <c r="B622">
        <v>22</v>
      </c>
      <c r="C622">
        <v>2</v>
      </c>
      <c r="D622">
        <v>7</v>
      </c>
      <c r="E622">
        <v>12</v>
      </c>
      <c r="F622">
        <v>0</v>
      </c>
      <c r="G622">
        <v>5</v>
      </c>
      <c r="H622" t="s">
        <v>39</v>
      </c>
      <c r="I622" t="s">
        <v>75</v>
      </c>
      <c r="J622">
        <v>588</v>
      </c>
      <c r="K622" s="3">
        <v>8.8000000000000007</v>
      </c>
      <c r="L622">
        <v>5174.3999999999996</v>
      </c>
    </row>
    <row r="623" spans="1:12" x14ac:dyDescent="0.3">
      <c r="A623">
        <v>15</v>
      </c>
      <c r="B623">
        <v>22</v>
      </c>
      <c r="C623">
        <v>0</v>
      </c>
      <c r="D623">
        <v>18</v>
      </c>
      <c r="E623">
        <v>1</v>
      </c>
      <c r="F623">
        <v>0</v>
      </c>
      <c r="G623">
        <v>12</v>
      </c>
      <c r="H623" t="s">
        <v>26</v>
      </c>
      <c r="I623" t="s">
        <v>89</v>
      </c>
      <c r="J623">
        <v>439</v>
      </c>
      <c r="K623" s="3">
        <v>8.5</v>
      </c>
      <c r="L623">
        <v>3731.5</v>
      </c>
    </row>
    <row r="624" spans="1:12" x14ac:dyDescent="0.3">
      <c r="A624">
        <v>6</v>
      </c>
      <c r="B624">
        <v>18</v>
      </c>
      <c r="C624">
        <v>0</v>
      </c>
      <c r="D624">
        <v>5</v>
      </c>
      <c r="E624">
        <v>1</v>
      </c>
      <c r="F624">
        <v>0</v>
      </c>
      <c r="G624">
        <v>12</v>
      </c>
      <c r="H624" t="s">
        <v>31</v>
      </c>
      <c r="I624" t="s">
        <v>109</v>
      </c>
      <c r="J624">
        <v>292</v>
      </c>
      <c r="K624" s="3">
        <v>7.9</v>
      </c>
      <c r="L624">
        <v>2306.8000000000002</v>
      </c>
    </row>
    <row r="625" spans="1:12" x14ac:dyDescent="0.3">
      <c r="A625">
        <v>10</v>
      </c>
      <c r="B625">
        <v>20</v>
      </c>
      <c r="C625">
        <v>2</v>
      </c>
      <c r="D625">
        <v>8</v>
      </c>
      <c r="E625">
        <v>1</v>
      </c>
      <c r="F625">
        <v>0</v>
      </c>
      <c r="G625">
        <v>0</v>
      </c>
      <c r="H625" t="s">
        <v>22</v>
      </c>
      <c r="I625" t="s">
        <v>83</v>
      </c>
      <c r="J625">
        <v>427</v>
      </c>
      <c r="K625" s="3">
        <v>7.8</v>
      </c>
      <c r="L625">
        <v>3330.6</v>
      </c>
    </row>
    <row r="626" spans="1:12" x14ac:dyDescent="0.3">
      <c r="A626">
        <v>13</v>
      </c>
      <c r="B626">
        <v>23</v>
      </c>
      <c r="C626">
        <v>0</v>
      </c>
      <c r="D626">
        <v>17</v>
      </c>
      <c r="E626">
        <v>1</v>
      </c>
      <c r="F626">
        <v>0</v>
      </c>
      <c r="G626">
        <v>5</v>
      </c>
      <c r="H626" t="s">
        <v>35</v>
      </c>
      <c r="I626" t="s">
        <v>73</v>
      </c>
      <c r="J626">
        <v>528</v>
      </c>
      <c r="K626" s="3">
        <v>8.1999999999999993</v>
      </c>
      <c r="L626">
        <v>4329.5999999999904</v>
      </c>
    </row>
    <row r="627" spans="1:12" x14ac:dyDescent="0.3">
      <c r="A627">
        <v>18</v>
      </c>
      <c r="B627">
        <v>22</v>
      </c>
      <c r="C627">
        <v>3</v>
      </c>
      <c r="D627">
        <v>15</v>
      </c>
      <c r="E627">
        <v>1</v>
      </c>
      <c r="F627">
        <v>0</v>
      </c>
      <c r="G627">
        <v>11</v>
      </c>
      <c r="H627" t="s">
        <v>26</v>
      </c>
      <c r="I627" t="s">
        <v>88</v>
      </c>
      <c r="J627">
        <v>600</v>
      </c>
      <c r="K627" s="3">
        <v>8.5</v>
      </c>
      <c r="L627">
        <v>5100</v>
      </c>
    </row>
    <row r="628" spans="1:12" x14ac:dyDescent="0.3">
      <c r="A628">
        <v>6</v>
      </c>
      <c r="B628">
        <v>21</v>
      </c>
      <c r="C628">
        <v>1</v>
      </c>
      <c r="D628">
        <v>15</v>
      </c>
      <c r="E628">
        <v>7</v>
      </c>
      <c r="F628">
        <v>0</v>
      </c>
      <c r="G628">
        <v>1</v>
      </c>
      <c r="H628" t="s">
        <v>32</v>
      </c>
      <c r="I628" t="s">
        <v>91</v>
      </c>
      <c r="J628">
        <v>388</v>
      </c>
      <c r="K628" s="3">
        <v>7.6</v>
      </c>
      <c r="L628">
        <v>2948.7999999999902</v>
      </c>
    </row>
    <row r="629" spans="1:12" x14ac:dyDescent="0.3">
      <c r="A629">
        <v>0</v>
      </c>
      <c r="B629">
        <v>23</v>
      </c>
      <c r="C629">
        <v>1</v>
      </c>
      <c r="D629">
        <v>10</v>
      </c>
      <c r="E629">
        <v>1</v>
      </c>
      <c r="F629">
        <v>0</v>
      </c>
      <c r="G629">
        <v>12</v>
      </c>
      <c r="H629" t="s">
        <v>26</v>
      </c>
      <c r="I629" t="s">
        <v>87</v>
      </c>
      <c r="J629">
        <v>659</v>
      </c>
      <c r="K629" s="3">
        <v>8.5</v>
      </c>
      <c r="L629">
        <v>5601.5</v>
      </c>
    </row>
    <row r="630" spans="1:12" x14ac:dyDescent="0.3">
      <c r="A630">
        <v>16</v>
      </c>
      <c r="B630">
        <v>22</v>
      </c>
      <c r="C630">
        <v>3</v>
      </c>
      <c r="D630">
        <v>15</v>
      </c>
      <c r="E630">
        <v>12</v>
      </c>
      <c r="F630">
        <v>0</v>
      </c>
      <c r="G630">
        <v>1</v>
      </c>
      <c r="H630" t="s">
        <v>33</v>
      </c>
      <c r="I630" t="s">
        <v>104</v>
      </c>
      <c r="J630">
        <v>827</v>
      </c>
      <c r="K630" s="3">
        <v>9.3000000000000007</v>
      </c>
      <c r="L630">
        <v>7691.1</v>
      </c>
    </row>
    <row r="631" spans="1:12" x14ac:dyDescent="0.3">
      <c r="A631">
        <v>17</v>
      </c>
      <c r="B631">
        <v>23</v>
      </c>
      <c r="C631">
        <v>3</v>
      </c>
      <c r="D631">
        <v>12</v>
      </c>
      <c r="E631">
        <v>1</v>
      </c>
      <c r="F631">
        <v>0</v>
      </c>
      <c r="G631">
        <v>2</v>
      </c>
      <c r="H631" t="s">
        <v>64</v>
      </c>
      <c r="I631" t="s">
        <v>93</v>
      </c>
      <c r="J631">
        <v>622</v>
      </c>
      <c r="K631">
        <v>8.1999999999999993</v>
      </c>
      <c r="L631">
        <v>5100.3999999999996</v>
      </c>
    </row>
    <row r="632" spans="1:12" x14ac:dyDescent="0.3">
      <c r="A632">
        <v>22</v>
      </c>
      <c r="B632">
        <v>23</v>
      </c>
      <c r="C632">
        <v>3</v>
      </c>
      <c r="D632">
        <v>19</v>
      </c>
      <c r="E632">
        <v>12</v>
      </c>
      <c r="F632">
        <v>0</v>
      </c>
      <c r="G632">
        <v>1</v>
      </c>
      <c r="H632" t="s">
        <v>32</v>
      </c>
      <c r="I632" t="s">
        <v>76</v>
      </c>
      <c r="J632">
        <v>717</v>
      </c>
      <c r="K632" s="3">
        <v>7.6</v>
      </c>
      <c r="L632">
        <v>5449.2</v>
      </c>
    </row>
    <row r="633" spans="1:12" x14ac:dyDescent="0.3">
      <c r="A633">
        <v>15</v>
      </c>
      <c r="B633">
        <v>22</v>
      </c>
      <c r="C633">
        <v>2</v>
      </c>
      <c r="D633">
        <v>19</v>
      </c>
      <c r="E633">
        <v>1</v>
      </c>
      <c r="F633">
        <v>0</v>
      </c>
      <c r="G633">
        <v>9</v>
      </c>
      <c r="H633" t="s">
        <v>41</v>
      </c>
      <c r="I633" t="s">
        <v>88</v>
      </c>
      <c r="J633">
        <v>500</v>
      </c>
      <c r="K633" s="3">
        <v>7.4</v>
      </c>
      <c r="L633">
        <v>3700</v>
      </c>
    </row>
    <row r="634" spans="1:12" x14ac:dyDescent="0.3">
      <c r="A634">
        <v>0</v>
      </c>
      <c r="B634">
        <v>23</v>
      </c>
      <c r="C634">
        <v>0</v>
      </c>
      <c r="D634">
        <v>9</v>
      </c>
      <c r="E634">
        <v>1</v>
      </c>
      <c r="F634">
        <v>0</v>
      </c>
      <c r="G634">
        <v>1</v>
      </c>
      <c r="H634" t="s">
        <v>35</v>
      </c>
      <c r="I634" t="s">
        <v>82</v>
      </c>
      <c r="J634">
        <v>350</v>
      </c>
      <c r="K634">
        <v>8.1999999999999993</v>
      </c>
      <c r="L634">
        <v>2869.99999999999</v>
      </c>
    </row>
    <row r="635" spans="1:12" x14ac:dyDescent="0.3">
      <c r="A635">
        <v>5</v>
      </c>
      <c r="B635">
        <v>21</v>
      </c>
      <c r="C635">
        <v>3</v>
      </c>
      <c r="D635">
        <v>16</v>
      </c>
      <c r="E635">
        <v>7</v>
      </c>
      <c r="F635">
        <v>0</v>
      </c>
      <c r="G635">
        <v>3</v>
      </c>
      <c r="H635" t="s">
        <v>18</v>
      </c>
      <c r="I635" t="s">
        <v>87</v>
      </c>
      <c r="J635">
        <v>682</v>
      </c>
      <c r="K635" s="3">
        <v>7.7</v>
      </c>
      <c r="L635">
        <v>5251.4</v>
      </c>
    </row>
    <row r="636" spans="1:12" x14ac:dyDescent="0.3">
      <c r="A636">
        <v>17</v>
      </c>
      <c r="B636">
        <v>0</v>
      </c>
      <c r="C636">
        <v>3</v>
      </c>
      <c r="D636">
        <v>19</v>
      </c>
      <c r="E636">
        <v>1</v>
      </c>
      <c r="F636">
        <v>0</v>
      </c>
      <c r="G636">
        <v>11</v>
      </c>
      <c r="H636" t="s">
        <v>33</v>
      </c>
      <c r="I636" t="s">
        <v>90</v>
      </c>
      <c r="J636">
        <v>0</v>
      </c>
      <c r="K636" s="3">
        <v>0</v>
      </c>
      <c r="L636">
        <v>6807.6</v>
      </c>
    </row>
    <row r="637" spans="1:12" x14ac:dyDescent="0.3">
      <c r="A637">
        <v>11</v>
      </c>
      <c r="B637">
        <v>23</v>
      </c>
      <c r="C637">
        <v>1</v>
      </c>
      <c r="D637">
        <v>20</v>
      </c>
      <c r="E637">
        <v>1</v>
      </c>
      <c r="F637">
        <v>0</v>
      </c>
      <c r="G637">
        <v>2</v>
      </c>
      <c r="H637" t="s">
        <v>26</v>
      </c>
      <c r="I637" t="s">
        <v>106</v>
      </c>
      <c r="J637">
        <v>555</v>
      </c>
      <c r="K637" s="3">
        <v>8.5</v>
      </c>
      <c r="L637">
        <v>4717.5</v>
      </c>
    </row>
    <row r="638" spans="1:12" x14ac:dyDescent="0.3">
      <c r="A638">
        <v>20</v>
      </c>
      <c r="B638">
        <v>22</v>
      </c>
      <c r="C638">
        <v>1</v>
      </c>
      <c r="D638">
        <v>8</v>
      </c>
      <c r="E638">
        <v>12</v>
      </c>
      <c r="F638">
        <v>0</v>
      </c>
      <c r="G638">
        <v>3</v>
      </c>
      <c r="H638" t="s">
        <v>16</v>
      </c>
      <c r="I638" t="s">
        <v>109</v>
      </c>
      <c r="J638">
        <v>717</v>
      </c>
      <c r="K638" s="3">
        <v>8.9</v>
      </c>
      <c r="L638">
        <v>6381.3</v>
      </c>
    </row>
    <row r="639" spans="1:12" x14ac:dyDescent="0.3">
      <c r="A639">
        <v>19</v>
      </c>
      <c r="B639">
        <v>23</v>
      </c>
      <c r="C639">
        <v>0</v>
      </c>
      <c r="D639">
        <v>6</v>
      </c>
      <c r="E639">
        <v>1</v>
      </c>
      <c r="F639">
        <v>0</v>
      </c>
      <c r="G639">
        <v>9</v>
      </c>
      <c r="H639" t="s">
        <v>20</v>
      </c>
      <c r="I639" t="s">
        <v>121</v>
      </c>
      <c r="J639">
        <v>0</v>
      </c>
      <c r="K639" s="3">
        <v>9.1</v>
      </c>
      <c r="L639">
        <v>4395.3</v>
      </c>
    </row>
    <row r="640" spans="1:12" x14ac:dyDescent="0.3">
      <c r="A640">
        <v>12</v>
      </c>
      <c r="B640">
        <v>22</v>
      </c>
      <c r="C640">
        <v>3</v>
      </c>
      <c r="D640">
        <v>0</v>
      </c>
      <c r="E640">
        <v>12</v>
      </c>
      <c r="F640">
        <v>0</v>
      </c>
      <c r="G640">
        <v>0</v>
      </c>
      <c r="H640" t="s">
        <v>21</v>
      </c>
      <c r="I640" t="s">
        <v>96</v>
      </c>
      <c r="J640">
        <v>587</v>
      </c>
      <c r="K640" s="3">
        <v>8.6999999999999993</v>
      </c>
      <c r="L640">
        <v>5106.8999999999996</v>
      </c>
    </row>
    <row r="641" spans="1:12" x14ac:dyDescent="0.3">
      <c r="A641">
        <v>8</v>
      </c>
      <c r="B641">
        <v>21</v>
      </c>
      <c r="C641">
        <v>2</v>
      </c>
      <c r="D641">
        <v>5</v>
      </c>
      <c r="E641">
        <v>1</v>
      </c>
      <c r="F641">
        <v>0</v>
      </c>
      <c r="G641">
        <v>12</v>
      </c>
      <c r="H641" t="s">
        <v>30</v>
      </c>
      <c r="I641" t="s">
        <v>74</v>
      </c>
      <c r="J641">
        <v>358</v>
      </c>
      <c r="K641" s="3">
        <v>9.1999999999999993</v>
      </c>
      <c r="L641">
        <v>3293.6</v>
      </c>
    </row>
    <row r="642" spans="1:12" x14ac:dyDescent="0.3">
      <c r="A642">
        <v>0</v>
      </c>
      <c r="B642">
        <v>23</v>
      </c>
      <c r="C642">
        <v>0</v>
      </c>
      <c r="D642">
        <v>3</v>
      </c>
      <c r="E642">
        <v>1</v>
      </c>
      <c r="F642">
        <v>0</v>
      </c>
      <c r="G642">
        <v>11</v>
      </c>
      <c r="H642" t="s">
        <v>20</v>
      </c>
      <c r="I642" t="s">
        <v>84</v>
      </c>
      <c r="J642">
        <v>251</v>
      </c>
      <c r="K642" s="3">
        <v>9.1</v>
      </c>
      <c r="L642">
        <v>2284.1</v>
      </c>
    </row>
    <row r="643" spans="1:12" x14ac:dyDescent="0.3">
      <c r="A643">
        <v>19</v>
      </c>
      <c r="B643">
        <v>23</v>
      </c>
      <c r="C643">
        <v>1</v>
      </c>
      <c r="D643">
        <v>10</v>
      </c>
      <c r="E643">
        <v>1</v>
      </c>
      <c r="F643">
        <v>0</v>
      </c>
      <c r="G643">
        <v>5</v>
      </c>
      <c r="H643" t="s">
        <v>37</v>
      </c>
      <c r="I643" t="s">
        <v>77</v>
      </c>
      <c r="J643">
        <v>589</v>
      </c>
      <c r="K643" s="3">
        <v>8.3000000000000007</v>
      </c>
      <c r="L643">
        <v>4888.7</v>
      </c>
    </row>
    <row r="644" spans="1:12" x14ac:dyDescent="0.3">
      <c r="A644">
        <v>14</v>
      </c>
      <c r="B644">
        <v>23</v>
      </c>
      <c r="C644">
        <v>1</v>
      </c>
      <c r="D644">
        <v>16</v>
      </c>
      <c r="E644">
        <v>1</v>
      </c>
      <c r="F644">
        <v>0</v>
      </c>
      <c r="G644">
        <v>3</v>
      </c>
      <c r="H644" t="s">
        <v>51</v>
      </c>
      <c r="I644" t="s">
        <v>78</v>
      </c>
      <c r="J644">
        <v>599</v>
      </c>
      <c r="K644" s="3">
        <v>8.8000000000000007</v>
      </c>
      <c r="L644">
        <v>5271.2</v>
      </c>
    </row>
    <row r="645" spans="1:12" x14ac:dyDescent="0.3">
      <c r="A645">
        <v>22</v>
      </c>
      <c r="B645">
        <v>23</v>
      </c>
      <c r="C645">
        <v>0</v>
      </c>
      <c r="D645">
        <v>14</v>
      </c>
      <c r="E645">
        <v>12</v>
      </c>
      <c r="F645">
        <v>0</v>
      </c>
      <c r="G645">
        <v>3</v>
      </c>
      <c r="H645" t="s">
        <v>22</v>
      </c>
      <c r="I645" t="s">
        <v>125</v>
      </c>
      <c r="J645">
        <v>579</v>
      </c>
      <c r="K645" s="3">
        <v>7.8</v>
      </c>
      <c r="L645">
        <v>4516.2</v>
      </c>
    </row>
    <row r="646" spans="1:12" x14ac:dyDescent="0.3">
      <c r="A646">
        <v>11</v>
      </c>
      <c r="B646">
        <v>22</v>
      </c>
      <c r="C646">
        <v>3</v>
      </c>
      <c r="D646">
        <v>18</v>
      </c>
      <c r="E646">
        <v>1</v>
      </c>
      <c r="F646">
        <v>0</v>
      </c>
      <c r="G646">
        <v>11</v>
      </c>
      <c r="H646" t="s">
        <v>54</v>
      </c>
      <c r="I646" t="s">
        <v>368</v>
      </c>
      <c r="J646">
        <v>443</v>
      </c>
      <c r="K646" s="3">
        <v>0</v>
      </c>
      <c r="L646">
        <v>4075.6</v>
      </c>
    </row>
    <row r="647" spans="1:12" x14ac:dyDescent="0.3">
      <c r="A647">
        <v>20</v>
      </c>
      <c r="B647">
        <v>22</v>
      </c>
      <c r="C647">
        <v>0</v>
      </c>
      <c r="D647">
        <v>22</v>
      </c>
      <c r="E647">
        <v>1</v>
      </c>
      <c r="F647">
        <v>0</v>
      </c>
      <c r="G647">
        <v>12</v>
      </c>
      <c r="H647" t="s">
        <v>35</v>
      </c>
      <c r="I647" t="s">
        <v>80</v>
      </c>
      <c r="J647">
        <v>473</v>
      </c>
      <c r="K647" s="3">
        <v>8.1999999999999993</v>
      </c>
      <c r="L647">
        <v>3878.5999999999899</v>
      </c>
    </row>
    <row r="648" spans="1:12" x14ac:dyDescent="0.3">
      <c r="A648">
        <v>0</v>
      </c>
      <c r="B648">
        <v>23</v>
      </c>
      <c r="C648">
        <v>0</v>
      </c>
      <c r="D648">
        <v>4</v>
      </c>
      <c r="E648">
        <v>1</v>
      </c>
      <c r="F648">
        <v>0</v>
      </c>
      <c r="G648">
        <v>1</v>
      </c>
      <c r="H648" t="s">
        <v>26</v>
      </c>
      <c r="I648" t="s">
        <v>74</v>
      </c>
      <c r="J648">
        <v>453</v>
      </c>
      <c r="K648" s="3">
        <v>8.5</v>
      </c>
      <c r="L648">
        <v>3850.5</v>
      </c>
    </row>
    <row r="649" spans="1:12" x14ac:dyDescent="0.3">
      <c r="A649">
        <v>21</v>
      </c>
      <c r="B649">
        <v>23</v>
      </c>
      <c r="C649">
        <v>1</v>
      </c>
      <c r="D649">
        <v>0</v>
      </c>
      <c r="E649">
        <v>1</v>
      </c>
      <c r="F649">
        <v>0</v>
      </c>
      <c r="G649">
        <v>12</v>
      </c>
      <c r="H649" t="s">
        <v>24</v>
      </c>
      <c r="I649" t="s">
        <v>107</v>
      </c>
      <c r="J649">
        <v>661</v>
      </c>
      <c r="K649" s="3">
        <v>7.9</v>
      </c>
      <c r="L649">
        <v>5221.8999999999996</v>
      </c>
    </row>
    <row r="650" spans="1:12" x14ac:dyDescent="0.3">
      <c r="A650">
        <v>18</v>
      </c>
      <c r="B650">
        <v>22</v>
      </c>
      <c r="C650">
        <v>0</v>
      </c>
      <c r="D650">
        <v>18</v>
      </c>
      <c r="E650">
        <v>1</v>
      </c>
      <c r="F650">
        <v>0</v>
      </c>
      <c r="G650">
        <v>3</v>
      </c>
      <c r="H650" t="s">
        <v>23</v>
      </c>
      <c r="I650" t="s">
        <v>72</v>
      </c>
      <c r="J650">
        <v>501</v>
      </c>
      <c r="K650">
        <v>8.4</v>
      </c>
      <c r="L650">
        <v>4208.3999999999996</v>
      </c>
    </row>
    <row r="651" spans="1:12" x14ac:dyDescent="0.3">
      <c r="A651">
        <v>10</v>
      </c>
      <c r="B651">
        <v>20</v>
      </c>
      <c r="C651">
        <v>0</v>
      </c>
      <c r="D651">
        <v>12</v>
      </c>
      <c r="E651">
        <v>1</v>
      </c>
      <c r="F651">
        <v>0</v>
      </c>
      <c r="G651">
        <v>8</v>
      </c>
      <c r="H651" t="s">
        <v>52</v>
      </c>
      <c r="I651" t="s">
        <v>107</v>
      </c>
      <c r="J651">
        <v>366</v>
      </c>
      <c r="K651" s="3">
        <v>9.3000000000000007</v>
      </c>
      <c r="L651">
        <v>3403.8</v>
      </c>
    </row>
    <row r="652" spans="1:12" x14ac:dyDescent="0.3">
      <c r="A652">
        <v>22</v>
      </c>
      <c r="B652">
        <v>23</v>
      </c>
      <c r="C652">
        <v>0</v>
      </c>
      <c r="D652">
        <v>20</v>
      </c>
      <c r="E652">
        <v>12</v>
      </c>
      <c r="F652">
        <v>0</v>
      </c>
      <c r="G652">
        <v>10</v>
      </c>
      <c r="H652" t="s">
        <v>33</v>
      </c>
      <c r="I652" t="s">
        <v>88</v>
      </c>
      <c r="J652">
        <v>684</v>
      </c>
      <c r="K652" s="3">
        <v>9.3000000000000007</v>
      </c>
      <c r="L652">
        <v>6361.2</v>
      </c>
    </row>
    <row r="653" spans="1:12" x14ac:dyDescent="0.3">
      <c r="A653">
        <v>10</v>
      </c>
      <c r="B653">
        <v>20</v>
      </c>
      <c r="C653">
        <v>1</v>
      </c>
      <c r="D653">
        <v>0</v>
      </c>
      <c r="E653">
        <v>7</v>
      </c>
      <c r="F653">
        <v>0</v>
      </c>
      <c r="G653">
        <v>8</v>
      </c>
      <c r="H653" t="s">
        <v>13</v>
      </c>
      <c r="I653" t="s">
        <v>87</v>
      </c>
      <c r="J653">
        <v>423</v>
      </c>
      <c r="K653" s="3">
        <v>8.3000000000000007</v>
      </c>
      <c r="L653">
        <v>3510.9</v>
      </c>
    </row>
    <row r="654" spans="1:12" x14ac:dyDescent="0.3">
      <c r="A654">
        <v>17</v>
      </c>
      <c r="B654">
        <v>23</v>
      </c>
      <c r="C654">
        <v>1</v>
      </c>
      <c r="D654">
        <v>9</v>
      </c>
      <c r="E654">
        <v>0</v>
      </c>
      <c r="F654">
        <v>0</v>
      </c>
      <c r="G654">
        <v>7</v>
      </c>
      <c r="H654" t="s">
        <v>36</v>
      </c>
      <c r="I654" t="s">
        <v>91</v>
      </c>
      <c r="J654">
        <v>568</v>
      </c>
      <c r="K654">
        <v>8.8000000000000007</v>
      </c>
      <c r="L654">
        <v>4998.3999999999996</v>
      </c>
    </row>
    <row r="655" spans="1:12" x14ac:dyDescent="0.3">
      <c r="A655">
        <v>14</v>
      </c>
      <c r="B655">
        <v>23</v>
      </c>
      <c r="C655">
        <v>0</v>
      </c>
      <c r="D655">
        <v>20</v>
      </c>
      <c r="E655">
        <v>1</v>
      </c>
      <c r="F655">
        <v>0</v>
      </c>
      <c r="G655">
        <v>7</v>
      </c>
      <c r="H655" t="s">
        <v>15</v>
      </c>
      <c r="I655" t="s">
        <v>114</v>
      </c>
      <c r="J655">
        <v>620</v>
      </c>
      <c r="K655" s="3">
        <v>8.3000000000000007</v>
      </c>
      <c r="L655">
        <v>5146</v>
      </c>
    </row>
    <row r="656" spans="1:12" x14ac:dyDescent="0.3">
      <c r="A656">
        <v>0</v>
      </c>
      <c r="B656">
        <v>23</v>
      </c>
      <c r="C656">
        <v>1</v>
      </c>
      <c r="D656">
        <v>6</v>
      </c>
      <c r="E656">
        <v>1</v>
      </c>
      <c r="F656">
        <v>0</v>
      </c>
      <c r="G656">
        <v>3</v>
      </c>
      <c r="H656" t="s">
        <v>15</v>
      </c>
      <c r="I656" t="s">
        <v>77</v>
      </c>
      <c r="J656">
        <v>607</v>
      </c>
      <c r="K656" s="3">
        <v>8.3000000000000007</v>
      </c>
      <c r="L656">
        <v>5038.1000000000004</v>
      </c>
    </row>
    <row r="657" spans="1:12" x14ac:dyDescent="0.3">
      <c r="A657">
        <v>16</v>
      </c>
      <c r="B657">
        <v>22</v>
      </c>
      <c r="C657">
        <v>0</v>
      </c>
      <c r="D657">
        <v>3</v>
      </c>
      <c r="E657">
        <v>1</v>
      </c>
      <c r="F657">
        <v>0</v>
      </c>
      <c r="G657">
        <v>12</v>
      </c>
      <c r="H657" t="s">
        <v>28</v>
      </c>
      <c r="I657" t="s">
        <v>107</v>
      </c>
      <c r="J657">
        <v>363</v>
      </c>
      <c r="K657" s="3">
        <v>7.7</v>
      </c>
      <c r="L657">
        <v>2795.1</v>
      </c>
    </row>
    <row r="658" spans="1:12" x14ac:dyDescent="0.3">
      <c r="A658">
        <v>22</v>
      </c>
      <c r="B658">
        <v>23</v>
      </c>
      <c r="C658">
        <v>2</v>
      </c>
      <c r="D658">
        <v>14</v>
      </c>
      <c r="E658">
        <v>1</v>
      </c>
      <c r="F658">
        <v>0</v>
      </c>
      <c r="G658">
        <v>6</v>
      </c>
      <c r="H658" t="s">
        <v>18</v>
      </c>
      <c r="I658" t="s">
        <v>96</v>
      </c>
      <c r="J658">
        <v>709</v>
      </c>
      <c r="K658" s="3">
        <v>7.7</v>
      </c>
      <c r="L658">
        <v>5459.3</v>
      </c>
    </row>
    <row r="659" spans="1:12" x14ac:dyDescent="0.3">
      <c r="A659">
        <v>12</v>
      </c>
      <c r="B659">
        <v>23</v>
      </c>
      <c r="C659">
        <v>1</v>
      </c>
      <c r="D659">
        <v>12</v>
      </c>
      <c r="E659">
        <v>12</v>
      </c>
      <c r="F659">
        <v>0</v>
      </c>
      <c r="G659">
        <v>4</v>
      </c>
      <c r="H659" t="s">
        <v>16</v>
      </c>
      <c r="I659" t="s">
        <v>81</v>
      </c>
      <c r="J659">
        <v>589</v>
      </c>
      <c r="K659" s="3">
        <v>8.9</v>
      </c>
      <c r="L659">
        <v>5242.1000000000004</v>
      </c>
    </row>
    <row r="660" spans="1:12" x14ac:dyDescent="0.3">
      <c r="A660">
        <v>16</v>
      </c>
      <c r="B660">
        <v>22</v>
      </c>
      <c r="C660">
        <v>3</v>
      </c>
      <c r="D660">
        <v>7</v>
      </c>
      <c r="E660">
        <v>1</v>
      </c>
      <c r="F660">
        <v>0</v>
      </c>
      <c r="G660">
        <v>10</v>
      </c>
      <c r="H660" t="s">
        <v>20</v>
      </c>
      <c r="I660" t="s">
        <v>90</v>
      </c>
      <c r="J660">
        <v>612</v>
      </c>
      <c r="K660" s="3">
        <v>9.1</v>
      </c>
      <c r="L660">
        <v>5569.2</v>
      </c>
    </row>
    <row r="661" spans="1:12" x14ac:dyDescent="0.3">
      <c r="A661">
        <v>9</v>
      </c>
      <c r="B661">
        <v>22</v>
      </c>
      <c r="C661">
        <v>3</v>
      </c>
      <c r="D661">
        <v>0</v>
      </c>
      <c r="E661">
        <v>0</v>
      </c>
      <c r="F661">
        <v>0</v>
      </c>
      <c r="G661">
        <v>2</v>
      </c>
      <c r="H661" t="s">
        <v>32</v>
      </c>
      <c r="I661" t="s">
        <v>76</v>
      </c>
      <c r="J661">
        <v>504</v>
      </c>
      <c r="K661" s="3">
        <v>7.6</v>
      </c>
      <c r="L661">
        <v>3830.3999999999901</v>
      </c>
    </row>
    <row r="662" spans="1:12" x14ac:dyDescent="0.3">
      <c r="A662">
        <v>9</v>
      </c>
      <c r="B662">
        <v>21</v>
      </c>
      <c r="C662">
        <v>0</v>
      </c>
      <c r="D662">
        <v>21</v>
      </c>
      <c r="E662">
        <v>1</v>
      </c>
      <c r="F662">
        <v>0</v>
      </c>
      <c r="G662">
        <v>3</v>
      </c>
      <c r="H662" t="s">
        <v>15</v>
      </c>
      <c r="I662" t="s">
        <v>109</v>
      </c>
      <c r="J662">
        <v>419</v>
      </c>
      <c r="K662" s="3">
        <v>8.3000000000000007</v>
      </c>
      <c r="L662">
        <v>3477.7</v>
      </c>
    </row>
    <row r="663" spans="1:12" x14ac:dyDescent="0.3">
      <c r="A663">
        <v>23</v>
      </c>
      <c r="B663">
        <v>22</v>
      </c>
      <c r="C663">
        <v>1</v>
      </c>
      <c r="D663">
        <v>12</v>
      </c>
      <c r="E663">
        <v>1</v>
      </c>
      <c r="F663">
        <v>0</v>
      </c>
      <c r="G663">
        <v>9</v>
      </c>
      <c r="H663" t="s">
        <v>16</v>
      </c>
      <c r="I663" t="s">
        <v>83</v>
      </c>
      <c r="J663">
        <v>544</v>
      </c>
      <c r="K663" s="3">
        <v>8.9</v>
      </c>
      <c r="L663">
        <v>0</v>
      </c>
    </row>
    <row r="664" spans="1:12" x14ac:dyDescent="0.3">
      <c r="A664">
        <v>21</v>
      </c>
      <c r="B664">
        <v>23</v>
      </c>
      <c r="C664">
        <v>2</v>
      </c>
      <c r="D664">
        <v>16</v>
      </c>
      <c r="E664">
        <v>0</v>
      </c>
      <c r="F664">
        <v>0</v>
      </c>
      <c r="G664">
        <v>3</v>
      </c>
      <c r="H664" t="s">
        <v>22</v>
      </c>
      <c r="I664" t="s">
        <v>71</v>
      </c>
      <c r="J664">
        <v>483</v>
      </c>
      <c r="K664" s="3">
        <v>7.8</v>
      </c>
      <c r="L664">
        <v>3767.4</v>
      </c>
    </row>
    <row r="665" spans="1:12" x14ac:dyDescent="0.3">
      <c r="A665">
        <v>12</v>
      </c>
      <c r="B665">
        <v>23</v>
      </c>
      <c r="C665">
        <v>1</v>
      </c>
      <c r="D665">
        <v>11</v>
      </c>
      <c r="E665">
        <v>1</v>
      </c>
      <c r="F665">
        <v>0</v>
      </c>
      <c r="G665">
        <v>1</v>
      </c>
      <c r="H665" t="s">
        <v>51</v>
      </c>
      <c r="I665" t="s">
        <v>78</v>
      </c>
      <c r="J665">
        <v>477</v>
      </c>
      <c r="K665" s="3">
        <v>8.8000000000000007</v>
      </c>
      <c r="L665">
        <v>4197.6000000000004</v>
      </c>
    </row>
    <row r="666" spans="1:12" x14ac:dyDescent="0.3">
      <c r="A666">
        <v>20</v>
      </c>
      <c r="B666">
        <v>22</v>
      </c>
      <c r="C666">
        <v>3</v>
      </c>
      <c r="D666">
        <v>18</v>
      </c>
      <c r="E666">
        <v>1</v>
      </c>
      <c r="F666">
        <v>0</v>
      </c>
      <c r="G666">
        <v>11</v>
      </c>
      <c r="H666" t="s">
        <v>15</v>
      </c>
      <c r="I666" t="s">
        <v>89</v>
      </c>
      <c r="J666">
        <v>512</v>
      </c>
      <c r="K666" s="3">
        <v>8.3000000000000007</v>
      </c>
      <c r="L666">
        <v>4249.6000000000004</v>
      </c>
    </row>
    <row r="667" spans="1:12" x14ac:dyDescent="0.3">
      <c r="A667">
        <v>6</v>
      </c>
      <c r="B667">
        <v>17</v>
      </c>
      <c r="C667">
        <v>2</v>
      </c>
      <c r="D667">
        <v>18</v>
      </c>
      <c r="E667">
        <v>0</v>
      </c>
      <c r="F667">
        <v>0</v>
      </c>
      <c r="G667">
        <v>4</v>
      </c>
      <c r="H667" t="s">
        <v>33</v>
      </c>
      <c r="I667" t="s">
        <v>84</v>
      </c>
      <c r="J667">
        <v>547</v>
      </c>
      <c r="K667" s="3">
        <v>9.3000000000000007</v>
      </c>
      <c r="L667">
        <v>5087.1000000000004</v>
      </c>
    </row>
    <row r="668" spans="1:12" x14ac:dyDescent="0.3">
      <c r="A668">
        <v>15</v>
      </c>
      <c r="B668">
        <v>23</v>
      </c>
      <c r="C668">
        <v>1</v>
      </c>
      <c r="D668">
        <v>22</v>
      </c>
      <c r="E668">
        <v>1</v>
      </c>
      <c r="F668">
        <v>0</v>
      </c>
      <c r="G668">
        <v>5</v>
      </c>
      <c r="H668" t="s">
        <v>36</v>
      </c>
      <c r="I668" t="s">
        <v>71</v>
      </c>
      <c r="J668">
        <v>489</v>
      </c>
      <c r="K668">
        <v>8.8000000000000007</v>
      </c>
      <c r="L668">
        <v>4303.2</v>
      </c>
    </row>
    <row r="669" spans="1:12" x14ac:dyDescent="0.3">
      <c r="A669">
        <v>21</v>
      </c>
      <c r="B669">
        <v>23</v>
      </c>
      <c r="C669">
        <v>3</v>
      </c>
      <c r="D669">
        <v>7</v>
      </c>
      <c r="E669">
        <v>1</v>
      </c>
      <c r="F669">
        <v>0</v>
      </c>
      <c r="G669">
        <v>8</v>
      </c>
      <c r="H669" t="s">
        <v>35</v>
      </c>
      <c r="I669" t="s">
        <v>80</v>
      </c>
      <c r="J669">
        <v>483</v>
      </c>
      <c r="K669" s="3">
        <v>8.1999999999999993</v>
      </c>
      <c r="L669">
        <v>3960.5999999999899</v>
      </c>
    </row>
    <row r="670" spans="1:12" x14ac:dyDescent="0.3">
      <c r="A670">
        <v>14</v>
      </c>
      <c r="B670">
        <v>0</v>
      </c>
      <c r="C670">
        <v>3</v>
      </c>
      <c r="D670">
        <v>5</v>
      </c>
      <c r="E670">
        <v>1</v>
      </c>
      <c r="F670">
        <v>0</v>
      </c>
      <c r="G670">
        <v>9</v>
      </c>
      <c r="H670" t="s">
        <v>22</v>
      </c>
      <c r="I670" t="s">
        <v>78</v>
      </c>
      <c r="J670">
        <v>563</v>
      </c>
      <c r="K670" s="3">
        <v>7.8</v>
      </c>
      <c r="L670">
        <v>4391.3999999999996</v>
      </c>
    </row>
    <row r="671" spans="1:12" x14ac:dyDescent="0.3">
      <c r="A671">
        <v>19</v>
      </c>
      <c r="B671">
        <v>22</v>
      </c>
      <c r="C671">
        <v>3</v>
      </c>
      <c r="D671">
        <v>19</v>
      </c>
      <c r="E671">
        <v>1</v>
      </c>
      <c r="F671">
        <v>0</v>
      </c>
      <c r="G671">
        <v>12</v>
      </c>
      <c r="H671" t="s">
        <v>47</v>
      </c>
      <c r="I671" t="s">
        <v>127</v>
      </c>
      <c r="J671">
        <v>733</v>
      </c>
      <c r="K671" s="3">
        <v>9.1</v>
      </c>
      <c r="L671">
        <v>6670.3</v>
      </c>
    </row>
    <row r="672" spans="1:12" x14ac:dyDescent="0.3">
      <c r="A672">
        <v>15</v>
      </c>
      <c r="B672">
        <v>23</v>
      </c>
      <c r="C672">
        <v>2</v>
      </c>
      <c r="D672">
        <v>18</v>
      </c>
      <c r="E672">
        <v>1</v>
      </c>
      <c r="F672">
        <v>0</v>
      </c>
      <c r="G672">
        <v>4</v>
      </c>
      <c r="H672" t="s">
        <v>15</v>
      </c>
      <c r="I672" t="s">
        <v>76</v>
      </c>
      <c r="J672">
        <v>536</v>
      </c>
      <c r="K672" s="3">
        <v>8.3000000000000007</v>
      </c>
      <c r="L672">
        <v>4448.8</v>
      </c>
    </row>
    <row r="673" spans="1:12" x14ac:dyDescent="0.3">
      <c r="A673">
        <v>15</v>
      </c>
      <c r="B673">
        <v>22</v>
      </c>
      <c r="C673">
        <v>3</v>
      </c>
      <c r="D673">
        <v>8</v>
      </c>
      <c r="E673">
        <v>1</v>
      </c>
      <c r="F673">
        <v>0</v>
      </c>
      <c r="G673">
        <v>9</v>
      </c>
      <c r="H673" t="s">
        <v>23</v>
      </c>
      <c r="I673" t="s">
        <v>75</v>
      </c>
      <c r="J673">
        <v>427</v>
      </c>
      <c r="K673" s="3">
        <v>8.4</v>
      </c>
      <c r="L673">
        <v>3586.8</v>
      </c>
    </row>
    <row r="674" spans="1:12" x14ac:dyDescent="0.3">
      <c r="A674">
        <v>11</v>
      </c>
      <c r="B674">
        <v>23</v>
      </c>
      <c r="C674">
        <v>1</v>
      </c>
      <c r="D674">
        <v>0</v>
      </c>
      <c r="E674">
        <v>12</v>
      </c>
      <c r="F674">
        <v>0</v>
      </c>
      <c r="G674">
        <v>3</v>
      </c>
      <c r="H674" t="s">
        <v>33</v>
      </c>
      <c r="I674" t="s">
        <v>95</v>
      </c>
      <c r="J674">
        <v>799</v>
      </c>
      <c r="K674" s="3">
        <v>9.3000000000000007</v>
      </c>
      <c r="L674">
        <v>7430.7</v>
      </c>
    </row>
    <row r="675" spans="1:12" x14ac:dyDescent="0.3">
      <c r="A675">
        <v>9</v>
      </c>
      <c r="B675">
        <v>17</v>
      </c>
      <c r="C675">
        <v>1</v>
      </c>
      <c r="D675">
        <v>15</v>
      </c>
      <c r="E675">
        <v>1</v>
      </c>
      <c r="F675">
        <v>0</v>
      </c>
      <c r="G675">
        <v>6</v>
      </c>
      <c r="H675" t="s">
        <v>26</v>
      </c>
      <c r="I675" t="s">
        <v>128</v>
      </c>
      <c r="J675">
        <v>319</v>
      </c>
      <c r="K675" s="3">
        <v>8.5</v>
      </c>
      <c r="L675">
        <v>2711.5</v>
      </c>
    </row>
    <row r="676" spans="1:12" x14ac:dyDescent="0.3">
      <c r="A676">
        <v>16</v>
      </c>
      <c r="B676">
        <v>22</v>
      </c>
      <c r="C676">
        <v>1</v>
      </c>
      <c r="D676">
        <v>21</v>
      </c>
      <c r="E676">
        <v>12</v>
      </c>
      <c r="F676">
        <v>0</v>
      </c>
      <c r="G676">
        <v>9</v>
      </c>
      <c r="H676" t="s">
        <v>369</v>
      </c>
      <c r="I676" t="s">
        <v>71</v>
      </c>
      <c r="J676">
        <v>730</v>
      </c>
      <c r="K676" s="3">
        <v>8.5</v>
      </c>
      <c r="L676">
        <v>0</v>
      </c>
    </row>
    <row r="677" spans="1:12" x14ac:dyDescent="0.3">
      <c r="A677">
        <v>12</v>
      </c>
      <c r="B677">
        <v>23</v>
      </c>
      <c r="C677">
        <v>2</v>
      </c>
      <c r="D677">
        <v>20</v>
      </c>
      <c r="E677">
        <v>12</v>
      </c>
      <c r="F677">
        <v>0</v>
      </c>
      <c r="G677">
        <v>1</v>
      </c>
      <c r="H677" t="s">
        <v>33</v>
      </c>
      <c r="I677" t="s">
        <v>80</v>
      </c>
      <c r="J677">
        <v>713</v>
      </c>
      <c r="K677" s="3">
        <v>9.3000000000000007</v>
      </c>
      <c r="L677">
        <v>6630.9</v>
      </c>
    </row>
    <row r="678" spans="1:12" x14ac:dyDescent="0.3">
      <c r="A678">
        <v>20</v>
      </c>
      <c r="B678">
        <v>22</v>
      </c>
      <c r="C678">
        <v>2</v>
      </c>
      <c r="D678">
        <v>17</v>
      </c>
      <c r="E678">
        <v>1</v>
      </c>
      <c r="F678">
        <v>0</v>
      </c>
      <c r="G678">
        <v>8</v>
      </c>
      <c r="H678" t="s">
        <v>18</v>
      </c>
      <c r="I678" t="s">
        <v>96</v>
      </c>
      <c r="J678">
        <v>565</v>
      </c>
      <c r="K678" s="3">
        <v>7.7</v>
      </c>
      <c r="L678">
        <v>4350.5</v>
      </c>
    </row>
    <row r="679" spans="1:12" x14ac:dyDescent="0.3">
      <c r="A679">
        <v>19</v>
      </c>
      <c r="B679">
        <v>22</v>
      </c>
      <c r="C679">
        <v>3</v>
      </c>
      <c r="D679">
        <v>18</v>
      </c>
      <c r="E679">
        <v>1</v>
      </c>
      <c r="F679">
        <v>0</v>
      </c>
      <c r="G679">
        <v>11</v>
      </c>
      <c r="H679" t="s">
        <v>26</v>
      </c>
      <c r="I679" t="s">
        <v>92</v>
      </c>
      <c r="J679">
        <v>582</v>
      </c>
      <c r="K679" s="3">
        <v>8.5</v>
      </c>
      <c r="L679">
        <v>4947</v>
      </c>
    </row>
    <row r="680" spans="1:12" x14ac:dyDescent="0.3">
      <c r="A680">
        <v>20</v>
      </c>
      <c r="B680">
        <v>22</v>
      </c>
      <c r="C680">
        <v>3</v>
      </c>
      <c r="D680">
        <v>6</v>
      </c>
      <c r="E680">
        <v>1</v>
      </c>
      <c r="F680">
        <v>0</v>
      </c>
      <c r="G680">
        <v>1</v>
      </c>
      <c r="H680" t="s">
        <v>15</v>
      </c>
      <c r="I680" t="s">
        <v>92</v>
      </c>
      <c r="J680">
        <v>587</v>
      </c>
      <c r="K680" s="3">
        <v>8.3000000000000007</v>
      </c>
      <c r="L680">
        <v>4872.1000000000004</v>
      </c>
    </row>
    <row r="681" spans="1:12" x14ac:dyDescent="0.3">
      <c r="A681">
        <v>6</v>
      </c>
      <c r="B681">
        <v>18</v>
      </c>
      <c r="C681">
        <v>0</v>
      </c>
      <c r="D681">
        <v>17</v>
      </c>
      <c r="E681">
        <v>1</v>
      </c>
      <c r="F681">
        <v>0</v>
      </c>
      <c r="G681">
        <v>10</v>
      </c>
      <c r="H681" t="s">
        <v>65</v>
      </c>
      <c r="I681" t="s">
        <v>109</v>
      </c>
      <c r="J681">
        <v>442</v>
      </c>
      <c r="K681" s="3">
        <v>8.1999999999999993</v>
      </c>
      <c r="L681">
        <v>3624.3999999999901</v>
      </c>
    </row>
    <row r="682" spans="1:12" x14ac:dyDescent="0.3">
      <c r="A682">
        <v>0</v>
      </c>
      <c r="B682">
        <v>22</v>
      </c>
      <c r="C682">
        <v>3</v>
      </c>
      <c r="D682">
        <v>18</v>
      </c>
      <c r="E682">
        <v>12</v>
      </c>
      <c r="F682">
        <v>0</v>
      </c>
      <c r="G682">
        <v>7</v>
      </c>
      <c r="H682" t="s">
        <v>369</v>
      </c>
      <c r="I682" t="s">
        <v>78</v>
      </c>
      <c r="J682">
        <v>789</v>
      </c>
      <c r="K682" s="3">
        <v>7.8</v>
      </c>
      <c r="L682">
        <v>6154.2</v>
      </c>
    </row>
    <row r="683" spans="1:12" x14ac:dyDescent="0.3">
      <c r="A683">
        <v>17</v>
      </c>
      <c r="B683">
        <v>23</v>
      </c>
      <c r="C683">
        <v>3</v>
      </c>
      <c r="D683">
        <v>7</v>
      </c>
      <c r="E683">
        <v>1</v>
      </c>
      <c r="F683">
        <v>0</v>
      </c>
      <c r="G683">
        <v>6</v>
      </c>
      <c r="H683" t="s">
        <v>35</v>
      </c>
      <c r="I683" t="s">
        <v>94</v>
      </c>
      <c r="J683">
        <v>513</v>
      </c>
      <c r="K683" s="3">
        <v>8.1999999999999993</v>
      </c>
      <c r="L683">
        <v>4206.5999999999904</v>
      </c>
    </row>
    <row r="684" spans="1:12" x14ac:dyDescent="0.3">
      <c r="A684">
        <v>8</v>
      </c>
      <c r="B684">
        <v>17</v>
      </c>
      <c r="C684">
        <v>1</v>
      </c>
      <c r="D684">
        <v>6</v>
      </c>
      <c r="E684">
        <v>1</v>
      </c>
      <c r="F684">
        <v>0</v>
      </c>
      <c r="G684">
        <v>12</v>
      </c>
      <c r="H684" t="s">
        <v>25</v>
      </c>
      <c r="I684" t="s">
        <v>84</v>
      </c>
      <c r="J684">
        <v>292</v>
      </c>
      <c r="K684" s="3">
        <v>8.1</v>
      </c>
      <c r="L684">
        <v>2365.1999999999998</v>
      </c>
    </row>
    <row r="685" spans="1:12" x14ac:dyDescent="0.3">
      <c r="A685">
        <v>9</v>
      </c>
      <c r="B685">
        <v>19</v>
      </c>
      <c r="C685">
        <v>0</v>
      </c>
      <c r="D685">
        <v>13</v>
      </c>
      <c r="E685">
        <v>7</v>
      </c>
      <c r="F685">
        <v>0</v>
      </c>
      <c r="G685">
        <v>12</v>
      </c>
      <c r="H685" t="s">
        <v>24</v>
      </c>
      <c r="I685" t="s">
        <v>93</v>
      </c>
      <c r="J685">
        <v>543</v>
      </c>
      <c r="K685" s="3">
        <v>7.9</v>
      </c>
      <c r="L685">
        <v>4289.7</v>
      </c>
    </row>
    <row r="686" spans="1:12" x14ac:dyDescent="0.3">
      <c r="A686">
        <v>18</v>
      </c>
      <c r="B686">
        <v>23</v>
      </c>
      <c r="C686">
        <v>3</v>
      </c>
      <c r="D686">
        <v>20</v>
      </c>
      <c r="E686">
        <v>1</v>
      </c>
      <c r="F686">
        <v>0</v>
      </c>
      <c r="G686">
        <v>11</v>
      </c>
      <c r="H686" t="s">
        <v>36</v>
      </c>
      <c r="I686" t="s">
        <v>118</v>
      </c>
      <c r="J686">
        <v>598</v>
      </c>
      <c r="K686" s="3">
        <v>8.8000000000000007</v>
      </c>
      <c r="L686">
        <v>5262.4</v>
      </c>
    </row>
    <row r="687" spans="1:12" x14ac:dyDescent="0.3">
      <c r="A687">
        <v>10</v>
      </c>
      <c r="B687">
        <v>23</v>
      </c>
      <c r="C687">
        <v>1</v>
      </c>
      <c r="D687">
        <v>22</v>
      </c>
      <c r="E687">
        <v>0</v>
      </c>
      <c r="F687">
        <v>0</v>
      </c>
      <c r="G687">
        <v>6</v>
      </c>
      <c r="H687" t="s">
        <v>21</v>
      </c>
      <c r="I687" t="s">
        <v>85</v>
      </c>
      <c r="J687">
        <v>565</v>
      </c>
      <c r="K687" s="3">
        <v>8.6999999999999993</v>
      </c>
      <c r="L687">
        <v>4915.5</v>
      </c>
    </row>
    <row r="688" spans="1:12" x14ac:dyDescent="0.3">
      <c r="A688">
        <v>22</v>
      </c>
      <c r="B688">
        <v>23</v>
      </c>
      <c r="C688">
        <v>2</v>
      </c>
      <c r="D688">
        <v>21</v>
      </c>
      <c r="E688">
        <v>1</v>
      </c>
      <c r="F688">
        <v>0</v>
      </c>
      <c r="G688">
        <v>6</v>
      </c>
      <c r="H688" t="s">
        <v>35</v>
      </c>
      <c r="I688" t="s">
        <v>81</v>
      </c>
      <c r="J688">
        <v>737</v>
      </c>
      <c r="K688" s="3">
        <v>8.1999999999999993</v>
      </c>
      <c r="L688">
        <v>6043.4</v>
      </c>
    </row>
    <row r="689" spans="1:12" x14ac:dyDescent="0.3">
      <c r="A689">
        <v>5</v>
      </c>
      <c r="B689">
        <v>17</v>
      </c>
      <c r="C689">
        <v>0</v>
      </c>
      <c r="D689">
        <v>21</v>
      </c>
      <c r="E689">
        <v>7</v>
      </c>
      <c r="F689">
        <v>0</v>
      </c>
      <c r="G689">
        <v>12</v>
      </c>
      <c r="H689" t="s">
        <v>46</v>
      </c>
      <c r="I689" t="s">
        <v>87</v>
      </c>
      <c r="J689">
        <v>503</v>
      </c>
      <c r="K689" s="3">
        <v>8.1</v>
      </c>
      <c r="L689">
        <v>4074.2999999999902</v>
      </c>
    </row>
    <row r="690" spans="1:12" x14ac:dyDescent="0.3">
      <c r="A690">
        <v>7</v>
      </c>
      <c r="B690">
        <v>21</v>
      </c>
      <c r="C690">
        <v>2</v>
      </c>
      <c r="D690">
        <v>5</v>
      </c>
      <c r="E690">
        <v>1</v>
      </c>
      <c r="F690">
        <v>0</v>
      </c>
      <c r="G690">
        <v>11</v>
      </c>
      <c r="H690" t="s">
        <v>30</v>
      </c>
      <c r="I690" t="s">
        <v>79</v>
      </c>
      <c r="J690">
        <v>348</v>
      </c>
      <c r="K690" s="3">
        <v>9.1999999999999993</v>
      </c>
      <c r="L690">
        <v>3201.6</v>
      </c>
    </row>
    <row r="691" spans="1:12" x14ac:dyDescent="0.3">
      <c r="A691">
        <v>20</v>
      </c>
      <c r="B691">
        <v>23</v>
      </c>
      <c r="C691">
        <v>1</v>
      </c>
      <c r="D691">
        <v>19</v>
      </c>
      <c r="E691">
        <v>1</v>
      </c>
      <c r="F691">
        <v>0</v>
      </c>
      <c r="G691">
        <v>2</v>
      </c>
      <c r="H691" t="s">
        <v>35</v>
      </c>
      <c r="I691" t="s">
        <v>85</v>
      </c>
      <c r="J691">
        <v>464</v>
      </c>
      <c r="K691" s="3">
        <v>8.1999999999999993</v>
      </c>
      <c r="L691">
        <v>3804.7999999999902</v>
      </c>
    </row>
    <row r="692" spans="1:12" x14ac:dyDescent="0.3">
      <c r="A692">
        <v>11</v>
      </c>
      <c r="B692">
        <v>22</v>
      </c>
      <c r="C692">
        <v>2</v>
      </c>
      <c r="D692">
        <v>19</v>
      </c>
      <c r="E692">
        <v>1</v>
      </c>
      <c r="F692">
        <v>0</v>
      </c>
      <c r="G692">
        <v>8</v>
      </c>
      <c r="H692" t="s">
        <v>49</v>
      </c>
      <c r="I692" t="s">
        <v>73</v>
      </c>
      <c r="J692">
        <v>461</v>
      </c>
      <c r="K692" s="3">
        <v>8.5</v>
      </c>
      <c r="L692">
        <v>3918.5</v>
      </c>
    </row>
    <row r="693" spans="1:12" x14ac:dyDescent="0.3">
      <c r="A693">
        <v>21</v>
      </c>
      <c r="B693">
        <v>22</v>
      </c>
      <c r="C693">
        <v>1</v>
      </c>
      <c r="D693">
        <v>8</v>
      </c>
      <c r="E693">
        <v>1</v>
      </c>
      <c r="F693">
        <v>0</v>
      </c>
      <c r="G693">
        <v>1</v>
      </c>
      <c r="H693" t="s">
        <v>43</v>
      </c>
      <c r="I693" t="s">
        <v>368</v>
      </c>
      <c r="J693">
        <v>608</v>
      </c>
      <c r="K693" s="3">
        <v>7.6</v>
      </c>
      <c r="L693">
        <v>4620.8</v>
      </c>
    </row>
    <row r="694" spans="1:12" x14ac:dyDescent="0.3">
      <c r="A694">
        <v>0</v>
      </c>
      <c r="B694">
        <v>23</v>
      </c>
      <c r="C694">
        <v>0</v>
      </c>
      <c r="D694">
        <v>6</v>
      </c>
      <c r="E694">
        <v>1</v>
      </c>
      <c r="F694">
        <v>0</v>
      </c>
      <c r="G694">
        <v>9</v>
      </c>
      <c r="H694" t="s">
        <v>14</v>
      </c>
      <c r="I694" t="s">
        <v>107</v>
      </c>
      <c r="J694">
        <v>564</v>
      </c>
      <c r="K694" s="3">
        <v>8.9</v>
      </c>
      <c r="L694">
        <v>5019.6000000000004</v>
      </c>
    </row>
    <row r="695" spans="1:12" x14ac:dyDescent="0.3">
      <c r="A695">
        <v>19</v>
      </c>
      <c r="B695">
        <v>22</v>
      </c>
      <c r="C695">
        <v>2</v>
      </c>
      <c r="D695">
        <v>16</v>
      </c>
      <c r="E695">
        <v>1</v>
      </c>
      <c r="F695">
        <v>0</v>
      </c>
      <c r="G695">
        <v>4</v>
      </c>
      <c r="H695" t="s">
        <v>26</v>
      </c>
      <c r="I695" t="s">
        <v>91</v>
      </c>
      <c r="J695">
        <v>700</v>
      </c>
      <c r="K695" s="3">
        <v>8.5</v>
      </c>
      <c r="L695">
        <v>5950</v>
      </c>
    </row>
    <row r="696" spans="1:12" x14ac:dyDescent="0.3">
      <c r="A696">
        <v>0</v>
      </c>
      <c r="B696">
        <v>22</v>
      </c>
      <c r="C696">
        <v>1</v>
      </c>
      <c r="D696">
        <v>6</v>
      </c>
      <c r="E696">
        <v>1</v>
      </c>
      <c r="F696">
        <v>0</v>
      </c>
      <c r="G696">
        <v>0</v>
      </c>
      <c r="H696" t="s">
        <v>36</v>
      </c>
      <c r="I696" t="s">
        <v>109</v>
      </c>
      <c r="J696">
        <v>524</v>
      </c>
      <c r="K696" s="3">
        <v>8.8000000000000007</v>
      </c>
      <c r="L696">
        <v>4611.2</v>
      </c>
    </row>
    <row r="697" spans="1:12" x14ac:dyDescent="0.3">
      <c r="A697">
        <v>14</v>
      </c>
      <c r="B697">
        <v>22</v>
      </c>
      <c r="C697">
        <v>1</v>
      </c>
      <c r="D697">
        <v>21</v>
      </c>
      <c r="E697">
        <v>1</v>
      </c>
      <c r="F697">
        <v>0</v>
      </c>
      <c r="G697">
        <v>2</v>
      </c>
      <c r="H697" t="s">
        <v>33</v>
      </c>
      <c r="I697" t="s">
        <v>92</v>
      </c>
      <c r="J697">
        <v>511</v>
      </c>
      <c r="K697" s="3">
        <v>9.3000000000000007</v>
      </c>
      <c r="L697">
        <v>4752.3</v>
      </c>
    </row>
    <row r="698" spans="1:12" x14ac:dyDescent="0.3">
      <c r="A698">
        <v>15</v>
      </c>
      <c r="B698">
        <v>22</v>
      </c>
      <c r="C698">
        <v>3</v>
      </c>
      <c r="D698">
        <v>13</v>
      </c>
      <c r="E698">
        <v>12</v>
      </c>
      <c r="F698">
        <v>0</v>
      </c>
      <c r="G698">
        <v>6</v>
      </c>
      <c r="H698" t="s">
        <v>30</v>
      </c>
      <c r="I698" t="s">
        <v>82</v>
      </c>
      <c r="J698">
        <v>682</v>
      </c>
      <c r="K698" s="3">
        <v>9.1999999999999993</v>
      </c>
      <c r="L698">
        <v>6274.4</v>
      </c>
    </row>
    <row r="699" spans="1:12" x14ac:dyDescent="0.3">
      <c r="A699">
        <v>17</v>
      </c>
      <c r="B699">
        <v>23</v>
      </c>
      <c r="C699">
        <v>2</v>
      </c>
      <c r="D699">
        <v>8</v>
      </c>
      <c r="E699">
        <v>12</v>
      </c>
      <c r="F699">
        <v>0</v>
      </c>
      <c r="G699">
        <v>9</v>
      </c>
      <c r="H699" t="s">
        <v>33</v>
      </c>
      <c r="I699" t="s">
        <v>96</v>
      </c>
      <c r="J699">
        <v>598</v>
      </c>
      <c r="K699" s="3">
        <v>9.3000000000000007</v>
      </c>
      <c r="L699">
        <v>5561.4</v>
      </c>
    </row>
    <row r="700" spans="1:12" x14ac:dyDescent="0.3">
      <c r="A700">
        <v>23</v>
      </c>
      <c r="B700">
        <v>23</v>
      </c>
      <c r="C700">
        <v>0</v>
      </c>
      <c r="D700">
        <v>11</v>
      </c>
      <c r="E700">
        <v>1</v>
      </c>
      <c r="F700">
        <v>0</v>
      </c>
      <c r="G700">
        <v>10</v>
      </c>
      <c r="H700" t="s">
        <v>35</v>
      </c>
      <c r="I700" t="s">
        <v>72</v>
      </c>
      <c r="J700">
        <v>568</v>
      </c>
      <c r="K700" s="3">
        <v>8.1999999999999993</v>
      </c>
      <c r="L700">
        <v>4657.5999999999904</v>
      </c>
    </row>
    <row r="701" spans="1:12" x14ac:dyDescent="0.3">
      <c r="A701">
        <v>16</v>
      </c>
      <c r="B701">
        <v>22</v>
      </c>
      <c r="C701">
        <v>1</v>
      </c>
      <c r="D701">
        <v>15</v>
      </c>
      <c r="E701">
        <v>12</v>
      </c>
      <c r="F701">
        <v>0</v>
      </c>
      <c r="G701">
        <v>3</v>
      </c>
      <c r="H701" t="s">
        <v>369</v>
      </c>
      <c r="I701" t="s">
        <v>85</v>
      </c>
      <c r="J701">
        <v>640</v>
      </c>
      <c r="K701" s="3">
        <v>9.1999999999999993</v>
      </c>
      <c r="L701">
        <v>5888</v>
      </c>
    </row>
    <row r="702" spans="1:12" x14ac:dyDescent="0.3">
      <c r="A702">
        <v>10</v>
      </c>
      <c r="B702">
        <v>17</v>
      </c>
      <c r="C702">
        <v>1</v>
      </c>
      <c r="D702">
        <v>10</v>
      </c>
      <c r="E702">
        <v>1</v>
      </c>
      <c r="F702">
        <v>0</v>
      </c>
      <c r="G702">
        <v>2</v>
      </c>
      <c r="H702" t="s">
        <v>33</v>
      </c>
      <c r="I702" t="s">
        <v>79</v>
      </c>
      <c r="J702">
        <v>243</v>
      </c>
      <c r="K702" s="3">
        <v>9.3000000000000007</v>
      </c>
      <c r="L702">
        <v>2259.9</v>
      </c>
    </row>
    <row r="703" spans="1:12" x14ac:dyDescent="0.3">
      <c r="A703">
        <v>16</v>
      </c>
      <c r="B703">
        <v>23</v>
      </c>
      <c r="C703">
        <v>0</v>
      </c>
      <c r="D703">
        <v>21</v>
      </c>
      <c r="E703">
        <v>1</v>
      </c>
      <c r="F703">
        <v>0</v>
      </c>
      <c r="G703">
        <v>8</v>
      </c>
      <c r="H703" t="s">
        <v>22</v>
      </c>
      <c r="I703" t="s">
        <v>368</v>
      </c>
      <c r="J703">
        <v>440</v>
      </c>
      <c r="K703" s="3">
        <v>0</v>
      </c>
      <c r="L703">
        <v>3432</v>
      </c>
    </row>
    <row r="704" spans="1:12" x14ac:dyDescent="0.3">
      <c r="A704">
        <v>18</v>
      </c>
      <c r="B704">
        <v>23</v>
      </c>
      <c r="C704">
        <v>0</v>
      </c>
      <c r="D704">
        <v>12</v>
      </c>
      <c r="E704">
        <v>1</v>
      </c>
      <c r="F704">
        <v>0</v>
      </c>
      <c r="G704">
        <v>9</v>
      </c>
      <c r="H704" t="s">
        <v>33</v>
      </c>
      <c r="I704" t="s">
        <v>80</v>
      </c>
      <c r="J704">
        <v>480</v>
      </c>
      <c r="K704" s="3">
        <v>9.3000000000000007</v>
      </c>
      <c r="L704">
        <v>4464</v>
      </c>
    </row>
    <row r="705" spans="1:12" x14ac:dyDescent="0.3">
      <c r="A705">
        <v>19</v>
      </c>
      <c r="B705">
        <v>22</v>
      </c>
      <c r="C705">
        <v>0</v>
      </c>
      <c r="D705">
        <v>16</v>
      </c>
      <c r="E705">
        <v>1</v>
      </c>
      <c r="F705">
        <v>0</v>
      </c>
      <c r="G705">
        <v>0</v>
      </c>
      <c r="H705" t="s">
        <v>22</v>
      </c>
      <c r="I705" t="s">
        <v>78</v>
      </c>
      <c r="J705">
        <v>541</v>
      </c>
      <c r="K705" s="3">
        <v>7.8</v>
      </c>
      <c r="L705">
        <v>4219.8</v>
      </c>
    </row>
    <row r="706" spans="1:12" x14ac:dyDescent="0.3">
      <c r="A706">
        <v>22</v>
      </c>
      <c r="B706">
        <v>22</v>
      </c>
      <c r="C706">
        <v>3</v>
      </c>
      <c r="D706">
        <v>22</v>
      </c>
      <c r="E706">
        <v>0</v>
      </c>
      <c r="F706">
        <v>0</v>
      </c>
      <c r="G706">
        <v>7</v>
      </c>
      <c r="H706" t="s">
        <v>16</v>
      </c>
      <c r="I706" t="s">
        <v>112</v>
      </c>
      <c r="J706">
        <v>762</v>
      </c>
      <c r="K706" s="3">
        <v>8.9</v>
      </c>
      <c r="L706">
        <v>6781.8</v>
      </c>
    </row>
    <row r="707" spans="1:12" x14ac:dyDescent="0.3">
      <c r="A707">
        <v>13</v>
      </c>
      <c r="B707">
        <v>23</v>
      </c>
      <c r="C707">
        <v>1</v>
      </c>
      <c r="D707">
        <v>3</v>
      </c>
      <c r="E707">
        <v>1</v>
      </c>
      <c r="F707">
        <v>0</v>
      </c>
      <c r="G707">
        <v>10</v>
      </c>
      <c r="H707" t="s">
        <v>50</v>
      </c>
      <c r="I707" t="s">
        <v>77</v>
      </c>
      <c r="J707">
        <v>311</v>
      </c>
      <c r="K707" s="3">
        <v>9.3000000000000007</v>
      </c>
      <c r="L707">
        <v>2892.3</v>
      </c>
    </row>
    <row r="708" spans="1:12" x14ac:dyDescent="0.3">
      <c r="A708">
        <v>18</v>
      </c>
      <c r="B708">
        <v>22</v>
      </c>
      <c r="C708">
        <v>2</v>
      </c>
      <c r="D708">
        <v>22</v>
      </c>
      <c r="E708">
        <v>1</v>
      </c>
      <c r="F708">
        <v>0</v>
      </c>
      <c r="G708">
        <v>0</v>
      </c>
      <c r="H708" t="s">
        <v>16</v>
      </c>
      <c r="I708" t="s">
        <v>97</v>
      </c>
      <c r="J708">
        <v>715</v>
      </c>
      <c r="K708" s="3">
        <v>8.9</v>
      </c>
      <c r="L708">
        <v>6363.5</v>
      </c>
    </row>
    <row r="709" spans="1:12" x14ac:dyDescent="0.3">
      <c r="A709">
        <v>7</v>
      </c>
      <c r="B709">
        <v>20</v>
      </c>
      <c r="C709">
        <v>2</v>
      </c>
      <c r="D709">
        <v>12</v>
      </c>
      <c r="E709">
        <v>0</v>
      </c>
      <c r="F709">
        <v>0</v>
      </c>
      <c r="G709">
        <v>6</v>
      </c>
      <c r="H709" t="s">
        <v>23</v>
      </c>
      <c r="I709" t="s">
        <v>120</v>
      </c>
      <c r="J709">
        <v>595</v>
      </c>
      <c r="K709" s="3">
        <v>8.4</v>
      </c>
      <c r="L709">
        <v>4998</v>
      </c>
    </row>
    <row r="710" spans="1:12" x14ac:dyDescent="0.3">
      <c r="A710">
        <v>17</v>
      </c>
      <c r="B710">
        <v>23</v>
      </c>
      <c r="C710">
        <v>1</v>
      </c>
      <c r="D710">
        <v>8</v>
      </c>
      <c r="E710">
        <v>1</v>
      </c>
      <c r="F710">
        <v>0</v>
      </c>
      <c r="G710">
        <v>12</v>
      </c>
      <c r="H710" t="s">
        <v>24</v>
      </c>
      <c r="I710" t="s">
        <v>87</v>
      </c>
      <c r="J710">
        <v>559</v>
      </c>
      <c r="K710" s="3">
        <v>7.9</v>
      </c>
      <c r="L710">
        <v>4416.1000000000004</v>
      </c>
    </row>
    <row r="711" spans="1:12" x14ac:dyDescent="0.3">
      <c r="A711">
        <v>20</v>
      </c>
      <c r="B711">
        <v>22</v>
      </c>
      <c r="C711">
        <v>3</v>
      </c>
      <c r="D711">
        <v>3</v>
      </c>
      <c r="E711">
        <v>1</v>
      </c>
      <c r="F711">
        <v>0</v>
      </c>
      <c r="G711">
        <v>6</v>
      </c>
      <c r="H711" t="s">
        <v>23</v>
      </c>
      <c r="I711" t="s">
        <v>90</v>
      </c>
      <c r="J711">
        <v>566</v>
      </c>
      <c r="K711" s="3">
        <v>8.4</v>
      </c>
      <c r="L711">
        <v>4754.3999999999996</v>
      </c>
    </row>
    <row r="712" spans="1:12" x14ac:dyDescent="0.3">
      <c r="A712">
        <v>16</v>
      </c>
      <c r="B712">
        <v>22</v>
      </c>
      <c r="C712">
        <v>2</v>
      </c>
      <c r="D712">
        <v>3</v>
      </c>
      <c r="E712">
        <v>12</v>
      </c>
      <c r="F712">
        <v>0</v>
      </c>
      <c r="G712">
        <v>4</v>
      </c>
      <c r="H712" t="s">
        <v>35</v>
      </c>
      <c r="I712" t="s">
        <v>70</v>
      </c>
      <c r="J712">
        <v>614</v>
      </c>
      <c r="K712" s="3">
        <v>8.1999999999999993</v>
      </c>
      <c r="L712">
        <v>5034.7999999999902</v>
      </c>
    </row>
    <row r="713" spans="1:12" x14ac:dyDescent="0.3">
      <c r="A713">
        <v>12</v>
      </c>
      <c r="B713">
        <v>22</v>
      </c>
      <c r="C713">
        <v>2</v>
      </c>
      <c r="D713">
        <v>6</v>
      </c>
      <c r="E713">
        <v>1</v>
      </c>
      <c r="F713">
        <v>0</v>
      </c>
      <c r="G713">
        <v>7</v>
      </c>
      <c r="H713" t="s">
        <v>26</v>
      </c>
      <c r="I713" t="s">
        <v>107</v>
      </c>
      <c r="J713">
        <v>0</v>
      </c>
      <c r="K713" s="3">
        <v>8.5</v>
      </c>
      <c r="L713">
        <v>4445.5</v>
      </c>
    </row>
    <row r="714" spans="1:12" x14ac:dyDescent="0.3">
      <c r="A714">
        <v>8</v>
      </c>
      <c r="B714">
        <v>23</v>
      </c>
      <c r="C714">
        <v>0</v>
      </c>
      <c r="D714">
        <v>15</v>
      </c>
      <c r="E714">
        <v>1</v>
      </c>
      <c r="F714">
        <v>0</v>
      </c>
      <c r="G714">
        <v>8</v>
      </c>
      <c r="H714" t="s">
        <v>36</v>
      </c>
      <c r="I714" t="s">
        <v>85</v>
      </c>
      <c r="J714">
        <v>537</v>
      </c>
      <c r="K714" s="3">
        <v>8.8000000000000007</v>
      </c>
      <c r="L714">
        <v>4725.6000000000004</v>
      </c>
    </row>
    <row r="715" spans="1:12" x14ac:dyDescent="0.3">
      <c r="A715">
        <v>8</v>
      </c>
      <c r="B715">
        <v>23</v>
      </c>
      <c r="C715">
        <v>0</v>
      </c>
      <c r="D715">
        <v>8</v>
      </c>
      <c r="E715">
        <v>1</v>
      </c>
      <c r="F715">
        <v>0</v>
      </c>
      <c r="G715">
        <v>3</v>
      </c>
      <c r="H715" t="s">
        <v>32</v>
      </c>
      <c r="I715" t="s">
        <v>368</v>
      </c>
      <c r="J715">
        <v>292</v>
      </c>
      <c r="K715" s="3">
        <v>7.6</v>
      </c>
      <c r="L715">
        <v>0</v>
      </c>
    </row>
    <row r="716" spans="1:12" x14ac:dyDescent="0.3">
      <c r="A716">
        <v>22</v>
      </c>
      <c r="B716">
        <v>22</v>
      </c>
      <c r="C716">
        <v>3</v>
      </c>
      <c r="D716">
        <v>9</v>
      </c>
      <c r="E716">
        <v>0</v>
      </c>
      <c r="F716">
        <v>0</v>
      </c>
      <c r="G716">
        <v>2</v>
      </c>
      <c r="H716" t="s">
        <v>30</v>
      </c>
      <c r="I716" t="s">
        <v>92</v>
      </c>
      <c r="J716">
        <v>405</v>
      </c>
      <c r="K716" s="3">
        <v>9.1999999999999993</v>
      </c>
      <c r="L716">
        <v>3725.99999999999</v>
      </c>
    </row>
    <row r="717" spans="1:12" x14ac:dyDescent="0.3">
      <c r="A717">
        <v>0</v>
      </c>
      <c r="B717">
        <v>22</v>
      </c>
      <c r="C717">
        <v>2</v>
      </c>
      <c r="D717">
        <v>5</v>
      </c>
      <c r="E717">
        <v>1</v>
      </c>
      <c r="F717">
        <v>0</v>
      </c>
      <c r="G717">
        <v>5</v>
      </c>
      <c r="H717" t="s">
        <v>15</v>
      </c>
      <c r="I717" t="s">
        <v>73</v>
      </c>
      <c r="J717">
        <v>380</v>
      </c>
      <c r="K717" s="3">
        <v>8.3000000000000007</v>
      </c>
      <c r="L717">
        <v>3154</v>
      </c>
    </row>
    <row r="718" spans="1:12" x14ac:dyDescent="0.3">
      <c r="A718">
        <v>11</v>
      </c>
      <c r="B718">
        <v>23</v>
      </c>
      <c r="C718">
        <v>2</v>
      </c>
      <c r="D718">
        <v>15</v>
      </c>
      <c r="E718">
        <v>1</v>
      </c>
      <c r="F718">
        <v>0</v>
      </c>
      <c r="G718">
        <v>10</v>
      </c>
      <c r="H718" t="s">
        <v>17</v>
      </c>
      <c r="I718" t="s">
        <v>104</v>
      </c>
      <c r="J718">
        <v>668</v>
      </c>
      <c r="K718" s="3">
        <v>8.6999999999999993</v>
      </c>
      <c r="L718">
        <v>5811.5999999999904</v>
      </c>
    </row>
    <row r="719" spans="1:12" x14ac:dyDescent="0.3">
      <c r="A719">
        <v>16</v>
      </c>
      <c r="B719">
        <v>23</v>
      </c>
      <c r="C719">
        <v>2</v>
      </c>
      <c r="D719">
        <v>5</v>
      </c>
      <c r="E719">
        <v>1</v>
      </c>
      <c r="F719">
        <v>0</v>
      </c>
      <c r="G719">
        <v>7</v>
      </c>
      <c r="H719" t="s">
        <v>19</v>
      </c>
      <c r="I719" t="s">
        <v>95</v>
      </c>
      <c r="J719">
        <v>462</v>
      </c>
      <c r="K719" s="3">
        <v>8.9</v>
      </c>
      <c r="L719">
        <v>0</v>
      </c>
    </row>
    <row r="720" spans="1:12" x14ac:dyDescent="0.3">
      <c r="A720">
        <v>23</v>
      </c>
      <c r="B720">
        <v>22</v>
      </c>
      <c r="C720">
        <v>3</v>
      </c>
      <c r="D720">
        <v>20</v>
      </c>
      <c r="E720">
        <v>12</v>
      </c>
      <c r="F720">
        <v>0</v>
      </c>
      <c r="G720">
        <v>0</v>
      </c>
      <c r="H720" t="s">
        <v>26</v>
      </c>
      <c r="I720" t="s">
        <v>96</v>
      </c>
      <c r="J720">
        <v>0</v>
      </c>
      <c r="K720" s="3">
        <v>8.5</v>
      </c>
      <c r="L720">
        <v>6417.5</v>
      </c>
    </row>
    <row r="721" spans="1:12" x14ac:dyDescent="0.3">
      <c r="A721">
        <v>5</v>
      </c>
      <c r="B721">
        <v>23</v>
      </c>
      <c r="C721">
        <v>0</v>
      </c>
      <c r="D721">
        <v>11</v>
      </c>
      <c r="E721">
        <v>1</v>
      </c>
      <c r="F721">
        <v>0</v>
      </c>
      <c r="G721">
        <v>10</v>
      </c>
      <c r="H721" t="s">
        <v>21</v>
      </c>
      <c r="I721" t="s">
        <v>82</v>
      </c>
      <c r="J721">
        <v>547</v>
      </c>
      <c r="K721" s="3">
        <v>8.6999999999999993</v>
      </c>
      <c r="L721">
        <v>4758.8999999999996</v>
      </c>
    </row>
    <row r="722" spans="1:12" x14ac:dyDescent="0.3">
      <c r="A722">
        <v>19</v>
      </c>
      <c r="B722">
        <v>23</v>
      </c>
      <c r="C722">
        <v>1</v>
      </c>
      <c r="D722">
        <v>21</v>
      </c>
      <c r="E722">
        <v>0</v>
      </c>
      <c r="F722">
        <v>0</v>
      </c>
      <c r="G722">
        <v>11</v>
      </c>
      <c r="H722" t="s">
        <v>39</v>
      </c>
      <c r="I722" t="s">
        <v>93</v>
      </c>
      <c r="J722">
        <v>725</v>
      </c>
      <c r="K722" s="3">
        <v>8.8000000000000007</v>
      </c>
      <c r="L722">
        <v>6380</v>
      </c>
    </row>
    <row r="723" spans="1:12" x14ac:dyDescent="0.3">
      <c r="A723">
        <v>17</v>
      </c>
      <c r="B723">
        <v>22</v>
      </c>
      <c r="C723">
        <v>1</v>
      </c>
      <c r="D723">
        <v>18</v>
      </c>
      <c r="E723">
        <v>1</v>
      </c>
      <c r="F723">
        <v>0</v>
      </c>
      <c r="G723">
        <v>2</v>
      </c>
      <c r="H723" t="s">
        <v>20</v>
      </c>
      <c r="I723" t="s">
        <v>79</v>
      </c>
      <c r="J723">
        <v>463</v>
      </c>
      <c r="K723" s="3">
        <v>9.1</v>
      </c>
      <c r="L723">
        <v>4213.3</v>
      </c>
    </row>
    <row r="724" spans="1:12" x14ac:dyDescent="0.3">
      <c r="A724">
        <v>15</v>
      </c>
      <c r="B724">
        <v>23</v>
      </c>
      <c r="C724">
        <v>0</v>
      </c>
      <c r="D724">
        <v>22</v>
      </c>
      <c r="E724">
        <v>1</v>
      </c>
      <c r="F724">
        <v>0</v>
      </c>
      <c r="G724">
        <v>4</v>
      </c>
      <c r="H724" t="s">
        <v>25</v>
      </c>
      <c r="I724" t="s">
        <v>104</v>
      </c>
      <c r="J724">
        <v>505</v>
      </c>
      <c r="K724" s="3">
        <v>8.1</v>
      </c>
      <c r="L724">
        <v>0</v>
      </c>
    </row>
    <row r="725" spans="1:12" x14ac:dyDescent="0.3">
      <c r="A725">
        <v>12</v>
      </c>
      <c r="B725">
        <v>23</v>
      </c>
      <c r="C725">
        <v>1</v>
      </c>
      <c r="D725">
        <v>7</v>
      </c>
      <c r="E725">
        <v>1</v>
      </c>
      <c r="F725">
        <v>0</v>
      </c>
      <c r="G725">
        <v>9</v>
      </c>
      <c r="H725" t="s">
        <v>23</v>
      </c>
      <c r="I725" t="s">
        <v>90</v>
      </c>
      <c r="J725">
        <v>459</v>
      </c>
      <c r="K725" s="3">
        <v>0</v>
      </c>
      <c r="L725">
        <v>3855.6</v>
      </c>
    </row>
    <row r="726" spans="1:12" x14ac:dyDescent="0.3">
      <c r="A726">
        <v>17</v>
      </c>
      <c r="B726">
        <v>23</v>
      </c>
      <c r="C726">
        <v>0</v>
      </c>
      <c r="D726">
        <v>17</v>
      </c>
      <c r="E726">
        <v>1</v>
      </c>
      <c r="F726">
        <v>0</v>
      </c>
      <c r="G726">
        <v>5</v>
      </c>
      <c r="H726" t="s">
        <v>22</v>
      </c>
      <c r="I726" t="s">
        <v>70</v>
      </c>
      <c r="J726">
        <v>493</v>
      </c>
      <c r="K726">
        <v>7.8</v>
      </c>
      <c r="L726">
        <v>3845.4</v>
      </c>
    </row>
    <row r="727" spans="1:12" x14ac:dyDescent="0.3">
      <c r="A727">
        <v>6</v>
      </c>
      <c r="B727">
        <v>20</v>
      </c>
      <c r="C727">
        <v>3</v>
      </c>
      <c r="D727">
        <v>20</v>
      </c>
      <c r="E727">
        <v>1</v>
      </c>
      <c r="F727">
        <v>0</v>
      </c>
      <c r="G727">
        <v>8</v>
      </c>
      <c r="H727" t="s">
        <v>25</v>
      </c>
      <c r="I727" t="s">
        <v>102</v>
      </c>
      <c r="J727">
        <v>0</v>
      </c>
      <c r="K727" s="3">
        <v>8.1</v>
      </c>
      <c r="L727">
        <v>4220.0999999999904</v>
      </c>
    </row>
    <row r="728" spans="1:12" x14ac:dyDescent="0.3">
      <c r="A728">
        <v>8</v>
      </c>
      <c r="B728">
        <v>22</v>
      </c>
      <c r="C728">
        <v>0</v>
      </c>
      <c r="D728">
        <v>3</v>
      </c>
      <c r="E728">
        <v>1</v>
      </c>
      <c r="F728">
        <v>0</v>
      </c>
      <c r="G728">
        <v>5</v>
      </c>
      <c r="H728" t="s">
        <v>60</v>
      </c>
      <c r="I728" t="s">
        <v>84</v>
      </c>
      <c r="J728">
        <v>331</v>
      </c>
      <c r="K728" s="3">
        <v>9.1</v>
      </c>
      <c r="L728">
        <v>3012.1</v>
      </c>
    </row>
    <row r="729" spans="1:12" x14ac:dyDescent="0.3">
      <c r="A729">
        <v>14</v>
      </c>
      <c r="B729">
        <v>22</v>
      </c>
      <c r="C729">
        <v>2</v>
      </c>
      <c r="D729">
        <v>14</v>
      </c>
      <c r="E729">
        <v>1</v>
      </c>
      <c r="F729">
        <v>0</v>
      </c>
      <c r="G729">
        <v>9</v>
      </c>
      <c r="H729" t="s">
        <v>33</v>
      </c>
      <c r="I729" t="s">
        <v>79</v>
      </c>
      <c r="J729">
        <v>647</v>
      </c>
      <c r="K729">
        <v>9.3000000000000007</v>
      </c>
      <c r="L729">
        <v>6017.1</v>
      </c>
    </row>
    <row r="730" spans="1:12" x14ac:dyDescent="0.3">
      <c r="A730">
        <v>0</v>
      </c>
      <c r="B730">
        <v>23</v>
      </c>
      <c r="C730">
        <v>0</v>
      </c>
      <c r="D730">
        <v>3</v>
      </c>
      <c r="E730">
        <v>12</v>
      </c>
      <c r="F730">
        <v>0</v>
      </c>
      <c r="G730">
        <v>6</v>
      </c>
      <c r="H730" t="s">
        <v>16</v>
      </c>
      <c r="I730" t="s">
        <v>368</v>
      </c>
      <c r="J730">
        <v>491</v>
      </c>
      <c r="K730" s="3">
        <v>8.9</v>
      </c>
      <c r="L730">
        <v>4369.8999999999996</v>
      </c>
    </row>
    <row r="731" spans="1:12" x14ac:dyDescent="0.3">
      <c r="A731">
        <v>20</v>
      </c>
      <c r="B731">
        <v>23</v>
      </c>
      <c r="C731">
        <v>3</v>
      </c>
      <c r="D731">
        <v>5</v>
      </c>
      <c r="E731">
        <v>1</v>
      </c>
      <c r="F731">
        <v>0</v>
      </c>
      <c r="G731">
        <v>3</v>
      </c>
      <c r="H731" t="s">
        <v>49</v>
      </c>
      <c r="I731" t="s">
        <v>84</v>
      </c>
      <c r="J731">
        <v>656</v>
      </c>
      <c r="K731" s="3" t="s">
        <v>143</v>
      </c>
      <c r="L731">
        <v>5576</v>
      </c>
    </row>
    <row r="732" spans="1:12" x14ac:dyDescent="0.3">
      <c r="A732">
        <v>22</v>
      </c>
      <c r="B732">
        <v>23</v>
      </c>
      <c r="C732">
        <v>3</v>
      </c>
      <c r="D732">
        <v>20</v>
      </c>
      <c r="E732">
        <v>1</v>
      </c>
      <c r="F732">
        <v>0</v>
      </c>
      <c r="G732">
        <v>12</v>
      </c>
      <c r="H732" t="s">
        <v>38</v>
      </c>
      <c r="I732" t="s">
        <v>84</v>
      </c>
      <c r="J732">
        <v>655</v>
      </c>
      <c r="K732" s="3">
        <v>7.4</v>
      </c>
      <c r="L732">
        <v>4847</v>
      </c>
    </row>
    <row r="733" spans="1:12" x14ac:dyDescent="0.3">
      <c r="A733">
        <v>14</v>
      </c>
      <c r="B733">
        <v>23</v>
      </c>
      <c r="C733">
        <v>2</v>
      </c>
      <c r="D733">
        <v>18</v>
      </c>
      <c r="E733">
        <v>1</v>
      </c>
      <c r="F733">
        <v>0</v>
      </c>
      <c r="G733">
        <v>10</v>
      </c>
      <c r="H733" t="s">
        <v>53</v>
      </c>
      <c r="I733" t="s">
        <v>71</v>
      </c>
      <c r="J733">
        <v>0</v>
      </c>
      <c r="K733" s="3">
        <v>7.7</v>
      </c>
      <c r="L733">
        <v>4573.8</v>
      </c>
    </row>
    <row r="734" spans="1:12" x14ac:dyDescent="0.3">
      <c r="A734">
        <v>18</v>
      </c>
      <c r="B734">
        <v>22</v>
      </c>
      <c r="C734">
        <v>0</v>
      </c>
      <c r="D734">
        <v>13</v>
      </c>
      <c r="E734">
        <v>1</v>
      </c>
      <c r="F734">
        <v>0</v>
      </c>
      <c r="G734">
        <v>8</v>
      </c>
      <c r="H734" t="s">
        <v>23</v>
      </c>
      <c r="I734" t="s">
        <v>96</v>
      </c>
      <c r="J734">
        <v>0</v>
      </c>
      <c r="K734" s="3">
        <v>0</v>
      </c>
      <c r="L734">
        <v>4561.2</v>
      </c>
    </row>
    <row r="735" spans="1:12" x14ac:dyDescent="0.3">
      <c r="A735">
        <v>5</v>
      </c>
      <c r="B735">
        <v>18</v>
      </c>
      <c r="C735">
        <v>0</v>
      </c>
      <c r="D735">
        <v>9</v>
      </c>
      <c r="E735">
        <v>1</v>
      </c>
      <c r="F735">
        <v>0</v>
      </c>
      <c r="G735">
        <v>12</v>
      </c>
      <c r="H735" t="s">
        <v>53</v>
      </c>
      <c r="I735" t="s">
        <v>78</v>
      </c>
      <c r="J735">
        <v>386</v>
      </c>
      <c r="K735" s="3">
        <v>7.7</v>
      </c>
      <c r="L735">
        <v>2972.2</v>
      </c>
    </row>
    <row r="736" spans="1:12" x14ac:dyDescent="0.3">
      <c r="A736">
        <v>12</v>
      </c>
      <c r="B736">
        <v>22</v>
      </c>
      <c r="C736">
        <v>0</v>
      </c>
      <c r="D736">
        <v>6</v>
      </c>
      <c r="E736">
        <v>1</v>
      </c>
      <c r="F736">
        <v>0</v>
      </c>
      <c r="G736">
        <v>2</v>
      </c>
      <c r="H736" t="s">
        <v>21</v>
      </c>
      <c r="I736" t="s">
        <v>95</v>
      </c>
      <c r="J736">
        <v>0</v>
      </c>
      <c r="K736" s="3">
        <v>8.6999999999999993</v>
      </c>
      <c r="L736">
        <v>3784.49999999999</v>
      </c>
    </row>
    <row r="737" spans="1:12" x14ac:dyDescent="0.3">
      <c r="A737">
        <v>22</v>
      </c>
      <c r="B737">
        <v>22</v>
      </c>
      <c r="C737">
        <v>0</v>
      </c>
      <c r="D737">
        <v>11</v>
      </c>
      <c r="E737">
        <v>0</v>
      </c>
      <c r="F737">
        <v>0</v>
      </c>
      <c r="G737">
        <v>11</v>
      </c>
      <c r="H737" t="s">
        <v>21</v>
      </c>
      <c r="I737" t="s">
        <v>72</v>
      </c>
      <c r="J737">
        <v>600</v>
      </c>
      <c r="K737" s="3">
        <v>8.6999999999999993</v>
      </c>
      <c r="L737">
        <v>5220</v>
      </c>
    </row>
    <row r="738" spans="1:12" x14ac:dyDescent="0.3">
      <c r="A738">
        <v>9</v>
      </c>
      <c r="B738">
        <v>17</v>
      </c>
      <c r="C738">
        <v>3</v>
      </c>
      <c r="D738">
        <v>5</v>
      </c>
      <c r="E738">
        <v>7</v>
      </c>
      <c r="F738">
        <v>0</v>
      </c>
      <c r="G738">
        <v>0</v>
      </c>
      <c r="H738" t="s">
        <v>23</v>
      </c>
      <c r="I738" t="s">
        <v>109</v>
      </c>
      <c r="J738">
        <v>502</v>
      </c>
      <c r="K738" s="3">
        <v>0</v>
      </c>
      <c r="L738">
        <v>0</v>
      </c>
    </row>
    <row r="739" spans="1:12" x14ac:dyDescent="0.3">
      <c r="A739">
        <v>0</v>
      </c>
      <c r="B739">
        <v>23</v>
      </c>
      <c r="C739">
        <v>0</v>
      </c>
      <c r="D739">
        <v>3</v>
      </c>
      <c r="E739">
        <v>1</v>
      </c>
      <c r="F739">
        <v>0</v>
      </c>
      <c r="G739">
        <v>9</v>
      </c>
      <c r="H739" t="s">
        <v>53</v>
      </c>
      <c r="I739" t="s">
        <v>105</v>
      </c>
      <c r="J739">
        <v>554</v>
      </c>
      <c r="K739" s="3">
        <v>7.7</v>
      </c>
      <c r="L739">
        <v>4265.8</v>
      </c>
    </row>
    <row r="740" spans="1:12" x14ac:dyDescent="0.3">
      <c r="A740">
        <v>15</v>
      </c>
      <c r="B740">
        <v>23</v>
      </c>
      <c r="C740">
        <v>2</v>
      </c>
      <c r="D740">
        <v>19</v>
      </c>
      <c r="E740">
        <v>1</v>
      </c>
      <c r="F740">
        <v>0</v>
      </c>
      <c r="G740">
        <v>7</v>
      </c>
      <c r="H740" t="s">
        <v>60</v>
      </c>
      <c r="I740" t="s">
        <v>90</v>
      </c>
      <c r="J740">
        <v>731</v>
      </c>
      <c r="K740" s="3">
        <v>9.1</v>
      </c>
      <c r="L740">
        <v>6652.0999999999904</v>
      </c>
    </row>
    <row r="741" spans="1:12" x14ac:dyDescent="0.3">
      <c r="A741">
        <v>13</v>
      </c>
      <c r="B741">
        <v>0</v>
      </c>
      <c r="C741">
        <v>0</v>
      </c>
      <c r="D741">
        <v>10</v>
      </c>
      <c r="E741">
        <v>12</v>
      </c>
      <c r="F741">
        <v>0</v>
      </c>
      <c r="G741">
        <v>7</v>
      </c>
      <c r="H741" t="s">
        <v>26</v>
      </c>
      <c r="I741" t="s">
        <v>85</v>
      </c>
      <c r="J741">
        <v>615</v>
      </c>
      <c r="K741" s="3">
        <v>8.5</v>
      </c>
      <c r="L741">
        <v>5227.5</v>
      </c>
    </row>
    <row r="742" spans="1:12" x14ac:dyDescent="0.3">
      <c r="A742">
        <v>8</v>
      </c>
      <c r="B742">
        <v>20</v>
      </c>
      <c r="C742">
        <v>1</v>
      </c>
      <c r="D742">
        <v>7</v>
      </c>
      <c r="E742">
        <v>1</v>
      </c>
      <c r="F742">
        <v>0</v>
      </c>
      <c r="G742">
        <v>11</v>
      </c>
      <c r="H742" t="s">
        <v>26</v>
      </c>
      <c r="I742" t="s">
        <v>76</v>
      </c>
      <c r="J742">
        <v>474</v>
      </c>
      <c r="K742">
        <v>8.5</v>
      </c>
      <c r="L742">
        <v>4029</v>
      </c>
    </row>
    <row r="743" spans="1:12" x14ac:dyDescent="0.3">
      <c r="A743">
        <v>18</v>
      </c>
      <c r="B743">
        <v>22</v>
      </c>
      <c r="C743">
        <v>0</v>
      </c>
      <c r="D743">
        <v>6</v>
      </c>
      <c r="E743">
        <v>1</v>
      </c>
      <c r="F743">
        <v>0</v>
      </c>
      <c r="G743">
        <v>7</v>
      </c>
      <c r="H743" t="s">
        <v>369</v>
      </c>
      <c r="I743" t="s">
        <v>96</v>
      </c>
      <c r="J743">
        <v>328</v>
      </c>
      <c r="K743" s="3">
        <v>7.4</v>
      </c>
      <c r="L743">
        <v>2427.1999999999998</v>
      </c>
    </row>
    <row r="744" spans="1:12" x14ac:dyDescent="0.3">
      <c r="A744">
        <v>5</v>
      </c>
      <c r="B744">
        <v>17</v>
      </c>
      <c r="C744">
        <v>0</v>
      </c>
      <c r="D744">
        <v>7</v>
      </c>
      <c r="E744">
        <v>1</v>
      </c>
      <c r="F744">
        <v>0</v>
      </c>
      <c r="G744">
        <v>8</v>
      </c>
      <c r="H744" t="s">
        <v>369</v>
      </c>
      <c r="I744" t="s">
        <v>88</v>
      </c>
      <c r="J744">
        <v>411</v>
      </c>
      <c r="K744" s="3">
        <v>8.9</v>
      </c>
      <c r="L744">
        <v>3657.9</v>
      </c>
    </row>
    <row r="745" spans="1:12" x14ac:dyDescent="0.3">
      <c r="A745">
        <v>19</v>
      </c>
      <c r="B745">
        <v>23</v>
      </c>
      <c r="C745">
        <v>1</v>
      </c>
      <c r="D745">
        <v>4</v>
      </c>
      <c r="E745">
        <v>1</v>
      </c>
      <c r="F745">
        <v>0</v>
      </c>
      <c r="G745">
        <v>3</v>
      </c>
      <c r="H745" t="s">
        <v>21</v>
      </c>
      <c r="I745" t="s">
        <v>75</v>
      </c>
      <c r="J745">
        <v>596</v>
      </c>
      <c r="K745" s="3">
        <v>8.6999999999999993</v>
      </c>
      <c r="L745">
        <v>5185.2</v>
      </c>
    </row>
    <row r="746" spans="1:12" x14ac:dyDescent="0.3">
      <c r="A746">
        <v>18</v>
      </c>
      <c r="B746">
        <v>22</v>
      </c>
      <c r="C746">
        <v>2</v>
      </c>
      <c r="D746">
        <v>6</v>
      </c>
      <c r="E746">
        <v>1</v>
      </c>
      <c r="F746">
        <v>0</v>
      </c>
      <c r="G746">
        <v>12</v>
      </c>
      <c r="H746" t="s">
        <v>24</v>
      </c>
      <c r="I746" t="s">
        <v>91</v>
      </c>
      <c r="J746">
        <v>423</v>
      </c>
      <c r="K746" s="3">
        <v>7.9</v>
      </c>
      <c r="L746">
        <v>3341.7</v>
      </c>
    </row>
    <row r="747" spans="1:12" x14ac:dyDescent="0.3">
      <c r="A747">
        <v>15</v>
      </c>
      <c r="B747">
        <v>22</v>
      </c>
      <c r="C747">
        <v>0</v>
      </c>
      <c r="D747">
        <v>21</v>
      </c>
      <c r="E747">
        <v>1</v>
      </c>
      <c r="F747">
        <v>0</v>
      </c>
      <c r="G747">
        <v>5</v>
      </c>
      <c r="H747" t="s">
        <v>57</v>
      </c>
      <c r="I747" t="s">
        <v>76</v>
      </c>
      <c r="J747">
        <v>477</v>
      </c>
      <c r="K747" s="3">
        <v>9.1999999999999993</v>
      </c>
      <c r="L747">
        <v>4388.3999999999996</v>
      </c>
    </row>
    <row r="748" spans="1:12" x14ac:dyDescent="0.3">
      <c r="A748">
        <v>7</v>
      </c>
      <c r="B748">
        <v>23</v>
      </c>
      <c r="C748">
        <v>0</v>
      </c>
      <c r="D748">
        <v>7</v>
      </c>
      <c r="E748">
        <v>1</v>
      </c>
      <c r="F748">
        <v>0</v>
      </c>
      <c r="G748">
        <v>7</v>
      </c>
      <c r="H748" t="s">
        <v>30</v>
      </c>
      <c r="I748" t="s">
        <v>70</v>
      </c>
      <c r="J748">
        <v>414</v>
      </c>
      <c r="K748" s="3">
        <v>9.1999999999999993</v>
      </c>
      <c r="L748">
        <v>3808.7999999999902</v>
      </c>
    </row>
    <row r="749" spans="1:12" x14ac:dyDescent="0.3">
      <c r="A749">
        <v>12</v>
      </c>
      <c r="B749">
        <v>22</v>
      </c>
      <c r="C749">
        <v>2</v>
      </c>
      <c r="D749">
        <v>11</v>
      </c>
      <c r="E749">
        <v>1</v>
      </c>
      <c r="F749">
        <v>0</v>
      </c>
      <c r="G749">
        <v>3</v>
      </c>
      <c r="H749" t="s">
        <v>49</v>
      </c>
      <c r="I749" t="s">
        <v>77</v>
      </c>
      <c r="J749">
        <v>438</v>
      </c>
      <c r="K749" s="3">
        <v>8.5</v>
      </c>
      <c r="L749">
        <v>3723</v>
      </c>
    </row>
    <row r="750" spans="1:12" x14ac:dyDescent="0.3">
      <c r="A750">
        <v>10</v>
      </c>
      <c r="B750">
        <v>17</v>
      </c>
      <c r="C750">
        <v>0</v>
      </c>
      <c r="D750">
        <v>0</v>
      </c>
      <c r="E750">
        <v>1</v>
      </c>
      <c r="F750">
        <v>0</v>
      </c>
      <c r="G750">
        <v>10</v>
      </c>
      <c r="H750" t="s">
        <v>369</v>
      </c>
      <c r="I750" t="s">
        <v>73</v>
      </c>
      <c r="J750">
        <v>175</v>
      </c>
      <c r="K750" s="3">
        <v>7.7</v>
      </c>
      <c r="L750">
        <v>1347.5</v>
      </c>
    </row>
    <row r="751" spans="1:12" x14ac:dyDescent="0.3">
      <c r="A751">
        <v>15</v>
      </c>
      <c r="B751">
        <v>0</v>
      </c>
      <c r="C751">
        <v>3</v>
      </c>
      <c r="D751">
        <v>10</v>
      </c>
      <c r="E751">
        <v>1</v>
      </c>
      <c r="F751">
        <v>0</v>
      </c>
      <c r="G751">
        <v>12</v>
      </c>
      <c r="H751" t="s">
        <v>37</v>
      </c>
      <c r="I751" t="s">
        <v>78</v>
      </c>
      <c r="J751">
        <v>576</v>
      </c>
      <c r="K751" s="3">
        <v>8.3000000000000007</v>
      </c>
      <c r="L751">
        <v>4780.8</v>
      </c>
    </row>
    <row r="752" spans="1:12" x14ac:dyDescent="0.3">
      <c r="A752">
        <v>6</v>
      </c>
      <c r="B752">
        <v>22</v>
      </c>
      <c r="C752">
        <v>3</v>
      </c>
      <c r="D752">
        <v>10</v>
      </c>
      <c r="E752">
        <v>1</v>
      </c>
      <c r="F752">
        <v>0</v>
      </c>
      <c r="G752">
        <v>1</v>
      </c>
      <c r="H752" t="s">
        <v>30</v>
      </c>
      <c r="I752" t="s">
        <v>70</v>
      </c>
      <c r="J752">
        <v>437</v>
      </c>
      <c r="K752" s="3">
        <v>9.1999999999999993</v>
      </c>
      <c r="L752">
        <v>4020.3999999999901</v>
      </c>
    </row>
    <row r="753" spans="1:12" x14ac:dyDescent="0.3">
      <c r="A753">
        <v>15</v>
      </c>
      <c r="B753">
        <v>23</v>
      </c>
      <c r="C753">
        <v>1</v>
      </c>
      <c r="D753">
        <v>3</v>
      </c>
      <c r="E753">
        <v>1</v>
      </c>
      <c r="F753">
        <v>0</v>
      </c>
      <c r="G753">
        <v>10</v>
      </c>
      <c r="H753" t="s">
        <v>36</v>
      </c>
      <c r="I753" t="s">
        <v>85</v>
      </c>
      <c r="J753">
        <v>510</v>
      </c>
      <c r="K753" s="3">
        <v>8.8000000000000007</v>
      </c>
      <c r="L753">
        <v>4488</v>
      </c>
    </row>
    <row r="754" spans="1:12" x14ac:dyDescent="0.3">
      <c r="A754">
        <v>5</v>
      </c>
      <c r="B754">
        <v>17</v>
      </c>
      <c r="C754">
        <v>2</v>
      </c>
      <c r="D754">
        <v>8</v>
      </c>
      <c r="E754">
        <v>1</v>
      </c>
      <c r="F754">
        <v>0</v>
      </c>
      <c r="G754">
        <v>10</v>
      </c>
      <c r="H754" t="s">
        <v>35</v>
      </c>
      <c r="I754" t="s">
        <v>87</v>
      </c>
      <c r="J754">
        <v>258</v>
      </c>
      <c r="K754" s="3">
        <v>8.1999999999999993</v>
      </c>
      <c r="L754">
        <v>2115.6</v>
      </c>
    </row>
    <row r="755" spans="1:12" x14ac:dyDescent="0.3">
      <c r="A755">
        <v>11</v>
      </c>
      <c r="B755">
        <v>23</v>
      </c>
      <c r="C755">
        <v>2</v>
      </c>
      <c r="D755">
        <v>3</v>
      </c>
      <c r="E755">
        <v>0</v>
      </c>
      <c r="F755">
        <v>0</v>
      </c>
      <c r="G755">
        <v>10</v>
      </c>
      <c r="H755" t="s">
        <v>369</v>
      </c>
      <c r="I755" t="s">
        <v>76</v>
      </c>
      <c r="J755">
        <v>513</v>
      </c>
      <c r="K755" s="3">
        <v>7.8</v>
      </c>
      <c r="L755">
        <v>4001.4</v>
      </c>
    </row>
    <row r="756" spans="1:12" x14ac:dyDescent="0.3">
      <c r="A756">
        <v>7</v>
      </c>
      <c r="B756">
        <v>21</v>
      </c>
      <c r="C756">
        <v>0</v>
      </c>
      <c r="D756">
        <v>5</v>
      </c>
      <c r="E756">
        <v>1</v>
      </c>
      <c r="F756">
        <v>0</v>
      </c>
      <c r="G756">
        <v>1</v>
      </c>
      <c r="H756" t="s">
        <v>62</v>
      </c>
      <c r="I756" t="s">
        <v>85</v>
      </c>
      <c r="J756">
        <v>417</v>
      </c>
      <c r="K756" s="3">
        <v>8.5</v>
      </c>
      <c r="L756">
        <v>3544.5</v>
      </c>
    </row>
    <row r="757" spans="1:12" x14ac:dyDescent="0.3">
      <c r="A757">
        <v>7</v>
      </c>
      <c r="B757">
        <v>21</v>
      </c>
      <c r="C757">
        <v>0</v>
      </c>
      <c r="D757">
        <v>3</v>
      </c>
      <c r="E757">
        <v>1</v>
      </c>
      <c r="F757">
        <v>0</v>
      </c>
      <c r="G757">
        <v>12</v>
      </c>
      <c r="H757" t="s">
        <v>23</v>
      </c>
      <c r="I757" t="s">
        <v>74</v>
      </c>
      <c r="J757">
        <v>421</v>
      </c>
      <c r="K757" s="3">
        <v>8.4</v>
      </c>
      <c r="L757">
        <v>3536.4</v>
      </c>
    </row>
    <row r="758" spans="1:12" x14ac:dyDescent="0.3">
      <c r="A758">
        <v>13</v>
      </c>
      <c r="B758">
        <v>22</v>
      </c>
      <c r="C758">
        <v>2</v>
      </c>
      <c r="D758">
        <v>3</v>
      </c>
      <c r="E758">
        <v>1</v>
      </c>
      <c r="F758">
        <v>0</v>
      </c>
      <c r="G758">
        <v>11</v>
      </c>
      <c r="H758" t="s">
        <v>32</v>
      </c>
      <c r="I758" t="s">
        <v>77</v>
      </c>
      <c r="J758">
        <v>318</v>
      </c>
      <c r="K758" s="3">
        <v>7.6</v>
      </c>
      <c r="L758">
        <v>2416.7999999999902</v>
      </c>
    </row>
    <row r="759" spans="1:12" x14ac:dyDescent="0.3">
      <c r="A759">
        <v>16</v>
      </c>
      <c r="B759">
        <v>22</v>
      </c>
      <c r="C759">
        <v>3</v>
      </c>
      <c r="D759">
        <v>12</v>
      </c>
      <c r="E759">
        <v>1</v>
      </c>
      <c r="F759">
        <v>0</v>
      </c>
      <c r="G759">
        <v>4</v>
      </c>
      <c r="H759" t="s">
        <v>35</v>
      </c>
      <c r="I759" t="s">
        <v>95</v>
      </c>
      <c r="J759">
        <v>610</v>
      </c>
      <c r="K759" s="3">
        <v>0</v>
      </c>
      <c r="L759">
        <v>5002</v>
      </c>
    </row>
    <row r="760" spans="1:12" x14ac:dyDescent="0.3">
      <c r="A760">
        <v>8</v>
      </c>
      <c r="B760">
        <v>20</v>
      </c>
      <c r="C760">
        <v>2</v>
      </c>
      <c r="D760">
        <v>13</v>
      </c>
      <c r="E760">
        <v>1</v>
      </c>
      <c r="F760">
        <v>0</v>
      </c>
      <c r="G760">
        <v>11</v>
      </c>
      <c r="H760" t="s">
        <v>24</v>
      </c>
      <c r="I760" t="s">
        <v>92</v>
      </c>
      <c r="J760">
        <v>364</v>
      </c>
      <c r="K760" s="3">
        <v>7.9</v>
      </c>
      <c r="L760">
        <v>2875.6</v>
      </c>
    </row>
    <row r="761" spans="1:12" x14ac:dyDescent="0.3">
      <c r="A761">
        <v>8</v>
      </c>
      <c r="B761">
        <v>17</v>
      </c>
      <c r="C761">
        <v>1</v>
      </c>
      <c r="D761">
        <v>4</v>
      </c>
      <c r="E761">
        <v>7</v>
      </c>
      <c r="F761">
        <v>0</v>
      </c>
      <c r="G761">
        <v>0</v>
      </c>
      <c r="H761" t="s">
        <v>24</v>
      </c>
      <c r="I761" t="s">
        <v>91</v>
      </c>
      <c r="J761">
        <v>460</v>
      </c>
      <c r="K761" s="3">
        <v>7.9</v>
      </c>
      <c r="L761">
        <v>3634</v>
      </c>
    </row>
    <row r="762" spans="1:12" x14ac:dyDescent="0.3">
      <c r="A762">
        <v>12</v>
      </c>
      <c r="B762">
        <v>22</v>
      </c>
      <c r="C762">
        <v>3</v>
      </c>
      <c r="D762">
        <v>14</v>
      </c>
      <c r="E762">
        <v>1</v>
      </c>
      <c r="F762">
        <v>0</v>
      </c>
      <c r="G762">
        <v>0</v>
      </c>
      <c r="H762" t="s">
        <v>33</v>
      </c>
      <c r="I762" t="s">
        <v>79</v>
      </c>
      <c r="J762">
        <v>643</v>
      </c>
      <c r="K762" s="3">
        <v>9.3000000000000007</v>
      </c>
      <c r="L762">
        <v>5979.9</v>
      </c>
    </row>
    <row r="763" spans="1:12" x14ac:dyDescent="0.3">
      <c r="A763">
        <v>5</v>
      </c>
      <c r="B763">
        <v>21</v>
      </c>
      <c r="C763">
        <v>3</v>
      </c>
      <c r="D763">
        <v>13</v>
      </c>
      <c r="E763">
        <v>7</v>
      </c>
      <c r="F763">
        <v>0</v>
      </c>
      <c r="G763">
        <v>9</v>
      </c>
      <c r="H763" t="s">
        <v>24</v>
      </c>
      <c r="I763" t="s">
        <v>90</v>
      </c>
      <c r="J763">
        <v>589</v>
      </c>
      <c r="K763" s="3">
        <v>7.9</v>
      </c>
      <c r="L763">
        <v>4653.1000000000004</v>
      </c>
    </row>
    <row r="764" spans="1:12" x14ac:dyDescent="0.3">
      <c r="A764">
        <v>16</v>
      </c>
      <c r="B764">
        <v>23</v>
      </c>
      <c r="C764">
        <v>0</v>
      </c>
      <c r="D764">
        <v>6</v>
      </c>
      <c r="E764">
        <v>1</v>
      </c>
      <c r="F764">
        <v>0</v>
      </c>
      <c r="G764">
        <v>12</v>
      </c>
      <c r="H764" t="s">
        <v>369</v>
      </c>
      <c r="I764" t="s">
        <v>93</v>
      </c>
      <c r="J764">
        <v>490</v>
      </c>
      <c r="K764" s="3">
        <v>7.7</v>
      </c>
      <c r="L764">
        <v>3773</v>
      </c>
    </row>
    <row r="765" spans="1:12" x14ac:dyDescent="0.3">
      <c r="A765">
        <v>14</v>
      </c>
      <c r="B765">
        <v>22</v>
      </c>
      <c r="C765">
        <v>0</v>
      </c>
      <c r="D765">
        <v>13</v>
      </c>
      <c r="E765">
        <v>1</v>
      </c>
      <c r="F765">
        <v>0</v>
      </c>
      <c r="G765">
        <v>12</v>
      </c>
      <c r="H765" t="s">
        <v>15</v>
      </c>
      <c r="I765" t="s">
        <v>82</v>
      </c>
      <c r="J765">
        <v>485</v>
      </c>
      <c r="K765" s="3">
        <v>8.3000000000000007</v>
      </c>
      <c r="L765">
        <v>4025.5</v>
      </c>
    </row>
    <row r="766" spans="1:12" x14ac:dyDescent="0.3">
      <c r="A766">
        <v>9</v>
      </c>
      <c r="B766">
        <v>19</v>
      </c>
      <c r="C766">
        <v>1</v>
      </c>
      <c r="D766">
        <v>12</v>
      </c>
      <c r="E766">
        <v>1</v>
      </c>
      <c r="F766">
        <v>0</v>
      </c>
      <c r="G766">
        <v>1</v>
      </c>
      <c r="H766" t="s">
        <v>38</v>
      </c>
      <c r="I766" t="s">
        <v>94</v>
      </c>
      <c r="J766">
        <v>472</v>
      </c>
      <c r="K766" s="3">
        <v>7.4</v>
      </c>
      <c r="L766">
        <v>3492.8</v>
      </c>
    </row>
    <row r="767" spans="1:12" x14ac:dyDescent="0.3">
      <c r="A767">
        <v>22</v>
      </c>
      <c r="B767">
        <v>0</v>
      </c>
      <c r="C767">
        <v>3</v>
      </c>
      <c r="D767">
        <v>3</v>
      </c>
      <c r="E767">
        <v>1</v>
      </c>
      <c r="F767">
        <v>0</v>
      </c>
      <c r="G767">
        <v>3</v>
      </c>
      <c r="H767" t="s">
        <v>16</v>
      </c>
      <c r="I767" t="s">
        <v>71</v>
      </c>
      <c r="J767">
        <v>392</v>
      </c>
      <c r="K767" s="3">
        <v>8.9</v>
      </c>
      <c r="L767">
        <v>3488.8</v>
      </c>
    </row>
    <row r="768" spans="1:12" x14ac:dyDescent="0.3">
      <c r="A768">
        <v>13</v>
      </c>
      <c r="B768">
        <v>22</v>
      </c>
      <c r="C768">
        <v>2</v>
      </c>
      <c r="D768">
        <v>21</v>
      </c>
      <c r="E768">
        <v>1</v>
      </c>
      <c r="F768">
        <v>0</v>
      </c>
      <c r="G768">
        <v>4</v>
      </c>
      <c r="H768" t="s">
        <v>23</v>
      </c>
      <c r="I768" t="s">
        <v>82</v>
      </c>
      <c r="J768">
        <v>546</v>
      </c>
      <c r="K768" s="3">
        <v>8.4</v>
      </c>
      <c r="L768">
        <v>4586.3999999999996</v>
      </c>
    </row>
    <row r="769" spans="1:12" x14ac:dyDescent="0.3">
      <c r="A769">
        <v>23</v>
      </c>
      <c r="B769">
        <v>22</v>
      </c>
      <c r="C769">
        <v>3</v>
      </c>
      <c r="D769">
        <v>20</v>
      </c>
      <c r="E769">
        <v>1</v>
      </c>
      <c r="F769">
        <v>0</v>
      </c>
      <c r="G769">
        <v>7</v>
      </c>
      <c r="H769" t="s">
        <v>19</v>
      </c>
      <c r="I769" t="s">
        <v>92</v>
      </c>
      <c r="J769">
        <v>629</v>
      </c>
      <c r="K769" s="3">
        <v>0</v>
      </c>
      <c r="L769">
        <v>5598.1</v>
      </c>
    </row>
    <row r="770" spans="1:12" x14ac:dyDescent="0.3">
      <c r="A770">
        <v>20</v>
      </c>
      <c r="B770">
        <v>22</v>
      </c>
      <c r="C770">
        <v>3</v>
      </c>
      <c r="D770">
        <v>11</v>
      </c>
      <c r="E770">
        <v>1</v>
      </c>
      <c r="F770">
        <v>0</v>
      </c>
      <c r="G770">
        <v>8</v>
      </c>
      <c r="H770" t="s">
        <v>26</v>
      </c>
      <c r="I770" t="s">
        <v>127</v>
      </c>
      <c r="J770">
        <v>629</v>
      </c>
      <c r="K770" s="3">
        <v>8.5</v>
      </c>
      <c r="L770">
        <v>5346.5</v>
      </c>
    </row>
    <row r="771" spans="1:12" x14ac:dyDescent="0.3">
      <c r="A771">
        <v>12</v>
      </c>
      <c r="B771">
        <v>23</v>
      </c>
      <c r="C771">
        <v>0</v>
      </c>
      <c r="D771">
        <v>18</v>
      </c>
      <c r="E771">
        <v>1</v>
      </c>
      <c r="F771">
        <v>0</v>
      </c>
      <c r="G771">
        <v>3</v>
      </c>
      <c r="H771" t="s">
        <v>26</v>
      </c>
      <c r="I771" t="s">
        <v>73</v>
      </c>
      <c r="J771">
        <v>467</v>
      </c>
      <c r="K771" s="3">
        <v>8.5</v>
      </c>
      <c r="L771">
        <v>3969.5</v>
      </c>
    </row>
    <row r="772" spans="1:12" x14ac:dyDescent="0.3">
      <c r="A772">
        <v>7</v>
      </c>
      <c r="B772">
        <v>21</v>
      </c>
      <c r="C772">
        <v>3</v>
      </c>
      <c r="D772">
        <v>15</v>
      </c>
      <c r="E772">
        <v>1</v>
      </c>
      <c r="F772">
        <v>0</v>
      </c>
      <c r="G772">
        <v>12</v>
      </c>
      <c r="H772" t="s">
        <v>16</v>
      </c>
      <c r="I772" t="s">
        <v>95</v>
      </c>
      <c r="J772">
        <v>558</v>
      </c>
      <c r="K772" s="3">
        <v>8.9</v>
      </c>
      <c r="L772">
        <v>4966.2</v>
      </c>
    </row>
    <row r="773" spans="1:12" x14ac:dyDescent="0.3">
      <c r="A773">
        <v>20</v>
      </c>
      <c r="B773">
        <v>22</v>
      </c>
      <c r="C773">
        <v>0</v>
      </c>
      <c r="D773">
        <v>5</v>
      </c>
      <c r="E773">
        <v>1</v>
      </c>
      <c r="F773">
        <v>0</v>
      </c>
      <c r="G773">
        <v>12</v>
      </c>
      <c r="H773" t="s">
        <v>50</v>
      </c>
      <c r="I773" t="s">
        <v>91</v>
      </c>
      <c r="J773">
        <v>370</v>
      </c>
      <c r="K773" s="3">
        <v>9.3000000000000007</v>
      </c>
      <c r="L773">
        <v>3441</v>
      </c>
    </row>
    <row r="774" spans="1:12" x14ac:dyDescent="0.3">
      <c r="A774">
        <v>11</v>
      </c>
      <c r="B774">
        <v>22</v>
      </c>
      <c r="C774">
        <v>3</v>
      </c>
      <c r="D774">
        <v>14</v>
      </c>
      <c r="E774">
        <v>1</v>
      </c>
      <c r="F774">
        <v>0</v>
      </c>
      <c r="G774">
        <v>5</v>
      </c>
      <c r="H774" t="s">
        <v>61</v>
      </c>
      <c r="I774" t="s">
        <v>91</v>
      </c>
      <c r="J774">
        <v>427</v>
      </c>
      <c r="K774" s="3">
        <v>7.4</v>
      </c>
      <c r="L774">
        <v>3159.8</v>
      </c>
    </row>
    <row r="775" spans="1:12" x14ac:dyDescent="0.3">
      <c r="A775">
        <v>5</v>
      </c>
      <c r="B775">
        <v>23</v>
      </c>
      <c r="C775">
        <v>1</v>
      </c>
      <c r="D775">
        <v>11</v>
      </c>
      <c r="E775">
        <v>1</v>
      </c>
      <c r="F775">
        <v>0</v>
      </c>
      <c r="G775">
        <v>10</v>
      </c>
      <c r="H775" t="s">
        <v>15</v>
      </c>
      <c r="I775" t="s">
        <v>74</v>
      </c>
      <c r="J775">
        <v>571</v>
      </c>
      <c r="K775" s="3">
        <v>8.3000000000000007</v>
      </c>
      <c r="L775">
        <v>4739.3</v>
      </c>
    </row>
    <row r="776" spans="1:12" x14ac:dyDescent="0.3">
      <c r="A776">
        <v>13</v>
      </c>
      <c r="B776">
        <v>22</v>
      </c>
      <c r="C776">
        <v>0</v>
      </c>
      <c r="D776">
        <v>9</v>
      </c>
      <c r="E776">
        <v>1</v>
      </c>
      <c r="F776">
        <v>0</v>
      </c>
      <c r="G776">
        <v>5</v>
      </c>
      <c r="H776" t="s">
        <v>54</v>
      </c>
      <c r="I776" t="s">
        <v>91</v>
      </c>
      <c r="J776">
        <v>469</v>
      </c>
      <c r="K776" s="3">
        <v>9.1999999999999993</v>
      </c>
      <c r="L776">
        <v>4314.7999999999902</v>
      </c>
    </row>
    <row r="777" spans="1:12" x14ac:dyDescent="0.3">
      <c r="A777">
        <v>22</v>
      </c>
      <c r="B777">
        <v>22</v>
      </c>
      <c r="C777">
        <v>2</v>
      </c>
      <c r="D777">
        <v>11</v>
      </c>
      <c r="E777">
        <v>1</v>
      </c>
      <c r="F777">
        <v>0</v>
      </c>
      <c r="G777">
        <v>1</v>
      </c>
      <c r="H777" t="s">
        <v>34</v>
      </c>
      <c r="I777" t="s">
        <v>97</v>
      </c>
      <c r="J777">
        <v>473</v>
      </c>
      <c r="K777" s="3">
        <v>7.6</v>
      </c>
      <c r="L777">
        <v>3594.7999999999902</v>
      </c>
    </row>
    <row r="778" spans="1:12" x14ac:dyDescent="0.3">
      <c r="A778">
        <v>6</v>
      </c>
      <c r="B778">
        <v>19</v>
      </c>
      <c r="C778">
        <v>2</v>
      </c>
      <c r="D778">
        <v>22</v>
      </c>
      <c r="E778">
        <v>1</v>
      </c>
      <c r="F778">
        <v>0</v>
      </c>
      <c r="G778">
        <v>7</v>
      </c>
      <c r="H778" t="s">
        <v>31</v>
      </c>
      <c r="I778" t="s">
        <v>70</v>
      </c>
      <c r="J778">
        <v>428</v>
      </c>
      <c r="K778" s="3">
        <v>0</v>
      </c>
      <c r="L778">
        <v>3381.2</v>
      </c>
    </row>
    <row r="779" spans="1:12" x14ac:dyDescent="0.3">
      <c r="A779">
        <v>20</v>
      </c>
      <c r="B779">
        <v>23</v>
      </c>
      <c r="C779">
        <v>2</v>
      </c>
      <c r="D779">
        <v>20</v>
      </c>
      <c r="E779">
        <v>12</v>
      </c>
      <c r="F779">
        <v>0</v>
      </c>
      <c r="G779">
        <v>3</v>
      </c>
      <c r="H779" t="s">
        <v>36</v>
      </c>
      <c r="I779" t="s">
        <v>82</v>
      </c>
      <c r="J779">
        <v>884</v>
      </c>
      <c r="K779" s="3">
        <v>8.8000000000000007</v>
      </c>
      <c r="L779">
        <v>7779.2</v>
      </c>
    </row>
    <row r="780" spans="1:12" x14ac:dyDescent="0.3">
      <c r="A780">
        <v>23</v>
      </c>
      <c r="B780">
        <v>23</v>
      </c>
      <c r="C780">
        <v>0</v>
      </c>
      <c r="D780">
        <v>9</v>
      </c>
      <c r="E780">
        <v>1</v>
      </c>
      <c r="F780">
        <v>0</v>
      </c>
      <c r="G780">
        <v>4</v>
      </c>
      <c r="H780" t="s">
        <v>30</v>
      </c>
      <c r="I780" t="s">
        <v>121</v>
      </c>
      <c r="J780">
        <v>412</v>
      </c>
      <c r="K780" s="3">
        <v>9.1999999999999993</v>
      </c>
      <c r="L780">
        <v>3790.3999999999901</v>
      </c>
    </row>
    <row r="781" spans="1:12" x14ac:dyDescent="0.3">
      <c r="A781">
        <v>5</v>
      </c>
      <c r="B781">
        <v>21</v>
      </c>
      <c r="C781">
        <v>1</v>
      </c>
      <c r="D781">
        <v>17</v>
      </c>
      <c r="E781">
        <v>1</v>
      </c>
      <c r="F781">
        <v>0</v>
      </c>
      <c r="G781">
        <v>8</v>
      </c>
      <c r="H781" t="s">
        <v>40</v>
      </c>
      <c r="I781" t="s">
        <v>83</v>
      </c>
      <c r="J781">
        <v>507</v>
      </c>
      <c r="K781" s="3">
        <v>7.4</v>
      </c>
      <c r="L781">
        <v>3751.8</v>
      </c>
    </row>
    <row r="782" spans="1:12" x14ac:dyDescent="0.3">
      <c r="A782">
        <v>9</v>
      </c>
      <c r="B782">
        <v>20</v>
      </c>
      <c r="C782">
        <v>2</v>
      </c>
      <c r="D782">
        <v>9</v>
      </c>
      <c r="E782">
        <v>1</v>
      </c>
      <c r="F782">
        <v>0</v>
      </c>
      <c r="G782">
        <v>4</v>
      </c>
      <c r="H782" t="s">
        <v>36</v>
      </c>
      <c r="I782" t="s">
        <v>88</v>
      </c>
      <c r="J782">
        <v>281</v>
      </c>
      <c r="K782" s="3">
        <v>8.8000000000000007</v>
      </c>
      <c r="L782">
        <v>2472.8000000000002</v>
      </c>
    </row>
    <row r="783" spans="1:12" x14ac:dyDescent="0.3">
      <c r="A783">
        <v>14</v>
      </c>
      <c r="B783">
        <v>22</v>
      </c>
      <c r="C783">
        <v>2</v>
      </c>
      <c r="D783">
        <v>7</v>
      </c>
      <c r="E783">
        <v>1</v>
      </c>
      <c r="F783">
        <v>0</v>
      </c>
      <c r="G783">
        <v>2</v>
      </c>
      <c r="H783" t="s">
        <v>21</v>
      </c>
      <c r="I783" t="s">
        <v>104</v>
      </c>
      <c r="J783">
        <v>465</v>
      </c>
      <c r="K783" s="3">
        <v>8.6999999999999993</v>
      </c>
      <c r="L783">
        <v>4045.49999999999</v>
      </c>
    </row>
    <row r="784" spans="1:12" x14ac:dyDescent="0.3">
      <c r="A784">
        <v>20</v>
      </c>
      <c r="B784">
        <v>22</v>
      </c>
      <c r="C784">
        <v>2</v>
      </c>
      <c r="D784">
        <v>6</v>
      </c>
      <c r="E784">
        <v>1</v>
      </c>
      <c r="F784">
        <v>0</v>
      </c>
      <c r="G784">
        <v>10</v>
      </c>
      <c r="H784" t="s">
        <v>22</v>
      </c>
      <c r="I784" t="s">
        <v>368</v>
      </c>
      <c r="J784">
        <v>623</v>
      </c>
      <c r="K784" s="3">
        <v>7.8</v>
      </c>
      <c r="L784">
        <v>4859.3999999999996</v>
      </c>
    </row>
    <row r="785" spans="1:12" x14ac:dyDescent="0.3">
      <c r="A785">
        <v>10</v>
      </c>
      <c r="B785">
        <v>19</v>
      </c>
      <c r="C785">
        <v>0</v>
      </c>
      <c r="D785">
        <v>22</v>
      </c>
      <c r="E785">
        <v>1</v>
      </c>
      <c r="F785">
        <v>0</v>
      </c>
      <c r="G785">
        <v>1</v>
      </c>
      <c r="H785" t="s">
        <v>35</v>
      </c>
      <c r="I785" t="s">
        <v>79</v>
      </c>
      <c r="J785">
        <v>383</v>
      </c>
      <c r="K785" s="3">
        <v>8.1999999999999993</v>
      </c>
      <c r="L785">
        <v>3140.6</v>
      </c>
    </row>
    <row r="786" spans="1:12" x14ac:dyDescent="0.3">
      <c r="A786">
        <v>0</v>
      </c>
      <c r="B786">
        <v>23</v>
      </c>
      <c r="C786">
        <v>0</v>
      </c>
      <c r="D786">
        <v>7</v>
      </c>
      <c r="E786">
        <v>1</v>
      </c>
      <c r="F786">
        <v>0</v>
      </c>
      <c r="G786">
        <v>4</v>
      </c>
      <c r="H786" t="s">
        <v>30</v>
      </c>
      <c r="I786" t="s">
        <v>93</v>
      </c>
      <c r="J786">
        <v>284</v>
      </c>
      <c r="K786" s="3">
        <v>9.1999999999999993</v>
      </c>
      <c r="L786">
        <v>2612.7999999999902</v>
      </c>
    </row>
    <row r="787" spans="1:12" x14ac:dyDescent="0.3">
      <c r="A787">
        <v>22</v>
      </c>
      <c r="B787">
        <v>0</v>
      </c>
      <c r="C787">
        <v>3</v>
      </c>
      <c r="D787">
        <v>21</v>
      </c>
      <c r="E787">
        <v>1</v>
      </c>
      <c r="F787">
        <v>0</v>
      </c>
      <c r="G787">
        <v>5</v>
      </c>
      <c r="H787" t="s">
        <v>35</v>
      </c>
      <c r="I787" t="s">
        <v>85</v>
      </c>
      <c r="J787">
        <v>676</v>
      </c>
      <c r="K787" s="3">
        <v>8.1999999999999993</v>
      </c>
      <c r="L787">
        <v>0</v>
      </c>
    </row>
    <row r="788" spans="1:12" x14ac:dyDescent="0.3">
      <c r="A788">
        <v>17</v>
      </c>
      <c r="B788">
        <v>23</v>
      </c>
      <c r="C788">
        <v>0</v>
      </c>
      <c r="D788">
        <v>11</v>
      </c>
      <c r="E788">
        <v>1</v>
      </c>
      <c r="F788">
        <v>0</v>
      </c>
      <c r="G788">
        <v>8</v>
      </c>
      <c r="H788" t="s">
        <v>15</v>
      </c>
      <c r="I788" t="s">
        <v>95</v>
      </c>
      <c r="J788">
        <v>521</v>
      </c>
      <c r="K788" s="3">
        <v>8.3000000000000007</v>
      </c>
      <c r="L788">
        <v>4324.3</v>
      </c>
    </row>
    <row r="789" spans="1:12" x14ac:dyDescent="0.3">
      <c r="A789">
        <v>7</v>
      </c>
      <c r="B789">
        <v>23</v>
      </c>
      <c r="C789">
        <v>2</v>
      </c>
      <c r="D789">
        <v>15</v>
      </c>
      <c r="E789">
        <v>1</v>
      </c>
      <c r="F789">
        <v>0</v>
      </c>
      <c r="G789">
        <v>4</v>
      </c>
      <c r="H789" t="s">
        <v>26</v>
      </c>
      <c r="I789" t="s">
        <v>70</v>
      </c>
      <c r="J789">
        <v>593</v>
      </c>
      <c r="K789" s="3">
        <v>8.5</v>
      </c>
      <c r="L789">
        <v>5040.5</v>
      </c>
    </row>
    <row r="790" spans="1:12" x14ac:dyDescent="0.3">
      <c r="A790">
        <v>6</v>
      </c>
      <c r="B790">
        <v>20</v>
      </c>
      <c r="C790">
        <v>1</v>
      </c>
      <c r="D790">
        <v>20</v>
      </c>
      <c r="E790">
        <v>7</v>
      </c>
      <c r="F790">
        <v>0</v>
      </c>
      <c r="G790">
        <v>4</v>
      </c>
      <c r="H790" t="s">
        <v>23</v>
      </c>
      <c r="I790" t="s">
        <v>95</v>
      </c>
      <c r="J790">
        <v>584</v>
      </c>
      <c r="K790" s="3">
        <v>8.4</v>
      </c>
      <c r="L790">
        <v>4905.6000000000004</v>
      </c>
    </row>
    <row r="791" spans="1:12" x14ac:dyDescent="0.3">
      <c r="A791">
        <v>18</v>
      </c>
      <c r="B791">
        <v>23</v>
      </c>
      <c r="C791">
        <v>3</v>
      </c>
      <c r="D791">
        <v>16</v>
      </c>
      <c r="E791">
        <v>1</v>
      </c>
      <c r="F791">
        <v>0</v>
      </c>
      <c r="G791">
        <v>7</v>
      </c>
      <c r="H791" t="s">
        <v>26</v>
      </c>
      <c r="I791" t="s">
        <v>107</v>
      </c>
      <c r="J791">
        <v>714</v>
      </c>
      <c r="K791" s="3">
        <v>8.5</v>
      </c>
      <c r="L791">
        <v>6069</v>
      </c>
    </row>
    <row r="792" spans="1:12" x14ac:dyDescent="0.3">
      <c r="A792">
        <v>0</v>
      </c>
      <c r="B792">
        <v>23</v>
      </c>
      <c r="C792">
        <v>1</v>
      </c>
      <c r="D792">
        <v>17</v>
      </c>
      <c r="E792">
        <v>1</v>
      </c>
      <c r="F792">
        <v>0</v>
      </c>
      <c r="G792">
        <v>9</v>
      </c>
      <c r="H792" t="s">
        <v>21</v>
      </c>
      <c r="I792" t="s">
        <v>83</v>
      </c>
      <c r="J792">
        <v>462</v>
      </c>
      <c r="K792" s="3">
        <v>8.6999999999999993</v>
      </c>
      <c r="L792">
        <v>4019.3999999999901</v>
      </c>
    </row>
    <row r="793" spans="1:12" x14ac:dyDescent="0.3">
      <c r="A793">
        <v>6</v>
      </c>
      <c r="B793">
        <v>20</v>
      </c>
      <c r="C793">
        <v>1</v>
      </c>
      <c r="D793">
        <v>16</v>
      </c>
      <c r="E793">
        <v>1</v>
      </c>
      <c r="F793">
        <v>0</v>
      </c>
      <c r="G793">
        <v>9</v>
      </c>
      <c r="H793" t="s">
        <v>16</v>
      </c>
      <c r="I793" t="s">
        <v>88</v>
      </c>
      <c r="J793">
        <v>323</v>
      </c>
      <c r="K793" s="3">
        <v>0</v>
      </c>
      <c r="L793">
        <v>2874.7</v>
      </c>
    </row>
    <row r="794" spans="1:12" x14ac:dyDescent="0.3">
      <c r="A794">
        <v>8</v>
      </c>
      <c r="B794">
        <v>17</v>
      </c>
      <c r="C794">
        <v>3</v>
      </c>
      <c r="D794">
        <v>3</v>
      </c>
      <c r="E794">
        <v>1</v>
      </c>
      <c r="F794">
        <v>0</v>
      </c>
      <c r="G794">
        <v>5</v>
      </c>
      <c r="H794" t="s">
        <v>36</v>
      </c>
      <c r="I794" t="s">
        <v>92</v>
      </c>
      <c r="J794">
        <v>376</v>
      </c>
      <c r="K794" s="3">
        <v>8.8000000000000007</v>
      </c>
      <c r="L794">
        <v>0</v>
      </c>
    </row>
    <row r="795" spans="1:12" x14ac:dyDescent="0.3">
      <c r="A795">
        <v>9</v>
      </c>
      <c r="B795">
        <v>19</v>
      </c>
      <c r="C795">
        <v>1</v>
      </c>
      <c r="D795">
        <v>4</v>
      </c>
      <c r="E795">
        <v>7</v>
      </c>
      <c r="F795">
        <v>0</v>
      </c>
      <c r="G795">
        <v>4</v>
      </c>
      <c r="H795" t="s">
        <v>18</v>
      </c>
      <c r="I795" t="s">
        <v>73</v>
      </c>
      <c r="J795">
        <v>369</v>
      </c>
      <c r="K795" s="3">
        <v>7.7</v>
      </c>
      <c r="L795">
        <v>2841.3</v>
      </c>
    </row>
    <row r="796" spans="1:12" x14ac:dyDescent="0.3">
      <c r="A796">
        <v>18</v>
      </c>
      <c r="B796">
        <v>22</v>
      </c>
      <c r="C796">
        <v>0</v>
      </c>
      <c r="D796">
        <v>7</v>
      </c>
      <c r="E796">
        <v>1</v>
      </c>
      <c r="F796">
        <v>0</v>
      </c>
      <c r="G796">
        <v>12</v>
      </c>
      <c r="H796" t="s">
        <v>16</v>
      </c>
      <c r="I796" t="s">
        <v>129</v>
      </c>
      <c r="J796">
        <v>325</v>
      </c>
      <c r="K796" s="3">
        <v>8.9</v>
      </c>
      <c r="L796">
        <v>2892.5</v>
      </c>
    </row>
    <row r="797" spans="1:12" x14ac:dyDescent="0.3">
      <c r="A797">
        <v>12</v>
      </c>
      <c r="B797">
        <v>22</v>
      </c>
      <c r="C797">
        <v>1</v>
      </c>
      <c r="D797">
        <v>7</v>
      </c>
      <c r="E797">
        <v>1</v>
      </c>
      <c r="F797">
        <v>0</v>
      </c>
      <c r="G797">
        <v>11</v>
      </c>
      <c r="H797" t="s">
        <v>23</v>
      </c>
      <c r="I797" t="s">
        <v>84</v>
      </c>
      <c r="J797">
        <v>490</v>
      </c>
      <c r="K797" s="3">
        <v>8.4</v>
      </c>
      <c r="L797">
        <v>4116</v>
      </c>
    </row>
    <row r="798" spans="1:12" x14ac:dyDescent="0.3">
      <c r="A798">
        <v>23</v>
      </c>
      <c r="B798">
        <v>23</v>
      </c>
      <c r="C798">
        <v>0</v>
      </c>
      <c r="D798">
        <v>10</v>
      </c>
      <c r="E798">
        <v>1</v>
      </c>
      <c r="F798">
        <v>0</v>
      </c>
      <c r="G798">
        <v>0</v>
      </c>
      <c r="H798" t="s">
        <v>20</v>
      </c>
      <c r="I798" t="s">
        <v>106</v>
      </c>
      <c r="J798">
        <v>395</v>
      </c>
      <c r="K798" s="3">
        <v>9.1</v>
      </c>
      <c r="L798">
        <v>3594.5</v>
      </c>
    </row>
    <row r="799" spans="1:12" x14ac:dyDescent="0.3">
      <c r="A799">
        <v>21</v>
      </c>
      <c r="B799">
        <v>22</v>
      </c>
      <c r="C799">
        <v>0</v>
      </c>
      <c r="D799">
        <v>9</v>
      </c>
      <c r="E799">
        <v>1</v>
      </c>
      <c r="F799">
        <v>0</v>
      </c>
      <c r="G799">
        <v>3</v>
      </c>
      <c r="H799" t="s">
        <v>40</v>
      </c>
      <c r="I799" t="s">
        <v>126</v>
      </c>
      <c r="J799">
        <v>512</v>
      </c>
      <c r="K799" s="3">
        <v>7.4</v>
      </c>
      <c r="L799">
        <v>3788.8</v>
      </c>
    </row>
    <row r="800" spans="1:12" x14ac:dyDescent="0.3">
      <c r="A800">
        <v>13</v>
      </c>
      <c r="B800">
        <v>0</v>
      </c>
      <c r="C800">
        <v>2</v>
      </c>
      <c r="D800">
        <v>8</v>
      </c>
      <c r="E800">
        <v>1</v>
      </c>
      <c r="F800">
        <v>0</v>
      </c>
      <c r="G800">
        <v>9</v>
      </c>
      <c r="H800" t="s">
        <v>55</v>
      </c>
      <c r="I800" t="s">
        <v>85</v>
      </c>
      <c r="J800">
        <v>539</v>
      </c>
      <c r="K800" s="3">
        <v>7.8</v>
      </c>
      <c r="L800">
        <v>4204.2</v>
      </c>
    </row>
    <row r="801" spans="1:12" x14ac:dyDescent="0.3">
      <c r="A801">
        <v>5</v>
      </c>
      <c r="B801">
        <v>0</v>
      </c>
      <c r="C801">
        <v>2</v>
      </c>
      <c r="D801">
        <v>12</v>
      </c>
      <c r="E801">
        <v>1</v>
      </c>
      <c r="F801">
        <v>0</v>
      </c>
      <c r="G801">
        <v>4</v>
      </c>
      <c r="H801" t="s">
        <v>34</v>
      </c>
      <c r="I801" t="s">
        <v>95</v>
      </c>
      <c r="J801">
        <v>384</v>
      </c>
      <c r="K801" s="3">
        <v>0</v>
      </c>
      <c r="L801">
        <v>0</v>
      </c>
    </row>
    <row r="802" spans="1:12" x14ac:dyDescent="0.3">
      <c r="A802">
        <v>0</v>
      </c>
      <c r="B802">
        <v>22</v>
      </c>
      <c r="C802">
        <v>2</v>
      </c>
      <c r="D802">
        <v>10</v>
      </c>
      <c r="E802">
        <v>1</v>
      </c>
      <c r="F802">
        <v>0</v>
      </c>
      <c r="G802">
        <v>12</v>
      </c>
      <c r="H802" t="s">
        <v>30</v>
      </c>
      <c r="I802" t="s">
        <v>95</v>
      </c>
      <c r="J802">
        <v>473</v>
      </c>
      <c r="K802" s="3">
        <v>9.1999999999999993</v>
      </c>
      <c r="L802">
        <v>4351.5999999999904</v>
      </c>
    </row>
    <row r="803" spans="1:12" x14ac:dyDescent="0.3">
      <c r="A803">
        <v>10</v>
      </c>
      <c r="B803">
        <v>0</v>
      </c>
      <c r="C803">
        <v>3</v>
      </c>
      <c r="D803">
        <v>14</v>
      </c>
      <c r="E803">
        <v>1</v>
      </c>
      <c r="F803">
        <v>0</v>
      </c>
      <c r="G803">
        <v>0</v>
      </c>
      <c r="H803" t="s">
        <v>30</v>
      </c>
      <c r="I803" t="s">
        <v>80</v>
      </c>
      <c r="J803">
        <v>652</v>
      </c>
      <c r="K803" s="3">
        <v>9.1999999999999993</v>
      </c>
      <c r="L803">
        <v>5998.4</v>
      </c>
    </row>
    <row r="804" spans="1:12" x14ac:dyDescent="0.3">
      <c r="A804">
        <v>10</v>
      </c>
      <c r="B804">
        <v>22</v>
      </c>
      <c r="C804">
        <v>1</v>
      </c>
      <c r="D804">
        <v>12</v>
      </c>
      <c r="E804">
        <v>1</v>
      </c>
      <c r="F804">
        <v>0</v>
      </c>
      <c r="G804">
        <v>10</v>
      </c>
      <c r="H804" t="s">
        <v>25</v>
      </c>
      <c r="I804" t="s">
        <v>97</v>
      </c>
      <c r="J804">
        <v>533</v>
      </c>
      <c r="K804" s="3">
        <v>8.1</v>
      </c>
      <c r="L804">
        <v>4317.3</v>
      </c>
    </row>
    <row r="805" spans="1:12" x14ac:dyDescent="0.3">
      <c r="A805">
        <v>16</v>
      </c>
      <c r="B805">
        <v>22</v>
      </c>
      <c r="C805">
        <v>3</v>
      </c>
      <c r="D805">
        <v>0</v>
      </c>
      <c r="E805">
        <v>1</v>
      </c>
      <c r="F805">
        <v>0</v>
      </c>
      <c r="G805">
        <v>8</v>
      </c>
      <c r="H805" t="s">
        <v>33</v>
      </c>
      <c r="I805" t="s">
        <v>79</v>
      </c>
      <c r="J805">
        <v>542</v>
      </c>
      <c r="K805" s="3">
        <v>9.3000000000000007</v>
      </c>
      <c r="L805">
        <v>5040.6000000000004</v>
      </c>
    </row>
    <row r="806" spans="1:12" x14ac:dyDescent="0.3">
      <c r="A806">
        <v>22</v>
      </c>
      <c r="B806">
        <v>22</v>
      </c>
      <c r="C806">
        <v>0</v>
      </c>
      <c r="D806">
        <v>9</v>
      </c>
      <c r="E806">
        <v>1</v>
      </c>
      <c r="F806">
        <v>0</v>
      </c>
      <c r="G806">
        <v>4</v>
      </c>
      <c r="H806" t="s">
        <v>36</v>
      </c>
      <c r="I806" t="s">
        <v>89</v>
      </c>
      <c r="J806">
        <v>500</v>
      </c>
      <c r="K806" s="3">
        <v>8.8000000000000007</v>
      </c>
      <c r="L806">
        <v>4400</v>
      </c>
    </row>
    <row r="807" spans="1:12" x14ac:dyDescent="0.3">
      <c r="A807">
        <v>7</v>
      </c>
      <c r="B807">
        <v>19</v>
      </c>
      <c r="C807">
        <v>0</v>
      </c>
      <c r="D807">
        <v>0</v>
      </c>
      <c r="E807">
        <v>7</v>
      </c>
      <c r="F807">
        <v>0</v>
      </c>
      <c r="G807">
        <v>9</v>
      </c>
      <c r="H807" t="s">
        <v>23</v>
      </c>
      <c r="I807" t="s">
        <v>104</v>
      </c>
      <c r="J807">
        <v>556</v>
      </c>
      <c r="K807" s="3">
        <v>8.4</v>
      </c>
      <c r="L807">
        <v>4670.3999999999996</v>
      </c>
    </row>
    <row r="808" spans="1:12" x14ac:dyDescent="0.3">
      <c r="A808">
        <v>16</v>
      </c>
      <c r="B808">
        <v>22</v>
      </c>
      <c r="C808">
        <v>1</v>
      </c>
      <c r="D808">
        <v>14</v>
      </c>
      <c r="E808">
        <v>1</v>
      </c>
      <c r="F808">
        <v>0</v>
      </c>
      <c r="G808">
        <v>11</v>
      </c>
      <c r="H808" t="s">
        <v>22</v>
      </c>
      <c r="I808" t="s">
        <v>96</v>
      </c>
      <c r="J808">
        <v>413</v>
      </c>
      <c r="K808" s="3">
        <v>0</v>
      </c>
      <c r="L808">
        <v>3221.4</v>
      </c>
    </row>
    <row r="809" spans="1:12" x14ac:dyDescent="0.3">
      <c r="A809">
        <v>17</v>
      </c>
      <c r="B809">
        <v>22</v>
      </c>
      <c r="C809">
        <v>2</v>
      </c>
      <c r="D809">
        <v>7</v>
      </c>
      <c r="E809">
        <v>1</v>
      </c>
      <c r="F809">
        <v>0</v>
      </c>
      <c r="G809">
        <v>2</v>
      </c>
      <c r="H809" t="s">
        <v>25</v>
      </c>
      <c r="I809" t="s">
        <v>92</v>
      </c>
      <c r="J809">
        <v>439</v>
      </c>
      <c r="K809" s="3">
        <v>8.1</v>
      </c>
      <c r="L809">
        <v>3555.8999999999901</v>
      </c>
    </row>
    <row r="810" spans="1:12" x14ac:dyDescent="0.3">
      <c r="A810">
        <v>9</v>
      </c>
      <c r="B810">
        <v>18</v>
      </c>
      <c r="C810">
        <v>0</v>
      </c>
      <c r="D810">
        <v>4</v>
      </c>
      <c r="E810">
        <v>7</v>
      </c>
      <c r="F810">
        <v>0</v>
      </c>
      <c r="G810">
        <v>6</v>
      </c>
      <c r="H810" t="s">
        <v>65</v>
      </c>
      <c r="I810" t="s">
        <v>93</v>
      </c>
      <c r="J810">
        <v>268</v>
      </c>
      <c r="K810" s="3">
        <v>8.1999999999999993</v>
      </c>
      <c r="L810">
        <v>2197.6</v>
      </c>
    </row>
    <row r="811" spans="1:12" x14ac:dyDescent="0.3">
      <c r="A811">
        <v>15</v>
      </c>
      <c r="B811">
        <v>22</v>
      </c>
      <c r="C811">
        <v>2</v>
      </c>
      <c r="D811">
        <v>16</v>
      </c>
      <c r="E811">
        <v>0</v>
      </c>
      <c r="F811">
        <v>0</v>
      </c>
      <c r="G811">
        <v>6</v>
      </c>
      <c r="H811" t="s">
        <v>15</v>
      </c>
      <c r="I811" t="s">
        <v>368</v>
      </c>
      <c r="J811">
        <v>462</v>
      </c>
      <c r="K811">
        <v>8.3000000000000007</v>
      </c>
      <c r="L811">
        <v>3834.6</v>
      </c>
    </row>
    <row r="812" spans="1:12" x14ac:dyDescent="0.3">
      <c r="A812">
        <v>15</v>
      </c>
      <c r="B812">
        <v>22</v>
      </c>
      <c r="C812">
        <v>1</v>
      </c>
      <c r="D812">
        <v>8</v>
      </c>
      <c r="E812">
        <v>1</v>
      </c>
      <c r="F812">
        <v>0</v>
      </c>
      <c r="G812">
        <v>1</v>
      </c>
      <c r="H812" t="s">
        <v>38</v>
      </c>
      <c r="I812" t="s">
        <v>104</v>
      </c>
      <c r="J812">
        <v>571</v>
      </c>
      <c r="K812" s="3">
        <v>7.4</v>
      </c>
      <c r="L812">
        <v>4225.3999999999996</v>
      </c>
    </row>
    <row r="813" spans="1:12" x14ac:dyDescent="0.3">
      <c r="A813">
        <v>5</v>
      </c>
      <c r="B813">
        <v>19</v>
      </c>
      <c r="C813">
        <v>0</v>
      </c>
      <c r="D813">
        <v>4</v>
      </c>
      <c r="E813">
        <v>1</v>
      </c>
      <c r="F813">
        <v>0</v>
      </c>
      <c r="G813">
        <v>3</v>
      </c>
      <c r="H813" t="s">
        <v>60</v>
      </c>
      <c r="I813" t="s">
        <v>75</v>
      </c>
      <c r="J813">
        <v>414</v>
      </c>
      <c r="K813" s="3">
        <v>9.1</v>
      </c>
      <c r="L813">
        <v>3767.3999999999901</v>
      </c>
    </row>
    <row r="814" spans="1:12" x14ac:dyDescent="0.3">
      <c r="A814">
        <v>22</v>
      </c>
      <c r="B814">
        <v>22</v>
      </c>
      <c r="C814">
        <v>1</v>
      </c>
      <c r="D814">
        <v>12</v>
      </c>
      <c r="E814">
        <v>1</v>
      </c>
      <c r="F814">
        <v>0</v>
      </c>
      <c r="G814">
        <v>2</v>
      </c>
      <c r="H814" t="s">
        <v>17</v>
      </c>
      <c r="I814" t="s">
        <v>89</v>
      </c>
      <c r="J814">
        <v>564</v>
      </c>
      <c r="K814" s="3">
        <v>8.6999999999999993</v>
      </c>
      <c r="L814">
        <v>4906.7999999999902</v>
      </c>
    </row>
    <row r="815" spans="1:12" x14ac:dyDescent="0.3">
      <c r="A815">
        <v>0</v>
      </c>
      <c r="B815">
        <v>22</v>
      </c>
      <c r="C815">
        <v>0</v>
      </c>
      <c r="D815">
        <v>0</v>
      </c>
      <c r="E815">
        <v>1</v>
      </c>
      <c r="F815">
        <v>0</v>
      </c>
      <c r="G815">
        <v>11</v>
      </c>
      <c r="H815" t="s">
        <v>16</v>
      </c>
      <c r="I815" t="s">
        <v>72</v>
      </c>
      <c r="J815">
        <v>495</v>
      </c>
      <c r="K815" s="3">
        <v>8.9</v>
      </c>
      <c r="L815">
        <v>4405.5</v>
      </c>
    </row>
    <row r="816" spans="1:12" x14ac:dyDescent="0.3">
      <c r="A816">
        <v>17</v>
      </c>
      <c r="B816">
        <v>23</v>
      </c>
      <c r="C816">
        <v>0</v>
      </c>
      <c r="D816">
        <v>14</v>
      </c>
      <c r="E816">
        <v>1</v>
      </c>
      <c r="F816">
        <v>0</v>
      </c>
      <c r="G816">
        <v>4</v>
      </c>
      <c r="H816" t="s">
        <v>26</v>
      </c>
      <c r="I816" t="s">
        <v>109</v>
      </c>
      <c r="J816">
        <v>458</v>
      </c>
      <c r="K816" s="3">
        <v>8.5</v>
      </c>
      <c r="L816">
        <v>0</v>
      </c>
    </row>
    <row r="817" spans="1:12" x14ac:dyDescent="0.3">
      <c r="A817">
        <v>20</v>
      </c>
      <c r="B817">
        <v>23</v>
      </c>
      <c r="C817">
        <v>1</v>
      </c>
      <c r="D817">
        <v>16</v>
      </c>
      <c r="E817">
        <v>1</v>
      </c>
      <c r="F817">
        <v>0</v>
      </c>
      <c r="G817">
        <v>4</v>
      </c>
      <c r="H817" t="s">
        <v>15</v>
      </c>
      <c r="I817" t="s">
        <v>130</v>
      </c>
      <c r="J817">
        <v>699</v>
      </c>
      <c r="K817" s="3">
        <v>8.3000000000000007</v>
      </c>
      <c r="L817">
        <v>5801.7</v>
      </c>
    </row>
    <row r="818" spans="1:12" x14ac:dyDescent="0.3">
      <c r="A818">
        <v>0</v>
      </c>
      <c r="B818">
        <v>22</v>
      </c>
      <c r="C818">
        <v>2</v>
      </c>
      <c r="D818">
        <v>12</v>
      </c>
      <c r="E818">
        <v>1</v>
      </c>
      <c r="F818">
        <v>0</v>
      </c>
      <c r="G818">
        <v>1</v>
      </c>
      <c r="H818" t="s">
        <v>16</v>
      </c>
      <c r="I818" t="s">
        <v>105</v>
      </c>
      <c r="J818">
        <v>700</v>
      </c>
      <c r="K818" s="3">
        <v>8.9</v>
      </c>
      <c r="L818">
        <v>6230</v>
      </c>
    </row>
    <row r="819" spans="1:12" x14ac:dyDescent="0.3">
      <c r="A819">
        <v>5</v>
      </c>
      <c r="B819">
        <v>21</v>
      </c>
      <c r="C819">
        <v>0</v>
      </c>
      <c r="D819">
        <v>3</v>
      </c>
      <c r="E819">
        <v>0</v>
      </c>
      <c r="F819">
        <v>0</v>
      </c>
      <c r="G819">
        <v>5</v>
      </c>
      <c r="H819" t="s">
        <v>26</v>
      </c>
      <c r="I819" t="s">
        <v>77</v>
      </c>
      <c r="J819">
        <v>411</v>
      </c>
      <c r="K819" s="3">
        <v>8.5</v>
      </c>
      <c r="L819">
        <v>3493.5</v>
      </c>
    </row>
    <row r="820" spans="1:12" x14ac:dyDescent="0.3">
      <c r="A820">
        <v>7</v>
      </c>
      <c r="B820">
        <v>17</v>
      </c>
      <c r="C820">
        <v>0</v>
      </c>
      <c r="D820">
        <v>8</v>
      </c>
      <c r="E820">
        <v>1</v>
      </c>
      <c r="F820">
        <v>0</v>
      </c>
      <c r="G820">
        <v>8</v>
      </c>
      <c r="H820" t="s">
        <v>43</v>
      </c>
      <c r="I820" t="s">
        <v>76</v>
      </c>
      <c r="J820">
        <v>233</v>
      </c>
      <c r="K820" s="3">
        <v>7.6</v>
      </c>
      <c r="L820">
        <v>1770.8</v>
      </c>
    </row>
    <row r="821" spans="1:12" x14ac:dyDescent="0.3">
      <c r="A821">
        <v>9</v>
      </c>
      <c r="B821">
        <v>17</v>
      </c>
      <c r="C821">
        <v>3</v>
      </c>
      <c r="D821">
        <v>18</v>
      </c>
      <c r="E821">
        <v>1</v>
      </c>
      <c r="F821">
        <v>0</v>
      </c>
      <c r="G821">
        <v>10</v>
      </c>
      <c r="H821" t="s">
        <v>24</v>
      </c>
      <c r="I821" t="s">
        <v>94</v>
      </c>
      <c r="J821">
        <v>517</v>
      </c>
      <c r="K821" s="3">
        <v>0</v>
      </c>
      <c r="L821">
        <v>4084.3</v>
      </c>
    </row>
    <row r="822" spans="1:12" x14ac:dyDescent="0.3">
      <c r="A822">
        <v>13</v>
      </c>
      <c r="B822">
        <v>22</v>
      </c>
      <c r="C822">
        <v>3</v>
      </c>
      <c r="D822">
        <v>12</v>
      </c>
      <c r="E822">
        <v>1</v>
      </c>
      <c r="F822">
        <v>0</v>
      </c>
      <c r="G822">
        <v>8</v>
      </c>
      <c r="H822" t="s">
        <v>16</v>
      </c>
      <c r="I822" t="s">
        <v>104</v>
      </c>
      <c r="J822">
        <v>607</v>
      </c>
      <c r="K822" s="3">
        <v>8.9</v>
      </c>
      <c r="L822">
        <v>5402.3</v>
      </c>
    </row>
    <row r="823" spans="1:12" x14ac:dyDescent="0.3">
      <c r="A823">
        <v>10</v>
      </c>
      <c r="B823">
        <v>18</v>
      </c>
      <c r="C823">
        <v>3</v>
      </c>
      <c r="D823">
        <v>15</v>
      </c>
      <c r="E823">
        <v>1</v>
      </c>
      <c r="F823">
        <v>0</v>
      </c>
      <c r="G823">
        <v>7</v>
      </c>
      <c r="H823" t="s">
        <v>33</v>
      </c>
      <c r="I823" t="s">
        <v>72</v>
      </c>
      <c r="J823">
        <v>513</v>
      </c>
      <c r="K823" s="3">
        <v>9.3000000000000007</v>
      </c>
      <c r="L823">
        <v>4770.8999999999996</v>
      </c>
    </row>
    <row r="824" spans="1:12" x14ac:dyDescent="0.3">
      <c r="A824">
        <v>17</v>
      </c>
      <c r="B824">
        <v>22</v>
      </c>
      <c r="C824">
        <v>3</v>
      </c>
      <c r="D824">
        <v>18</v>
      </c>
      <c r="E824">
        <v>1</v>
      </c>
      <c r="F824">
        <v>0</v>
      </c>
      <c r="G824">
        <v>1</v>
      </c>
      <c r="H824" t="s">
        <v>18</v>
      </c>
      <c r="I824" t="s">
        <v>105</v>
      </c>
      <c r="J824">
        <v>715</v>
      </c>
      <c r="K824" s="3">
        <v>7.7</v>
      </c>
      <c r="L824">
        <v>5505.5</v>
      </c>
    </row>
    <row r="825" spans="1:12" x14ac:dyDescent="0.3">
      <c r="A825">
        <v>22</v>
      </c>
      <c r="B825">
        <v>23</v>
      </c>
      <c r="C825">
        <v>1</v>
      </c>
      <c r="D825">
        <v>13</v>
      </c>
      <c r="E825">
        <v>1</v>
      </c>
      <c r="F825">
        <v>0</v>
      </c>
      <c r="G825">
        <v>1</v>
      </c>
      <c r="H825" t="s">
        <v>33</v>
      </c>
      <c r="I825" t="s">
        <v>89</v>
      </c>
      <c r="J825">
        <v>487</v>
      </c>
      <c r="K825" s="3">
        <v>9.3000000000000007</v>
      </c>
      <c r="L825">
        <v>4529.1000000000004</v>
      </c>
    </row>
    <row r="826" spans="1:12" x14ac:dyDescent="0.3">
      <c r="A826">
        <v>10</v>
      </c>
      <c r="B826">
        <v>20</v>
      </c>
      <c r="C826">
        <v>3</v>
      </c>
      <c r="D826">
        <v>22</v>
      </c>
      <c r="E826">
        <v>1</v>
      </c>
      <c r="F826">
        <v>0</v>
      </c>
      <c r="G826">
        <v>9</v>
      </c>
      <c r="H826" t="s">
        <v>15</v>
      </c>
      <c r="I826" t="s">
        <v>109</v>
      </c>
      <c r="J826">
        <v>449</v>
      </c>
      <c r="K826" s="3">
        <v>0</v>
      </c>
      <c r="L826">
        <v>3726.7</v>
      </c>
    </row>
    <row r="827" spans="1:12" x14ac:dyDescent="0.3">
      <c r="A827">
        <v>11</v>
      </c>
      <c r="B827">
        <v>22</v>
      </c>
      <c r="C827">
        <v>3</v>
      </c>
      <c r="D827">
        <v>4</v>
      </c>
      <c r="E827">
        <v>1</v>
      </c>
      <c r="F827">
        <v>0</v>
      </c>
      <c r="G827">
        <v>9</v>
      </c>
      <c r="H827" t="s">
        <v>21</v>
      </c>
      <c r="I827" t="s">
        <v>78</v>
      </c>
      <c r="J827">
        <v>503</v>
      </c>
      <c r="K827" s="3">
        <v>8.6999999999999993</v>
      </c>
      <c r="L827">
        <v>0</v>
      </c>
    </row>
    <row r="828" spans="1:12" x14ac:dyDescent="0.3">
      <c r="A828">
        <v>8</v>
      </c>
      <c r="B828">
        <v>19</v>
      </c>
      <c r="C828">
        <v>2</v>
      </c>
      <c r="D828">
        <v>20</v>
      </c>
      <c r="E828">
        <v>1</v>
      </c>
      <c r="F828">
        <v>0</v>
      </c>
      <c r="G828">
        <v>6</v>
      </c>
      <c r="H828" t="s">
        <v>18</v>
      </c>
      <c r="I828" t="s">
        <v>109</v>
      </c>
      <c r="J828">
        <v>423</v>
      </c>
      <c r="K828" s="3">
        <v>7.7</v>
      </c>
      <c r="L828">
        <v>3257.1</v>
      </c>
    </row>
    <row r="829" spans="1:12" x14ac:dyDescent="0.3">
      <c r="A829">
        <v>7</v>
      </c>
      <c r="B829">
        <v>21</v>
      </c>
      <c r="C829">
        <v>2</v>
      </c>
      <c r="D829">
        <v>9</v>
      </c>
      <c r="E829">
        <v>1</v>
      </c>
      <c r="F829">
        <v>0</v>
      </c>
      <c r="G829">
        <v>5</v>
      </c>
      <c r="H829" t="s">
        <v>61</v>
      </c>
      <c r="I829" t="s">
        <v>74</v>
      </c>
      <c r="J829">
        <v>530</v>
      </c>
      <c r="K829" s="3">
        <v>7.4</v>
      </c>
      <c r="L829">
        <v>3922</v>
      </c>
    </row>
    <row r="830" spans="1:12" x14ac:dyDescent="0.3">
      <c r="A830">
        <v>8</v>
      </c>
      <c r="B830">
        <v>0</v>
      </c>
      <c r="C830">
        <v>3</v>
      </c>
      <c r="D830">
        <v>16</v>
      </c>
      <c r="E830">
        <v>7</v>
      </c>
      <c r="F830">
        <v>0</v>
      </c>
      <c r="G830">
        <v>10</v>
      </c>
      <c r="H830" t="s">
        <v>25</v>
      </c>
      <c r="I830" t="s">
        <v>97</v>
      </c>
      <c r="J830">
        <v>444</v>
      </c>
      <c r="K830" s="3">
        <v>8.1</v>
      </c>
      <c r="L830">
        <v>3596.3999999999901</v>
      </c>
    </row>
    <row r="831" spans="1:12" x14ac:dyDescent="0.3">
      <c r="A831">
        <v>16</v>
      </c>
      <c r="B831">
        <v>22</v>
      </c>
      <c r="C831">
        <v>0</v>
      </c>
      <c r="D831">
        <v>20</v>
      </c>
      <c r="E831">
        <v>12</v>
      </c>
      <c r="F831">
        <v>0</v>
      </c>
      <c r="G831">
        <v>4</v>
      </c>
      <c r="H831" t="s">
        <v>16</v>
      </c>
      <c r="I831" t="s">
        <v>95</v>
      </c>
      <c r="J831">
        <v>793</v>
      </c>
      <c r="K831" s="3">
        <v>8.9</v>
      </c>
      <c r="L831">
        <v>7057.7</v>
      </c>
    </row>
    <row r="832" spans="1:12" x14ac:dyDescent="0.3">
      <c r="A832">
        <v>11</v>
      </c>
      <c r="B832">
        <v>23</v>
      </c>
      <c r="C832">
        <v>0</v>
      </c>
      <c r="D832">
        <v>20</v>
      </c>
      <c r="E832">
        <v>1</v>
      </c>
      <c r="F832">
        <v>0</v>
      </c>
      <c r="G832">
        <v>1</v>
      </c>
      <c r="H832" t="s">
        <v>15</v>
      </c>
      <c r="I832" t="s">
        <v>115</v>
      </c>
      <c r="J832">
        <v>0</v>
      </c>
      <c r="K832" s="3">
        <v>8.3000000000000007</v>
      </c>
      <c r="L832">
        <v>3735</v>
      </c>
    </row>
    <row r="833" spans="1:12" x14ac:dyDescent="0.3">
      <c r="A833">
        <v>7</v>
      </c>
      <c r="B833">
        <v>20</v>
      </c>
      <c r="C833">
        <v>1</v>
      </c>
      <c r="D833">
        <v>10</v>
      </c>
      <c r="E833">
        <v>1</v>
      </c>
      <c r="F833">
        <v>0</v>
      </c>
      <c r="G833">
        <v>9</v>
      </c>
      <c r="H833" t="s">
        <v>25</v>
      </c>
      <c r="I833" t="s">
        <v>91</v>
      </c>
      <c r="J833">
        <v>490</v>
      </c>
      <c r="K833" s="3">
        <v>8.1</v>
      </c>
      <c r="L833">
        <v>3969</v>
      </c>
    </row>
    <row r="834" spans="1:12" x14ac:dyDescent="0.3">
      <c r="A834">
        <v>19</v>
      </c>
      <c r="B834">
        <v>22</v>
      </c>
      <c r="C834">
        <v>0</v>
      </c>
      <c r="D834">
        <v>4</v>
      </c>
      <c r="E834">
        <v>1</v>
      </c>
      <c r="F834">
        <v>0</v>
      </c>
      <c r="G834">
        <v>11</v>
      </c>
      <c r="H834" t="s">
        <v>38</v>
      </c>
      <c r="I834" t="s">
        <v>77</v>
      </c>
      <c r="J834">
        <v>521</v>
      </c>
      <c r="K834" s="3">
        <v>7.4</v>
      </c>
      <c r="L834">
        <v>3855.4</v>
      </c>
    </row>
    <row r="835" spans="1:12" x14ac:dyDescent="0.3">
      <c r="A835">
        <v>7</v>
      </c>
      <c r="B835">
        <v>18</v>
      </c>
      <c r="C835">
        <v>0</v>
      </c>
      <c r="D835">
        <v>21</v>
      </c>
      <c r="E835">
        <v>7</v>
      </c>
      <c r="F835">
        <v>0</v>
      </c>
      <c r="G835">
        <v>12</v>
      </c>
      <c r="H835" t="s">
        <v>26</v>
      </c>
      <c r="I835" t="s">
        <v>85</v>
      </c>
      <c r="J835">
        <v>476</v>
      </c>
      <c r="K835">
        <v>8.5</v>
      </c>
      <c r="L835">
        <v>4046</v>
      </c>
    </row>
    <row r="836" spans="1:12" x14ac:dyDescent="0.3">
      <c r="A836">
        <v>0</v>
      </c>
      <c r="B836">
        <v>23</v>
      </c>
      <c r="C836">
        <v>1</v>
      </c>
      <c r="D836">
        <v>6</v>
      </c>
      <c r="E836">
        <v>1</v>
      </c>
      <c r="F836">
        <v>0</v>
      </c>
      <c r="G836">
        <v>5</v>
      </c>
      <c r="H836" t="s">
        <v>27</v>
      </c>
      <c r="I836" t="s">
        <v>368</v>
      </c>
      <c r="J836">
        <v>505</v>
      </c>
      <c r="K836" s="3">
        <v>8.4</v>
      </c>
      <c r="L836">
        <v>4242</v>
      </c>
    </row>
    <row r="837" spans="1:12" x14ac:dyDescent="0.3">
      <c r="A837">
        <v>21</v>
      </c>
      <c r="B837">
        <v>23</v>
      </c>
      <c r="C837">
        <v>3</v>
      </c>
      <c r="D837">
        <v>22</v>
      </c>
      <c r="E837">
        <v>1</v>
      </c>
      <c r="F837">
        <v>0</v>
      </c>
      <c r="G837">
        <v>0</v>
      </c>
      <c r="H837" t="s">
        <v>18</v>
      </c>
      <c r="I837" t="s">
        <v>89</v>
      </c>
      <c r="J837">
        <v>590</v>
      </c>
      <c r="K837" s="3">
        <v>7.7</v>
      </c>
      <c r="L837">
        <v>4543</v>
      </c>
    </row>
    <row r="838" spans="1:12" x14ac:dyDescent="0.3">
      <c r="A838">
        <v>8</v>
      </c>
      <c r="B838">
        <v>22</v>
      </c>
      <c r="C838">
        <v>0</v>
      </c>
      <c r="D838">
        <v>8</v>
      </c>
      <c r="E838">
        <v>1</v>
      </c>
      <c r="F838">
        <v>0</v>
      </c>
      <c r="G838">
        <v>12</v>
      </c>
      <c r="H838" t="s">
        <v>34</v>
      </c>
      <c r="I838" t="s">
        <v>123</v>
      </c>
      <c r="J838">
        <v>0</v>
      </c>
      <c r="K838" s="3">
        <v>7.6</v>
      </c>
      <c r="L838">
        <v>2614.4</v>
      </c>
    </row>
    <row r="839" spans="1:12" x14ac:dyDescent="0.3">
      <c r="A839">
        <v>8</v>
      </c>
      <c r="B839">
        <v>20</v>
      </c>
      <c r="C839">
        <v>1</v>
      </c>
      <c r="D839">
        <v>0</v>
      </c>
      <c r="E839">
        <v>1</v>
      </c>
      <c r="F839">
        <v>0</v>
      </c>
      <c r="G839">
        <v>2</v>
      </c>
      <c r="H839" t="s">
        <v>66</v>
      </c>
      <c r="I839" t="s">
        <v>94</v>
      </c>
      <c r="J839">
        <v>472</v>
      </c>
      <c r="K839" s="3">
        <v>9.1</v>
      </c>
      <c r="L839">
        <v>4295.2</v>
      </c>
    </row>
    <row r="840" spans="1:12" x14ac:dyDescent="0.3">
      <c r="A840">
        <v>17</v>
      </c>
      <c r="B840">
        <v>0</v>
      </c>
      <c r="C840">
        <v>3</v>
      </c>
      <c r="D840">
        <v>8</v>
      </c>
      <c r="E840">
        <v>0</v>
      </c>
      <c r="F840">
        <v>0</v>
      </c>
      <c r="G840">
        <v>2</v>
      </c>
      <c r="H840" t="s">
        <v>20</v>
      </c>
      <c r="I840" t="s">
        <v>122</v>
      </c>
      <c r="J840">
        <v>641</v>
      </c>
      <c r="K840" s="3">
        <v>9.1</v>
      </c>
      <c r="L840">
        <v>5833.0999999999904</v>
      </c>
    </row>
    <row r="841" spans="1:12" x14ac:dyDescent="0.3">
      <c r="A841">
        <v>12</v>
      </c>
      <c r="B841">
        <v>22</v>
      </c>
      <c r="C841">
        <v>2</v>
      </c>
      <c r="D841">
        <v>4</v>
      </c>
      <c r="E841">
        <v>1</v>
      </c>
      <c r="F841">
        <v>0</v>
      </c>
      <c r="G841">
        <v>2</v>
      </c>
      <c r="H841" t="s">
        <v>26</v>
      </c>
      <c r="I841" t="s">
        <v>94</v>
      </c>
      <c r="J841">
        <v>377</v>
      </c>
      <c r="K841" s="3">
        <v>0</v>
      </c>
      <c r="L841">
        <v>3204.5</v>
      </c>
    </row>
    <row r="842" spans="1:12" x14ac:dyDescent="0.3">
      <c r="A842">
        <v>21</v>
      </c>
      <c r="B842">
        <v>22</v>
      </c>
      <c r="C842">
        <v>1</v>
      </c>
      <c r="D842">
        <v>20</v>
      </c>
      <c r="E842">
        <v>1</v>
      </c>
      <c r="F842">
        <v>0</v>
      </c>
      <c r="G842">
        <v>4</v>
      </c>
      <c r="H842" t="s">
        <v>22</v>
      </c>
      <c r="I842" t="s">
        <v>368</v>
      </c>
      <c r="J842">
        <v>642</v>
      </c>
      <c r="K842" s="3">
        <v>7.8</v>
      </c>
      <c r="L842">
        <v>5007.5999999999904</v>
      </c>
    </row>
    <row r="843" spans="1:12" x14ac:dyDescent="0.3">
      <c r="A843">
        <v>15</v>
      </c>
      <c r="B843">
        <v>23</v>
      </c>
      <c r="C843">
        <v>1</v>
      </c>
      <c r="D843">
        <v>15</v>
      </c>
      <c r="E843">
        <v>12</v>
      </c>
      <c r="F843">
        <v>0</v>
      </c>
      <c r="G843">
        <v>12</v>
      </c>
      <c r="H843" t="s">
        <v>21</v>
      </c>
      <c r="I843" t="s">
        <v>81</v>
      </c>
      <c r="J843">
        <v>535</v>
      </c>
      <c r="K843" s="3">
        <v>8.6999999999999993</v>
      </c>
      <c r="L843">
        <v>4654.5</v>
      </c>
    </row>
    <row r="844" spans="1:12" x14ac:dyDescent="0.3">
      <c r="A844">
        <v>19</v>
      </c>
      <c r="B844">
        <v>22</v>
      </c>
      <c r="C844">
        <v>0</v>
      </c>
      <c r="D844">
        <v>10</v>
      </c>
      <c r="E844">
        <v>1</v>
      </c>
      <c r="F844">
        <v>0</v>
      </c>
      <c r="G844">
        <v>9</v>
      </c>
      <c r="H844" t="s">
        <v>61</v>
      </c>
      <c r="I844" t="s">
        <v>89</v>
      </c>
      <c r="J844">
        <v>408</v>
      </c>
      <c r="K844" s="3">
        <v>7.4</v>
      </c>
      <c r="L844">
        <v>3019.2</v>
      </c>
    </row>
    <row r="845" spans="1:12" x14ac:dyDescent="0.3">
      <c r="A845">
        <v>12</v>
      </c>
      <c r="B845">
        <v>22</v>
      </c>
      <c r="C845">
        <v>2</v>
      </c>
      <c r="D845">
        <v>16</v>
      </c>
      <c r="E845">
        <v>1</v>
      </c>
      <c r="F845">
        <v>0</v>
      </c>
      <c r="G845">
        <v>6</v>
      </c>
      <c r="H845" t="s">
        <v>15</v>
      </c>
      <c r="I845" t="s">
        <v>106</v>
      </c>
      <c r="J845">
        <v>415</v>
      </c>
      <c r="K845" s="3">
        <v>8.3000000000000007</v>
      </c>
      <c r="L845">
        <v>3444.5</v>
      </c>
    </row>
    <row r="846" spans="1:12" x14ac:dyDescent="0.3">
      <c r="A846">
        <v>17</v>
      </c>
      <c r="B846">
        <v>0</v>
      </c>
      <c r="C846">
        <v>3</v>
      </c>
      <c r="D846">
        <v>3</v>
      </c>
      <c r="E846">
        <v>1</v>
      </c>
      <c r="F846">
        <v>0</v>
      </c>
      <c r="G846">
        <v>1</v>
      </c>
      <c r="H846" t="s">
        <v>21</v>
      </c>
      <c r="I846" t="s">
        <v>368</v>
      </c>
      <c r="J846">
        <v>455</v>
      </c>
      <c r="K846">
        <v>8.6999999999999993</v>
      </c>
      <c r="L846">
        <v>3958.49999999999</v>
      </c>
    </row>
    <row r="847" spans="1:12" x14ac:dyDescent="0.3">
      <c r="A847">
        <v>17</v>
      </c>
      <c r="B847">
        <v>22</v>
      </c>
      <c r="C847">
        <v>3</v>
      </c>
      <c r="D847">
        <v>9</v>
      </c>
      <c r="E847">
        <v>1</v>
      </c>
      <c r="F847">
        <v>0</v>
      </c>
      <c r="G847">
        <v>5</v>
      </c>
      <c r="H847" t="s">
        <v>22</v>
      </c>
      <c r="I847" t="s">
        <v>78</v>
      </c>
      <c r="J847">
        <v>660</v>
      </c>
      <c r="K847">
        <v>7.8</v>
      </c>
      <c r="L847">
        <v>5148</v>
      </c>
    </row>
    <row r="848" spans="1:12" x14ac:dyDescent="0.3">
      <c r="A848">
        <v>18</v>
      </c>
      <c r="B848">
        <v>22</v>
      </c>
      <c r="C848">
        <v>0</v>
      </c>
      <c r="D848">
        <v>10</v>
      </c>
      <c r="E848">
        <v>1</v>
      </c>
      <c r="F848">
        <v>0</v>
      </c>
      <c r="G848">
        <v>0</v>
      </c>
      <c r="H848" t="s">
        <v>33</v>
      </c>
      <c r="I848" t="s">
        <v>84</v>
      </c>
      <c r="J848">
        <v>462</v>
      </c>
      <c r="K848" s="3">
        <v>9.3000000000000007</v>
      </c>
      <c r="L848">
        <v>4296.6000000000004</v>
      </c>
    </row>
    <row r="849" spans="1:12" x14ac:dyDescent="0.3">
      <c r="A849">
        <v>14</v>
      </c>
      <c r="B849">
        <v>22</v>
      </c>
      <c r="C849">
        <v>3</v>
      </c>
      <c r="D849">
        <v>9</v>
      </c>
      <c r="E849">
        <v>1</v>
      </c>
      <c r="F849">
        <v>0</v>
      </c>
      <c r="G849">
        <v>9</v>
      </c>
      <c r="H849" t="s">
        <v>34</v>
      </c>
      <c r="I849" t="s">
        <v>70</v>
      </c>
      <c r="J849">
        <v>541</v>
      </c>
      <c r="K849" s="3">
        <v>7.6</v>
      </c>
      <c r="L849">
        <v>4111.5999999999904</v>
      </c>
    </row>
    <row r="850" spans="1:12" x14ac:dyDescent="0.3">
      <c r="A850">
        <v>9</v>
      </c>
      <c r="B850">
        <v>19</v>
      </c>
      <c r="C850">
        <v>3</v>
      </c>
      <c r="D850">
        <v>15</v>
      </c>
      <c r="E850">
        <v>1</v>
      </c>
      <c r="F850">
        <v>0</v>
      </c>
      <c r="G850">
        <v>2</v>
      </c>
      <c r="H850" t="s">
        <v>21</v>
      </c>
      <c r="I850" t="s">
        <v>83</v>
      </c>
      <c r="J850">
        <v>493</v>
      </c>
      <c r="K850" s="3">
        <v>8.6999999999999993</v>
      </c>
      <c r="L850">
        <v>4289.0999999999904</v>
      </c>
    </row>
    <row r="851" spans="1:12" x14ac:dyDescent="0.3">
      <c r="A851">
        <v>10</v>
      </c>
      <c r="B851">
        <v>18</v>
      </c>
      <c r="C851">
        <v>3</v>
      </c>
      <c r="D851">
        <v>22</v>
      </c>
      <c r="E851">
        <v>1</v>
      </c>
      <c r="F851">
        <v>0</v>
      </c>
      <c r="G851">
        <v>2</v>
      </c>
      <c r="H851" t="s">
        <v>55</v>
      </c>
      <c r="I851" t="s">
        <v>75</v>
      </c>
      <c r="J851">
        <v>437</v>
      </c>
      <c r="K851" s="3">
        <v>7.8</v>
      </c>
      <c r="L851">
        <v>3408.6</v>
      </c>
    </row>
    <row r="852" spans="1:12" x14ac:dyDescent="0.3">
      <c r="A852">
        <v>13</v>
      </c>
      <c r="B852">
        <v>22</v>
      </c>
      <c r="C852">
        <v>1</v>
      </c>
      <c r="D852">
        <v>10</v>
      </c>
      <c r="E852">
        <v>1</v>
      </c>
      <c r="F852">
        <v>0</v>
      </c>
      <c r="G852">
        <v>10</v>
      </c>
      <c r="H852" t="s">
        <v>23</v>
      </c>
      <c r="I852" t="s">
        <v>108</v>
      </c>
      <c r="J852">
        <v>527</v>
      </c>
      <c r="K852" s="3">
        <v>8.4</v>
      </c>
      <c r="L852">
        <v>4426.8</v>
      </c>
    </row>
    <row r="853" spans="1:12" x14ac:dyDescent="0.3">
      <c r="A853">
        <v>8</v>
      </c>
      <c r="B853">
        <v>23</v>
      </c>
      <c r="C853">
        <v>1</v>
      </c>
      <c r="D853">
        <v>10</v>
      </c>
      <c r="E853">
        <v>1</v>
      </c>
      <c r="F853">
        <v>0</v>
      </c>
      <c r="G853">
        <v>5</v>
      </c>
      <c r="H853" t="s">
        <v>35</v>
      </c>
      <c r="I853" t="s">
        <v>90</v>
      </c>
      <c r="J853">
        <v>379</v>
      </c>
      <c r="K853" s="3">
        <v>8.1999999999999993</v>
      </c>
      <c r="L853">
        <v>0</v>
      </c>
    </row>
    <row r="854" spans="1:12" x14ac:dyDescent="0.3">
      <c r="A854">
        <v>19</v>
      </c>
      <c r="B854">
        <v>23</v>
      </c>
      <c r="C854">
        <v>0</v>
      </c>
      <c r="D854">
        <v>5</v>
      </c>
      <c r="E854">
        <v>1</v>
      </c>
      <c r="F854">
        <v>0</v>
      </c>
      <c r="G854">
        <v>12</v>
      </c>
      <c r="H854" t="s">
        <v>15</v>
      </c>
      <c r="I854" t="s">
        <v>72</v>
      </c>
      <c r="J854">
        <v>427</v>
      </c>
      <c r="K854" s="3">
        <v>8.3000000000000007</v>
      </c>
      <c r="L854">
        <v>3544.1</v>
      </c>
    </row>
    <row r="855" spans="1:12" x14ac:dyDescent="0.3">
      <c r="A855">
        <v>15</v>
      </c>
      <c r="B855">
        <v>22</v>
      </c>
      <c r="C855">
        <v>0</v>
      </c>
      <c r="D855">
        <v>8</v>
      </c>
      <c r="E855">
        <v>1</v>
      </c>
      <c r="F855">
        <v>0</v>
      </c>
      <c r="G855">
        <v>4</v>
      </c>
      <c r="H855" t="s">
        <v>22</v>
      </c>
      <c r="I855" t="s">
        <v>92</v>
      </c>
      <c r="J855">
        <v>403</v>
      </c>
      <c r="K855" s="3">
        <v>7.8</v>
      </c>
      <c r="L855">
        <v>3143.4</v>
      </c>
    </row>
    <row r="856" spans="1:12" x14ac:dyDescent="0.3">
      <c r="A856">
        <v>11</v>
      </c>
      <c r="B856">
        <v>22</v>
      </c>
      <c r="C856">
        <v>0</v>
      </c>
      <c r="D856">
        <v>5</v>
      </c>
      <c r="E856">
        <v>1</v>
      </c>
      <c r="F856">
        <v>0</v>
      </c>
      <c r="G856">
        <v>7</v>
      </c>
      <c r="H856" t="s">
        <v>23</v>
      </c>
      <c r="I856" t="s">
        <v>96</v>
      </c>
      <c r="J856">
        <v>344</v>
      </c>
      <c r="K856" s="3">
        <v>8.4</v>
      </c>
      <c r="L856">
        <v>2889.6</v>
      </c>
    </row>
    <row r="857" spans="1:12" x14ac:dyDescent="0.3">
      <c r="A857">
        <v>22</v>
      </c>
      <c r="B857">
        <v>22</v>
      </c>
      <c r="C857">
        <v>1</v>
      </c>
      <c r="D857">
        <v>16</v>
      </c>
      <c r="E857">
        <v>1</v>
      </c>
      <c r="F857">
        <v>0</v>
      </c>
      <c r="G857">
        <v>6</v>
      </c>
      <c r="H857" t="s">
        <v>36</v>
      </c>
      <c r="I857" t="s">
        <v>77</v>
      </c>
      <c r="J857">
        <v>532</v>
      </c>
      <c r="K857" s="3">
        <v>8.8000000000000007</v>
      </c>
      <c r="L857">
        <v>4681.6000000000004</v>
      </c>
    </row>
    <row r="858" spans="1:12" x14ac:dyDescent="0.3">
      <c r="A858">
        <v>23</v>
      </c>
      <c r="B858">
        <v>22</v>
      </c>
      <c r="C858">
        <v>1</v>
      </c>
      <c r="D858">
        <v>15</v>
      </c>
      <c r="E858">
        <v>1</v>
      </c>
      <c r="F858">
        <v>0</v>
      </c>
      <c r="G858">
        <v>2</v>
      </c>
      <c r="H858" t="s">
        <v>30</v>
      </c>
      <c r="I858" t="s">
        <v>108</v>
      </c>
      <c r="J858">
        <v>536</v>
      </c>
      <c r="K858" s="3">
        <v>9.1999999999999993</v>
      </c>
      <c r="L858" t="s">
        <v>143</v>
      </c>
    </row>
    <row r="859" spans="1:12" x14ac:dyDescent="0.3">
      <c r="A859">
        <v>22</v>
      </c>
      <c r="B859">
        <v>23</v>
      </c>
      <c r="C859">
        <v>2</v>
      </c>
      <c r="D859">
        <v>3</v>
      </c>
      <c r="E859">
        <v>1</v>
      </c>
      <c r="F859">
        <v>0</v>
      </c>
      <c r="G859">
        <v>1</v>
      </c>
      <c r="H859" t="s">
        <v>28</v>
      </c>
      <c r="I859" t="s">
        <v>106</v>
      </c>
      <c r="J859">
        <v>524</v>
      </c>
      <c r="K859" s="3">
        <v>7.7</v>
      </c>
      <c r="L859">
        <v>4034.8</v>
      </c>
    </row>
    <row r="860" spans="1:12" x14ac:dyDescent="0.3">
      <c r="A860">
        <v>10</v>
      </c>
      <c r="B860">
        <v>22</v>
      </c>
      <c r="C860">
        <v>0</v>
      </c>
      <c r="D860">
        <v>10</v>
      </c>
      <c r="E860">
        <v>1</v>
      </c>
      <c r="F860">
        <v>0</v>
      </c>
      <c r="G860">
        <v>6</v>
      </c>
      <c r="H860" t="s">
        <v>21</v>
      </c>
      <c r="I860" t="s">
        <v>74</v>
      </c>
      <c r="J860">
        <v>0</v>
      </c>
      <c r="K860">
        <v>8.6999999999999993</v>
      </c>
      <c r="L860">
        <v>5193.8999999999996</v>
      </c>
    </row>
    <row r="861" spans="1:12" x14ac:dyDescent="0.3">
      <c r="A861">
        <v>8</v>
      </c>
      <c r="B861">
        <v>18</v>
      </c>
      <c r="C861">
        <v>1</v>
      </c>
      <c r="D861">
        <v>4</v>
      </c>
      <c r="E861">
        <v>1</v>
      </c>
      <c r="F861">
        <v>0</v>
      </c>
      <c r="G861">
        <v>1</v>
      </c>
      <c r="H861" t="s">
        <v>26</v>
      </c>
      <c r="I861" t="s">
        <v>78</v>
      </c>
      <c r="J861">
        <v>413</v>
      </c>
      <c r="K861" s="3">
        <v>8.5</v>
      </c>
      <c r="L861">
        <v>3510.5</v>
      </c>
    </row>
    <row r="862" spans="1:12" x14ac:dyDescent="0.3">
      <c r="A862">
        <v>11</v>
      </c>
      <c r="B862">
        <v>23</v>
      </c>
      <c r="C862">
        <v>0</v>
      </c>
      <c r="D862">
        <v>22</v>
      </c>
      <c r="E862">
        <v>1</v>
      </c>
      <c r="F862">
        <v>0</v>
      </c>
      <c r="G862">
        <v>2</v>
      </c>
      <c r="H862" t="s">
        <v>369</v>
      </c>
      <c r="I862" t="s">
        <v>97</v>
      </c>
      <c r="J862">
        <v>508</v>
      </c>
      <c r="K862" s="3">
        <v>0</v>
      </c>
      <c r="L862">
        <v>4419.5999999999904</v>
      </c>
    </row>
    <row r="863" spans="1:12" x14ac:dyDescent="0.3">
      <c r="A863">
        <v>21</v>
      </c>
      <c r="B863">
        <v>22</v>
      </c>
      <c r="C863">
        <v>2</v>
      </c>
      <c r="D863">
        <v>21</v>
      </c>
      <c r="E863">
        <v>1</v>
      </c>
      <c r="F863">
        <v>0</v>
      </c>
      <c r="G863">
        <v>10</v>
      </c>
      <c r="H863" t="s">
        <v>36</v>
      </c>
      <c r="I863" t="s">
        <v>74</v>
      </c>
      <c r="J863">
        <v>771</v>
      </c>
      <c r="K863" s="3">
        <v>8.8000000000000007</v>
      </c>
      <c r="L863">
        <v>6784.8</v>
      </c>
    </row>
    <row r="864" spans="1:12" x14ac:dyDescent="0.3">
      <c r="A864">
        <v>7</v>
      </c>
      <c r="B864">
        <v>0</v>
      </c>
      <c r="C864">
        <v>3</v>
      </c>
      <c r="D864">
        <v>3</v>
      </c>
      <c r="E864">
        <v>1</v>
      </c>
      <c r="F864">
        <v>0</v>
      </c>
      <c r="G864">
        <v>12</v>
      </c>
      <c r="H864" t="s">
        <v>47</v>
      </c>
      <c r="I864" t="s">
        <v>94</v>
      </c>
      <c r="J864">
        <v>545</v>
      </c>
      <c r="K864" s="3">
        <v>9.1</v>
      </c>
      <c r="L864">
        <v>4959.5</v>
      </c>
    </row>
    <row r="865" spans="1:12" x14ac:dyDescent="0.3">
      <c r="A865">
        <v>6</v>
      </c>
      <c r="B865">
        <v>20</v>
      </c>
      <c r="C865">
        <v>0</v>
      </c>
      <c r="D865">
        <v>18</v>
      </c>
      <c r="E865">
        <v>1</v>
      </c>
      <c r="F865">
        <v>0</v>
      </c>
      <c r="G865">
        <v>2</v>
      </c>
      <c r="H865" t="s">
        <v>16</v>
      </c>
      <c r="I865" t="s">
        <v>95</v>
      </c>
      <c r="J865">
        <v>335</v>
      </c>
      <c r="K865" s="3">
        <v>8.9</v>
      </c>
      <c r="L865">
        <v>2981.5</v>
      </c>
    </row>
    <row r="866" spans="1:12" x14ac:dyDescent="0.3">
      <c r="A866">
        <v>8</v>
      </c>
      <c r="B866">
        <v>23</v>
      </c>
      <c r="C866">
        <v>0</v>
      </c>
      <c r="D866">
        <v>22</v>
      </c>
      <c r="E866">
        <v>1</v>
      </c>
      <c r="F866">
        <v>0</v>
      </c>
      <c r="G866">
        <v>10</v>
      </c>
      <c r="H866" t="s">
        <v>23</v>
      </c>
      <c r="I866" t="s">
        <v>72</v>
      </c>
      <c r="J866">
        <v>457</v>
      </c>
      <c r="K866" s="3">
        <v>8.4</v>
      </c>
      <c r="L866">
        <v>3838.8</v>
      </c>
    </row>
    <row r="867" spans="1:12" x14ac:dyDescent="0.3">
      <c r="A867">
        <v>20</v>
      </c>
      <c r="B867">
        <v>22</v>
      </c>
      <c r="C867">
        <v>3</v>
      </c>
      <c r="D867">
        <v>6</v>
      </c>
      <c r="E867">
        <v>12</v>
      </c>
      <c r="F867">
        <v>0</v>
      </c>
      <c r="G867">
        <v>11</v>
      </c>
      <c r="H867" t="s">
        <v>20</v>
      </c>
      <c r="I867" t="s">
        <v>72</v>
      </c>
      <c r="J867">
        <v>0</v>
      </c>
      <c r="K867" s="3">
        <v>9.1</v>
      </c>
      <c r="L867">
        <v>6470.0999999999904</v>
      </c>
    </row>
    <row r="868" spans="1:12" x14ac:dyDescent="0.3">
      <c r="A868">
        <v>11</v>
      </c>
      <c r="B868">
        <v>22</v>
      </c>
      <c r="C868">
        <v>1</v>
      </c>
      <c r="D868">
        <v>14</v>
      </c>
      <c r="E868">
        <v>12</v>
      </c>
      <c r="F868">
        <v>0</v>
      </c>
      <c r="G868">
        <v>2</v>
      </c>
      <c r="H868" t="s">
        <v>32</v>
      </c>
      <c r="I868" t="s">
        <v>121</v>
      </c>
      <c r="J868">
        <v>450</v>
      </c>
      <c r="K868" s="3">
        <v>7.6</v>
      </c>
      <c r="L868">
        <v>3420</v>
      </c>
    </row>
    <row r="869" spans="1:12" x14ac:dyDescent="0.3">
      <c r="A869">
        <v>15</v>
      </c>
      <c r="B869">
        <v>23</v>
      </c>
      <c r="C869">
        <v>2</v>
      </c>
      <c r="D869">
        <v>20</v>
      </c>
      <c r="E869">
        <v>1</v>
      </c>
      <c r="F869">
        <v>0</v>
      </c>
      <c r="G869">
        <v>10</v>
      </c>
      <c r="H869" t="s">
        <v>43</v>
      </c>
      <c r="I869" t="s">
        <v>112</v>
      </c>
      <c r="J869">
        <v>743</v>
      </c>
      <c r="K869" s="3">
        <v>7.6</v>
      </c>
      <c r="L869">
        <v>5646.8</v>
      </c>
    </row>
    <row r="870" spans="1:12" x14ac:dyDescent="0.3">
      <c r="A870">
        <v>9</v>
      </c>
      <c r="B870">
        <v>17</v>
      </c>
      <c r="C870">
        <v>0</v>
      </c>
      <c r="D870">
        <v>16</v>
      </c>
      <c r="E870">
        <v>1</v>
      </c>
      <c r="F870">
        <v>0</v>
      </c>
      <c r="G870">
        <v>10</v>
      </c>
      <c r="H870" t="s">
        <v>33</v>
      </c>
      <c r="I870" t="s">
        <v>96</v>
      </c>
      <c r="J870">
        <v>313</v>
      </c>
      <c r="K870" s="3">
        <v>9.3000000000000007</v>
      </c>
      <c r="L870">
        <v>2910.9</v>
      </c>
    </row>
    <row r="871" spans="1:12" x14ac:dyDescent="0.3">
      <c r="A871">
        <v>16</v>
      </c>
      <c r="B871">
        <v>23</v>
      </c>
      <c r="C871">
        <v>2</v>
      </c>
      <c r="D871">
        <v>5</v>
      </c>
      <c r="E871">
        <v>1</v>
      </c>
      <c r="F871">
        <v>0</v>
      </c>
      <c r="G871">
        <v>10</v>
      </c>
      <c r="H871" t="s">
        <v>16</v>
      </c>
      <c r="I871" t="s">
        <v>92</v>
      </c>
      <c r="J871">
        <v>386</v>
      </c>
      <c r="K871" s="3">
        <v>8.9</v>
      </c>
      <c r="L871">
        <v>3435.4</v>
      </c>
    </row>
    <row r="872" spans="1:12" x14ac:dyDescent="0.3">
      <c r="A872">
        <v>9</v>
      </c>
      <c r="B872">
        <v>17</v>
      </c>
      <c r="C872">
        <v>1</v>
      </c>
      <c r="D872">
        <v>3</v>
      </c>
      <c r="E872">
        <v>1</v>
      </c>
      <c r="F872">
        <v>0</v>
      </c>
      <c r="G872">
        <v>8</v>
      </c>
      <c r="H872" t="s">
        <v>32</v>
      </c>
      <c r="I872" t="s">
        <v>88</v>
      </c>
      <c r="J872">
        <v>263</v>
      </c>
      <c r="K872" s="3">
        <v>7.6</v>
      </c>
      <c r="L872">
        <v>1998.8</v>
      </c>
    </row>
    <row r="873" spans="1:12" x14ac:dyDescent="0.3">
      <c r="A873">
        <v>16</v>
      </c>
      <c r="B873">
        <v>23</v>
      </c>
      <c r="C873">
        <v>2</v>
      </c>
      <c r="D873">
        <v>16</v>
      </c>
      <c r="E873">
        <v>12</v>
      </c>
      <c r="F873">
        <v>0</v>
      </c>
      <c r="G873">
        <v>3</v>
      </c>
      <c r="H873" t="s">
        <v>16</v>
      </c>
      <c r="I873" t="s">
        <v>90</v>
      </c>
      <c r="J873">
        <v>597</v>
      </c>
      <c r="K873" s="3">
        <v>8.9</v>
      </c>
      <c r="L873">
        <v>5313.3</v>
      </c>
    </row>
    <row r="874" spans="1:12" x14ac:dyDescent="0.3">
      <c r="A874">
        <v>10</v>
      </c>
      <c r="B874">
        <v>18</v>
      </c>
      <c r="C874">
        <v>0</v>
      </c>
      <c r="D874">
        <v>4</v>
      </c>
      <c r="E874">
        <v>1</v>
      </c>
      <c r="F874">
        <v>0</v>
      </c>
      <c r="G874">
        <v>8</v>
      </c>
      <c r="H874" t="s">
        <v>36</v>
      </c>
      <c r="I874" t="s">
        <v>106</v>
      </c>
      <c r="J874">
        <v>231</v>
      </c>
      <c r="K874" s="3">
        <v>8.8000000000000007</v>
      </c>
      <c r="L874">
        <v>0</v>
      </c>
    </row>
    <row r="875" spans="1:12" x14ac:dyDescent="0.3">
      <c r="A875">
        <v>12</v>
      </c>
      <c r="B875">
        <v>23</v>
      </c>
      <c r="C875">
        <v>1</v>
      </c>
      <c r="D875">
        <v>7</v>
      </c>
      <c r="E875">
        <v>1</v>
      </c>
      <c r="F875">
        <v>0</v>
      </c>
      <c r="G875">
        <v>11</v>
      </c>
      <c r="H875" t="s">
        <v>25</v>
      </c>
      <c r="I875" t="s">
        <v>84</v>
      </c>
      <c r="J875">
        <v>0</v>
      </c>
      <c r="K875" s="3">
        <v>8.1</v>
      </c>
      <c r="L875">
        <v>3734.1</v>
      </c>
    </row>
    <row r="876" spans="1:12" x14ac:dyDescent="0.3">
      <c r="A876">
        <v>17</v>
      </c>
      <c r="B876">
        <v>23</v>
      </c>
      <c r="C876">
        <v>1</v>
      </c>
      <c r="D876">
        <v>12</v>
      </c>
      <c r="E876">
        <v>12</v>
      </c>
      <c r="F876">
        <v>0</v>
      </c>
      <c r="G876">
        <v>9</v>
      </c>
      <c r="H876" t="s">
        <v>33</v>
      </c>
      <c r="I876" t="s">
        <v>89</v>
      </c>
      <c r="J876">
        <v>501</v>
      </c>
      <c r="K876">
        <v>9.3000000000000007</v>
      </c>
      <c r="L876">
        <v>4659.3</v>
      </c>
    </row>
    <row r="877" spans="1:12" x14ac:dyDescent="0.3">
      <c r="A877">
        <v>7</v>
      </c>
      <c r="B877">
        <v>20</v>
      </c>
      <c r="C877">
        <v>2</v>
      </c>
      <c r="D877">
        <v>11</v>
      </c>
      <c r="E877">
        <v>1</v>
      </c>
      <c r="F877">
        <v>0</v>
      </c>
      <c r="G877">
        <v>4</v>
      </c>
      <c r="H877" t="s">
        <v>32</v>
      </c>
      <c r="I877" t="s">
        <v>118</v>
      </c>
      <c r="J877">
        <v>351</v>
      </c>
      <c r="K877" s="3">
        <v>7.6</v>
      </c>
      <c r="L877">
        <v>2667.6</v>
      </c>
    </row>
    <row r="878" spans="1:12" x14ac:dyDescent="0.3">
      <c r="A878">
        <v>23</v>
      </c>
      <c r="B878">
        <v>22</v>
      </c>
      <c r="C878">
        <v>1</v>
      </c>
      <c r="D878">
        <v>3</v>
      </c>
      <c r="E878">
        <v>12</v>
      </c>
      <c r="F878">
        <v>0</v>
      </c>
      <c r="G878">
        <v>5</v>
      </c>
      <c r="H878" t="s">
        <v>23</v>
      </c>
      <c r="I878" t="s">
        <v>74</v>
      </c>
      <c r="J878">
        <v>461</v>
      </c>
      <c r="K878" s="3">
        <v>8.4</v>
      </c>
      <c r="L878">
        <v>3872.4</v>
      </c>
    </row>
    <row r="879" spans="1:12" x14ac:dyDescent="0.3">
      <c r="A879">
        <v>12</v>
      </c>
      <c r="B879">
        <v>23</v>
      </c>
      <c r="C879">
        <v>2</v>
      </c>
      <c r="D879">
        <v>13</v>
      </c>
      <c r="E879">
        <v>12</v>
      </c>
      <c r="F879">
        <v>0</v>
      </c>
      <c r="G879">
        <v>0</v>
      </c>
      <c r="H879" t="s">
        <v>36</v>
      </c>
      <c r="I879" t="s">
        <v>118</v>
      </c>
      <c r="J879">
        <v>544</v>
      </c>
      <c r="K879" s="3">
        <v>8.8000000000000007</v>
      </c>
      <c r="L879">
        <v>4787.2</v>
      </c>
    </row>
    <row r="880" spans="1:12" x14ac:dyDescent="0.3">
      <c r="A880">
        <v>11</v>
      </c>
      <c r="B880">
        <v>22</v>
      </c>
      <c r="C880">
        <v>2</v>
      </c>
      <c r="D880">
        <v>4</v>
      </c>
      <c r="E880">
        <v>1</v>
      </c>
      <c r="F880">
        <v>0</v>
      </c>
      <c r="G880">
        <v>11</v>
      </c>
      <c r="H880" t="s">
        <v>26</v>
      </c>
      <c r="I880" t="s">
        <v>107</v>
      </c>
      <c r="J880">
        <v>296</v>
      </c>
      <c r="K880" s="3">
        <v>8.5</v>
      </c>
      <c r="L880">
        <v>2516</v>
      </c>
    </row>
    <row r="881" spans="1:12" x14ac:dyDescent="0.3">
      <c r="A881">
        <v>22</v>
      </c>
      <c r="B881">
        <v>22</v>
      </c>
      <c r="C881">
        <v>1</v>
      </c>
      <c r="D881">
        <v>4</v>
      </c>
      <c r="E881">
        <v>1</v>
      </c>
      <c r="F881">
        <v>0</v>
      </c>
      <c r="G881">
        <v>3</v>
      </c>
      <c r="H881" t="s">
        <v>25</v>
      </c>
      <c r="I881" t="s">
        <v>72</v>
      </c>
      <c r="J881">
        <v>388</v>
      </c>
      <c r="K881" s="3">
        <v>8.1</v>
      </c>
      <c r="L881">
        <v>3142.7999999999902</v>
      </c>
    </row>
    <row r="882" spans="1:12" x14ac:dyDescent="0.3">
      <c r="A882">
        <v>9</v>
      </c>
      <c r="B882">
        <v>0</v>
      </c>
      <c r="C882">
        <v>2</v>
      </c>
      <c r="D882">
        <v>0</v>
      </c>
      <c r="E882">
        <v>7</v>
      </c>
      <c r="F882">
        <v>0</v>
      </c>
      <c r="G882">
        <v>8</v>
      </c>
      <c r="H882" t="s">
        <v>20</v>
      </c>
      <c r="I882" t="s">
        <v>85</v>
      </c>
      <c r="J882">
        <v>449</v>
      </c>
      <c r="K882" s="3">
        <v>9.1</v>
      </c>
      <c r="L882">
        <v>4085.8999999999901</v>
      </c>
    </row>
    <row r="883" spans="1:12" x14ac:dyDescent="0.3">
      <c r="A883">
        <v>15</v>
      </c>
      <c r="B883">
        <v>23</v>
      </c>
      <c r="C883">
        <v>0</v>
      </c>
      <c r="D883">
        <v>19</v>
      </c>
      <c r="E883">
        <v>1</v>
      </c>
      <c r="F883">
        <v>0</v>
      </c>
      <c r="G883">
        <v>8</v>
      </c>
      <c r="H883" t="s">
        <v>20</v>
      </c>
      <c r="I883" t="s">
        <v>76</v>
      </c>
      <c r="J883">
        <v>551</v>
      </c>
      <c r="K883" s="3">
        <v>9.1</v>
      </c>
      <c r="L883">
        <v>5014.0999999999904</v>
      </c>
    </row>
    <row r="884" spans="1:12" x14ac:dyDescent="0.3">
      <c r="A884">
        <v>11</v>
      </c>
      <c r="B884">
        <v>23</v>
      </c>
      <c r="C884">
        <v>2</v>
      </c>
      <c r="D884">
        <v>15</v>
      </c>
      <c r="E884">
        <v>1</v>
      </c>
      <c r="F884">
        <v>0</v>
      </c>
      <c r="G884">
        <v>8</v>
      </c>
      <c r="H884" t="s">
        <v>15</v>
      </c>
      <c r="I884" t="s">
        <v>79</v>
      </c>
      <c r="J884">
        <v>615</v>
      </c>
      <c r="K884" s="3">
        <v>8.3000000000000007</v>
      </c>
      <c r="L884">
        <v>99999</v>
      </c>
    </row>
    <row r="885" spans="1:12" x14ac:dyDescent="0.3">
      <c r="A885">
        <v>19</v>
      </c>
      <c r="B885">
        <v>22</v>
      </c>
      <c r="C885">
        <v>2</v>
      </c>
      <c r="D885">
        <v>0</v>
      </c>
      <c r="E885">
        <v>12</v>
      </c>
      <c r="F885">
        <v>0</v>
      </c>
      <c r="G885">
        <v>12</v>
      </c>
      <c r="H885" t="s">
        <v>18</v>
      </c>
      <c r="I885" t="s">
        <v>94</v>
      </c>
      <c r="J885">
        <v>732</v>
      </c>
      <c r="K885" s="3">
        <v>7.7</v>
      </c>
      <c r="L885">
        <v>5636.4</v>
      </c>
    </row>
    <row r="886" spans="1:12" x14ac:dyDescent="0.3">
      <c r="A886">
        <v>6</v>
      </c>
      <c r="B886">
        <v>18</v>
      </c>
      <c r="C886">
        <v>0</v>
      </c>
      <c r="D886">
        <v>18</v>
      </c>
      <c r="E886">
        <v>1</v>
      </c>
      <c r="F886">
        <v>0</v>
      </c>
      <c r="G886">
        <v>0</v>
      </c>
      <c r="H886" t="s">
        <v>18</v>
      </c>
      <c r="I886" t="s">
        <v>83</v>
      </c>
      <c r="J886">
        <v>489</v>
      </c>
      <c r="K886" s="3">
        <v>7.7</v>
      </c>
      <c r="L886">
        <v>3765.3</v>
      </c>
    </row>
    <row r="887" spans="1:12" x14ac:dyDescent="0.3">
      <c r="A887">
        <v>14</v>
      </c>
      <c r="B887">
        <v>22</v>
      </c>
      <c r="C887">
        <v>3</v>
      </c>
      <c r="D887">
        <v>15</v>
      </c>
      <c r="E887">
        <v>12</v>
      </c>
      <c r="F887">
        <v>0</v>
      </c>
      <c r="G887">
        <v>11</v>
      </c>
      <c r="H887" t="s">
        <v>15</v>
      </c>
      <c r="I887" t="s">
        <v>90</v>
      </c>
      <c r="J887">
        <v>541</v>
      </c>
      <c r="K887" s="3">
        <v>8.3000000000000007</v>
      </c>
      <c r="L887">
        <v>4490.3</v>
      </c>
    </row>
    <row r="888" spans="1:12" x14ac:dyDescent="0.3">
      <c r="A888">
        <v>11</v>
      </c>
      <c r="B888">
        <v>23</v>
      </c>
      <c r="C888">
        <v>3</v>
      </c>
      <c r="D888">
        <v>19</v>
      </c>
      <c r="E888">
        <v>1</v>
      </c>
      <c r="F888">
        <v>0</v>
      </c>
      <c r="G888">
        <v>5</v>
      </c>
      <c r="H888" t="s">
        <v>55</v>
      </c>
      <c r="I888" t="s">
        <v>89</v>
      </c>
      <c r="J888">
        <v>712</v>
      </c>
      <c r="K888" s="3">
        <v>7.8</v>
      </c>
      <c r="L888">
        <v>5553.5999999999904</v>
      </c>
    </row>
    <row r="889" spans="1:12" x14ac:dyDescent="0.3">
      <c r="A889">
        <v>21</v>
      </c>
      <c r="B889">
        <v>23</v>
      </c>
      <c r="C889">
        <v>0</v>
      </c>
      <c r="D889">
        <v>13</v>
      </c>
      <c r="E889">
        <v>12</v>
      </c>
      <c r="F889">
        <v>0</v>
      </c>
      <c r="G889">
        <v>1</v>
      </c>
      <c r="H889" t="s">
        <v>15</v>
      </c>
      <c r="I889" t="s">
        <v>115</v>
      </c>
      <c r="J889">
        <v>644</v>
      </c>
      <c r="K889" s="3">
        <v>8.3000000000000007</v>
      </c>
      <c r="L889">
        <v>5345.2</v>
      </c>
    </row>
    <row r="890" spans="1:12" x14ac:dyDescent="0.3">
      <c r="A890">
        <v>15</v>
      </c>
      <c r="B890">
        <v>22</v>
      </c>
      <c r="C890">
        <v>3</v>
      </c>
      <c r="D890">
        <v>15</v>
      </c>
      <c r="E890">
        <v>12</v>
      </c>
      <c r="F890">
        <v>0</v>
      </c>
      <c r="G890">
        <v>5</v>
      </c>
      <c r="H890" t="s">
        <v>36</v>
      </c>
      <c r="I890" t="s">
        <v>73</v>
      </c>
      <c r="J890">
        <v>625</v>
      </c>
      <c r="K890" s="3">
        <v>8.8000000000000007</v>
      </c>
      <c r="L890">
        <v>5500</v>
      </c>
    </row>
    <row r="891" spans="1:12" x14ac:dyDescent="0.3">
      <c r="A891">
        <v>16</v>
      </c>
      <c r="B891">
        <v>22</v>
      </c>
      <c r="C891">
        <v>3</v>
      </c>
      <c r="D891">
        <v>14</v>
      </c>
      <c r="E891">
        <v>1</v>
      </c>
      <c r="F891">
        <v>0</v>
      </c>
      <c r="G891">
        <v>6</v>
      </c>
      <c r="H891" t="s">
        <v>24</v>
      </c>
      <c r="I891" t="s">
        <v>73</v>
      </c>
      <c r="J891">
        <v>450</v>
      </c>
      <c r="K891" s="3">
        <v>7.9</v>
      </c>
      <c r="L891">
        <v>0</v>
      </c>
    </row>
    <row r="892" spans="1:12" x14ac:dyDescent="0.3">
      <c r="A892">
        <v>15</v>
      </c>
      <c r="B892">
        <v>22</v>
      </c>
      <c r="C892">
        <v>0</v>
      </c>
      <c r="D892">
        <v>12</v>
      </c>
      <c r="E892">
        <v>1</v>
      </c>
      <c r="F892">
        <v>0</v>
      </c>
      <c r="G892">
        <v>12</v>
      </c>
      <c r="H892" t="s">
        <v>35</v>
      </c>
      <c r="I892" t="s">
        <v>87</v>
      </c>
      <c r="J892">
        <v>463</v>
      </c>
      <c r="K892" s="3">
        <v>8.1999999999999993</v>
      </c>
      <c r="L892">
        <v>0</v>
      </c>
    </row>
    <row r="893" spans="1:12" x14ac:dyDescent="0.3">
      <c r="A893">
        <v>6</v>
      </c>
      <c r="B893">
        <v>20</v>
      </c>
      <c r="C893">
        <v>1</v>
      </c>
      <c r="D893">
        <v>15</v>
      </c>
      <c r="E893">
        <v>7</v>
      </c>
      <c r="F893">
        <v>0</v>
      </c>
      <c r="G893">
        <v>1</v>
      </c>
      <c r="H893" t="s">
        <v>31</v>
      </c>
      <c r="I893" t="s">
        <v>79</v>
      </c>
      <c r="J893">
        <v>454</v>
      </c>
      <c r="K893" s="3">
        <v>7.9</v>
      </c>
      <c r="L893">
        <v>3586.6</v>
      </c>
    </row>
    <row r="894" spans="1:12" x14ac:dyDescent="0.3">
      <c r="A894">
        <v>19</v>
      </c>
      <c r="B894">
        <v>22</v>
      </c>
      <c r="C894">
        <v>3</v>
      </c>
      <c r="D894">
        <v>14</v>
      </c>
      <c r="E894">
        <v>1</v>
      </c>
      <c r="F894">
        <v>0</v>
      </c>
      <c r="G894">
        <v>1</v>
      </c>
      <c r="H894" t="s">
        <v>35</v>
      </c>
      <c r="I894" t="s">
        <v>91</v>
      </c>
      <c r="J894">
        <v>527</v>
      </c>
      <c r="K894" s="3">
        <v>8.1999999999999993</v>
      </c>
      <c r="L894">
        <v>4321.3999999999996</v>
      </c>
    </row>
    <row r="895" spans="1:12" x14ac:dyDescent="0.3">
      <c r="A895">
        <v>6</v>
      </c>
      <c r="B895">
        <v>22</v>
      </c>
      <c r="C895">
        <v>1</v>
      </c>
      <c r="D895">
        <v>16</v>
      </c>
      <c r="E895">
        <v>1</v>
      </c>
      <c r="F895">
        <v>0</v>
      </c>
      <c r="G895">
        <v>0</v>
      </c>
      <c r="H895" t="s">
        <v>62</v>
      </c>
      <c r="I895" t="s">
        <v>76</v>
      </c>
      <c r="J895">
        <v>456</v>
      </c>
      <c r="K895" s="3">
        <v>8.5</v>
      </c>
      <c r="L895">
        <v>3876</v>
      </c>
    </row>
    <row r="896" spans="1:12" x14ac:dyDescent="0.3">
      <c r="A896">
        <v>21</v>
      </c>
      <c r="B896">
        <v>23</v>
      </c>
      <c r="C896">
        <v>3</v>
      </c>
      <c r="D896">
        <v>22</v>
      </c>
      <c r="E896">
        <v>1</v>
      </c>
      <c r="F896">
        <v>0</v>
      </c>
      <c r="G896">
        <v>12</v>
      </c>
      <c r="H896" t="s">
        <v>30</v>
      </c>
      <c r="I896" t="s">
        <v>105</v>
      </c>
      <c r="J896">
        <v>727</v>
      </c>
      <c r="K896" s="3">
        <v>9.1999999999999993</v>
      </c>
      <c r="L896">
        <v>6688.4</v>
      </c>
    </row>
    <row r="897" spans="1:12" x14ac:dyDescent="0.3">
      <c r="A897">
        <v>7</v>
      </c>
      <c r="B897">
        <v>20</v>
      </c>
      <c r="C897">
        <v>0</v>
      </c>
      <c r="D897">
        <v>5</v>
      </c>
      <c r="E897">
        <v>1</v>
      </c>
      <c r="F897">
        <v>0</v>
      </c>
      <c r="G897">
        <v>5</v>
      </c>
      <c r="H897" t="s">
        <v>35</v>
      </c>
      <c r="I897" t="s">
        <v>80</v>
      </c>
      <c r="J897">
        <v>192</v>
      </c>
      <c r="K897" s="3" t="s">
        <v>143</v>
      </c>
      <c r="L897">
        <v>1574.3999999999901</v>
      </c>
    </row>
    <row r="898" spans="1:12" x14ac:dyDescent="0.3">
      <c r="A898">
        <v>11</v>
      </c>
      <c r="B898">
        <v>22</v>
      </c>
      <c r="C898">
        <v>2</v>
      </c>
      <c r="D898">
        <v>7</v>
      </c>
      <c r="E898">
        <v>1</v>
      </c>
      <c r="F898">
        <v>0</v>
      </c>
      <c r="G898">
        <v>5</v>
      </c>
      <c r="H898" t="s">
        <v>25</v>
      </c>
      <c r="I898" t="s">
        <v>96</v>
      </c>
      <c r="J898">
        <v>492</v>
      </c>
      <c r="K898" s="3">
        <v>8.1</v>
      </c>
      <c r="L898">
        <v>3985.2</v>
      </c>
    </row>
    <row r="899" spans="1:12" x14ac:dyDescent="0.3">
      <c r="A899">
        <v>19</v>
      </c>
      <c r="B899">
        <v>23</v>
      </c>
      <c r="C899">
        <v>2</v>
      </c>
      <c r="D899">
        <v>7</v>
      </c>
      <c r="E899">
        <v>12</v>
      </c>
      <c r="F899">
        <v>0</v>
      </c>
      <c r="G899">
        <v>0</v>
      </c>
      <c r="H899" t="s">
        <v>16</v>
      </c>
      <c r="I899" t="s">
        <v>84</v>
      </c>
      <c r="J899">
        <v>674</v>
      </c>
      <c r="K899" s="3">
        <v>8.9</v>
      </c>
      <c r="L899">
        <v>5998.6</v>
      </c>
    </row>
    <row r="900" spans="1:12" x14ac:dyDescent="0.3">
      <c r="A900">
        <v>19</v>
      </c>
      <c r="B900">
        <v>22</v>
      </c>
      <c r="C900">
        <v>0</v>
      </c>
      <c r="D900">
        <v>16</v>
      </c>
      <c r="E900">
        <v>12</v>
      </c>
      <c r="F900">
        <v>0</v>
      </c>
      <c r="G900">
        <v>6</v>
      </c>
      <c r="H900" t="s">
        <v>47</v>
      </c>
      <c r="I900" t="s">
        <v>91</v>
      </c>
      <c r="J900">
        <v>687</v>
      </c>
      <c r="K900" s="3">
        <v>9.1</v>
      </c>
      <c r="L900">
        <v>6251.7</v>
      </c>
    </row>
    <row r="901" spans="1:12" x14ac:dyDescent="0.3">
      <c r="A901">
        <v>11</v>
      </c>
      <c r="B901">
        <v>22</v>
      </c>
      <c r="C901">
        <v>0</v>
      </c>
      <c r="D901">
        <v>10</v>
      </c>
      <c r="E901">
        <v>1</v>
      </c>
      <c r="F901">
        <v>0</v>
      </c>
      <c r="G901">
        <v>10</v>
      </c>
      <c r="H901" t="s">
        <v>15</v>
      </c>
      <c r="I901" t="s">
        <v>80</v>
      </c>
      <c r="J901">
        <v>533</v>
      </c>
      <c r="K901" s="3">
        <v>8.3000000000000007</v>
      </c>
      <c r="L901">
        <v>4423.8999999999996</v>
      </c>
    </row>
    <row r="902" spans="1:12" x14ac:dyDescent="0.3">
      <c r="A902">
        <v>17</v>
      </c>
      <c r="B902">
        <v>22</v>
      </c>
      <c r="C902">
        <v>1</v>
      </c>
      <c r="D902">
        <v>13</v>
      </c>
      <c r="E902">
        <v>1</v>
      </c>
      <c r="F902">
        <v>0</v>
      </c>
      <c r="G902">
        <v>1</v>
      </c>
      <c r="H902" t="s">
        <v>35</v>
      </c>
      <c r="I902" t="s">
        <v>72</v>
      </c>
      <c r="J902">
        <v>519</v>
      </c>
      <c r="K902" s="3">
        <v>8.1999999999999993</v>
      </c>
      <c r="L902">
        <v>4255.7999999999902</v>
      </c>
    </row>
    <row r="903" spans="1:12" x14ac:dyDescent="0.3">
      <c r="A903">
        <v>0</v>
      </c>
      <c r="B903">
        <v>22</v>
      </c>
      <c r="C903">
        <v>1</v>
      </c>
      <c r="D903">
        <v>4</v>
      </c>
      <c r="E903">
        <v>1</v>
      </c>
      <c r="F903">
        <v>0</v>
      </c>
      <c r="G903">
        <v>10</v>
      </c>
      <c r="H903" t="s">
        <v>369</v>
      </c>
      <c r="I903" t="s">
        <v>75</v>
      </c>
      <c r="J903">
        <v>516</v>
      </c>
      <c r="K903" s="3">
        <v>7.8</v>
      </c>
      <c r="L903">
        <v>4024.7999999999902</v>
      </c>
    </row>
    <row r="904" spans="1:12" x14ac:dyDescent="0.3">
      <c r="A904">
        <v>23</v>
      </c>
      <c r="B904">
        <v>22</v>
      </c>
      <c r="C904">
        <v>0</v>
      </c>
      <c r="D904">
        <v>14</v>
      </c>
      <c r="E904">
        <v>1</v>
      </c>
      <c r="F904">
        <v>0</v>
      </c>
      <c r="G904">
        <v>12</v>
      </c>
      <c r="H904" t="s">
        <v>20</v>
      </c>
      <c r="I904" t="s">
        <v>100</v>
      </c>
      <c r="J904">
        <v>571</v>
      </c>
      <c r="K904" s="3">
        <v>9.1</v>
      </c>
      <c r="L904">
        <v>5196.0999999999904</v>
      </c>
    </row>
    <row r="905" spans="1:12" x14ac:dyDescent="0.3">
      <c r="A905">
        <v>6</v>
      </c>
      <c r="B905">
        <v>23</v>
      </c>
      <c r="C905">
        <v>1</v>
      </c>
      <c r="D905">
        <v>22</v>
      </c>
      <c r="E905">
        <v>1</v>
      </c>
      <c r="F905">
        <v>0</v>
      </c>
      <c r="G905">
        <v>0</v>
      </c>
      <c r="H905" t="s">
        <v>35</v>
      </c>
      <c r="I905" t="s">
        <v>91</v>
      </c>
      <c r="J905">
        <v>362</v>
      </c>
      <c r="K905" s="3">
        <v>8.1999999999999993</v>
      </c>
      <c r="L905">
        <v>2968.3999999999901</v>
      </c>
    </row>
    <row r="906" spans="1:12" x14ac:dyDescent="0.3">
      <c r="A906">
        <v>0</v>
      </c>
      <c r="B906">
        <v>18</v>
      </c>
      <c r="C906">
        <v>3</v>
      </c>
      <c r="D906">
        <v>14</v>
      </c>
      <c r="E906">
        <v>1</v>
      </c>
      <c r="F906">
        <v>0</v>
      </c>
      <c r="G906">
        <v>5</v>
      </c>
      <c r="H906" t="s">
        <v>23</v>
      </c>
      <c r="I906" t="s">
        <v>83</v>
      </c>
      <c r="J906">
        <v>383</v>
      </c>
      <c r="K906" s="3">
        <v>8.4</v>
      </c>
      <c r="L906">
        <v>3217.2</v>
      </c>
    </row>
    <row r="907" spans="1:12" x14ac:dyDescent="0.3">
      <c r="A907">
        <v>0</v>
      </c>
      <c r="B907">
        <v>22</v>
      </c>
      <c r="C907">
        <v>3</v>
      </c>
      <c r="D907">
        <v>5</v>
      </c>
      <c r="E907">
        <v>1</v>
      </c>
      <c r="F907">
        <v>0</v>
      </c>
      <c r="G907">
        <v>5</v>
      </c>
      <c r="H907" t="s">
        <v>16</v>
      </c>
      <c r="I907" t="s">
        <v>81</v>
      </c>
      <c r="J907">
        <v>574</v>
      </c>
      <c r="K907" s="3">
        <v>8.9</v>
      </c>
      <c r="L907">
        <v>5108.6000000000004</v>
      </c>
    </row>
    <row r="908" spans="1:12" x14ac:dyDescent="0.3">
      <c r="A908">
        <v>7</v>
      </c>
      <c r="B908">
        <v>19</v>
      </c>
      <c r="C908">
        <v>2</v>
      </c>
      <c r="D908">
        <v>19</v>
      </c>
      <c r="E908">
        <v>1</v>
      </c>
      <c r="F908">
        <v>0</v>
      </c>
      <c r="G908">
        <v>9</v>
      </c>
      <c r="H908" t="s">
        <v>369</v>
      </c>
      <c r="I908" t="s">
        <v>114</v>
      </c>
      <c r="J908">
        <v>494</v>
      </c>
      <c r="K908" s="3">
        <v>7.7</v>
      </c>
      <c r="L908">
        <v>3803.8</v>
      </c>
    </row>
    <row r="909" spans="1:12" x14ac:dyDescent="0.3">
      <c r="A909">
        <v>5</v>
      </c>
      <c r="B909">
        <v>21</v>
      </c>
      <c r="C909">
        <v>0</v>
      </c>
      <c r="D909">
        <v>5</v>
      </c>
      <c r="E909">
        <v>1</v>
      </c>
      <c r="F909">
        <v>0</v>
      </c>
      <c r="G909">
        <v>10</v>
      </c>
      <c r="H909" t="s">
        <v>18</v>
      </c>
      <c r="I909" t="s">
        <v>88</v>
      </c>
      <c r="J909">
        <v>316</v>
      </c>
      <c r="K909" s="3">
        <v>7.7</v>
      </c>
      <c r="L909">
        <v>2433.1999999999998</v>
      </c>
    </row>
    <row r="910" spans="1:12" x14ac:dyDescent="0.3">
      <c r="A910">
        <v>11</v>
      </c>
      <c r="B910">
        <v>23</v>
      </c>
      <c r="C910">
        <v>1</v>
      </c>
      <c r="D910">
        <v>8</v>
      </c>
      <c r="E910">
        <v>1</v>
      </c>
      <c r="F910">
        <v>0</v>
      </c>
      <c r="G910">
        <v>11</v>
      </c>
      <c r="H910" t="s">
        <v>35</v>
      </c>
      <c r="I910" t="s">
        <v>84</v>
      </c>
      <c r="J910">
        <v>510</v>
      </c>
      <c r="K910">
        <v>8.1999999999999993</v>
      </c>
      <c r="L910">
        <v>4182</v>
      </c>
    </row>
    <row r="911" spans="1:12" x14ac:dyDescent="0.3">
      <c r="A911">
        <v>5</v>
      </c>
      <c r="B911">
        <v>0</v>
      </c>
      <c r="C911">
        <v>2</v>
      </c>
      <c r="D911">
        <v>5</v>
      </c>
      <c r="E911">
        <v>7</v>
      </c>
      <c r="F911">
        <v>0</v>
      </c>
      <c r="G911">
        <v>4</v>
      </c>
      <c r="H911" t="s">
        <v>38</v>
      </c>
      <c r="I911" t="s">
        <v>74</v>
      </c>
      <c r="J911">
        <v>280</v>
      </c>
      <c r="K911" s="3">
        <v>7.4</v>
      </c>
      <c r="L911">
        <v>2072</v>
      </c>
    </row>
    <row r="912" spans="1:12" x14ac:dyDescent="0.3">
      <c r="A912">
        <v>21</v>
      </c>
      <c r="B912">
        <v>23</v>
      </c>
      <c r="C912">
        <v>0</v>
      </c>
      <c r="D912">
        <v>22</v>
      </c>
      <c r="E912">
        <v>1</v>
      </c>
      <c r="F912">
        <v>0</v>
      </c>
      <c r="G912">
        <v>12</v>
      </c>
      <c r="H912" t="s">
        <v>18</v>
      </c>
      <c r="I912" t="s">
        <v>88</v>
      </c>
      <c r="J912">
        <v>534</v>
      </c>
      <c r="K912" s="3">
        <v>7.7</v>
      </c>
      <c r="L912">
        <v>4111.8</v>
      </c>
    </row>
    <row r="913" spans="1:12" x14ac:dyDescent="0.3">
      <c r="A913">
        <v>12</v>
      </c>
      <c r="B913">
        <v>22</v>
      </c>
      <c r="C913">
        <v>3</v>
      </c>
      <c r="D913">
        <v>0</v>
      </c>
      <c r="E913">
        <v>1</v>
      </c>
      <c r="F913">
        <v>0</v>
      </c>
      <c r="G913">
        <v>3</v>
      </c>
      <c r="H913" t="s">
        <v>15</v>
      </c>
      <c r="I913" t="s">
        <v>82</v>
      </c>
      <c r="J913">
        <v>465</v>
      </c>
      <c r="K913" s="3">
        <v>8.3000000000000007</v>
      </c>
      <c r="L913">
        <v>3859.5</v>
      </c>
    </row>
    <row r="914" spans="1:12" x14ac:dyDescent="0.3">
      <c r="A914">
        <v>0</v>
      </c>
      <c r="B914">
        <v>23</v>
      </c>
      <c r="C914">
        <v>3</v>
      </c>
      <c r="D914">
        <v>11</v>
      </c>
      <c r="E914">
        <v>7</v>
      </c>
      <c r="F914">
        <v>0</v>
      </c>
      <c r="G914">
        <v>5</v>
      </c>
      <c r="H914" t="s">
        <v>30</v>
      </c>
      <c r="I914" t="s">
        <v>89</v>
      </c>
      <c r="J914">
        <v>469</v>
      </c>
      <c r="K914" s="3">
        <v>9.1999999999999993</v>
      </c>
      <c r="L914">
        <v>4314.7999999999902</v>
      </c>
    </row>
    <row r="915" spans="1:12" x14ac:dyDescent="0.3">
      <c r="A915">
        <v>0</v>
      </c>
      <c r="B915">
        <v>18</v>
      </c>
      <c r="C915">
        <v>3</v>
      </c>
      <c r="D915">
        <v>15</v>
      </c>
      <c r="E915">
        <v>1</v>
      </c>
      <c r="F915">
        <v>0</v>
      </c>
      <c r="G915">
        <v>2</v>
      </c>
      <c r="H915" t="s">
        <v>24</v>
      </c>
      <c r="I915" t="s">
        <v>109</v>
      </c>
      <c r="J915">
        <v>520</v>
      </c>
      <c r="K915" s="3">
        <v>7.9</v>
      </c>
      <c r="L915">
        <v>4108</v>
      </c>
    </row>
    <row r="916" spans="1:12" x14ac:dyDescent="0.3">
      <c r="A916">
        <v>23</v>
      </c>
      <c r="B916">
        <v>22</v>
      </c>
      <c r="C916">
        <v>2</v>
      </c>
      <c r="D916">
        <v>17</v>
      </c>
      <c r="E916">
        <v>1</v>
      </c>
      <c r="F916">
        <v>0</v>
      </c>
      <c r="G916">
        <v>11</v>
      </c>
      <c r="H916" t="s">
        <v>23</v>
      </c>
      <c r="I916" t="s">
        <v>106</v>
      </c>
      <c r="J916">
        <v>497</v>
      </c>
      <c r="K916" s="3">
        <v>8.4</v>
      </c>
      <c r="L916">
        <v>4174.8</v>
      </c>
    </row>
    <row r="917" spans="1:12" x14ac:dyDescent="0.3">
      <c r="A917">
        <v>22</v>
      </c>
      <c r="B917">
        <v>23</v>
      </c>
      <c r="C917">
        <v>0</v>
      </c>
      <c r="D917">
        <v>0</v>
      </c>
      <c r="E917">
        <v>0</v>
      </c>
      <c r="F917">
        <v>0</v>
      </c>
      <c r="G917">
        <v>9</v>
      </c>
      <c r="H917" t="s">
        <v>35</v>
      </c>
      <c r="I917" t="s">
        <v>368</v>
      </c>
      <c r="J917">
        <v>540</v>
      </c>
      <c r="K917">
        <v>8.1999999999999993</v>
      </c>
      <c r="L917">
        <v>4428</v>
      </c>
    </row>
    <row r="918" spans="1:12" x14ac:dyDescent="0.3">
      <c r="A918">
        <v>8</v>
      </c>
      <c r="B918">
        <v>19</v>
      </c>
      <c r="C918">
        <v>3</v>
      </c>
      <c r="D918">
        <v>5</v>
      </c>
      <c r="E918">
        <v>7</v>
      </c>
      <c r="F918">
        <v>0</v>
      </c>
      <c r="G918">
        <v>12</v>
      </c>
      <c r="H918" t="s">
        <v>23</v>
      </c>
      <c r="I918" t="s">
        <v>80</v>
      </c>
      <c r="J918">
        <v>589</v>
      </c>
      <c r="K918" s="3">
        <v>8.4</v>
      </c>
      <c r="L918">
        <v>4947.6000000000004</v>
      </c>
    </row>
    <row r="919" spans="1:12" x14ac:dyDescent="0.3">
      <c r="A919">
        <v>7</v>
      </c>
      <c r="B919">
        <v>18</v>
      </c>
      <c r="C919">
        <v>1</v>
      </c>
      <c r="D919">
        <v>22</v>
      </c>
      <c r="E919">
        <v>1</v>
      </c>
      <c r="F919">
        <v>0</v>
      </c>
      <c r="G919">
        <v>9</v>
      </c>
      <c r="H919" t="s">
        <v>24</v>
      </c>
      <c r="I919" t="s">
        <v>96</v>
      </c>
      <c r="J919">
        <v>489</v>
      </c>
      <c r="K919" s="3">
        <v>7.9</v>
      </c>
      <c r="L919">
        <v>3863.1</v>
      </c>
    </row>
    <row r="920" spans="1:12" x14ac:dyDescent="0.3">
      <c r="A920">
        <v>23</v>
      </c>
      <c r="B920">
        <v>22</v>
      </c>
      <c r="C920">
        <v>2</v>
      </c>
      <c r="D920">
        <v>22</v>
      </c>
      <c r="E920">
        <v>0</v>
      </c>
      <c r="F920">
        <v>0</v>
      </c>
      <c r="G920">
        <v>5</v>
      </c>
      <c r="H920" t="s">
        <v>15</v>
      </c>
      <c r="I920" t="s">
        <v>83</v>
      </c>
      <c r="J920">
        <v>913</v>
      </c>
      <c r="K920" s="3">
        <v>8.3000000000000007</v>
      </c>
      <c r="L920">
        <v>7577.9</v>
      </c>
    </row>
    <row r="921" spans="1:12" x14ac:dyDescent="0.3">
      <c r="A921">
        <v>15</v>
      </c>
      <c r="B921">
        <v>23</v>
      </c>
      <c r="C921">
        <v>2</v>
      </c>
      <c r="D921">
        <v>3</v>
      </c>
      <c r="E921">
        <v>1</v>
      </c>
      <c r="F921">
        <v>0</v>
      </c>
      <c r="G921">
        <v>8</v>
      </c>
      <c r="H921" t="s">
        <v>35</v>
      </c>
      <c r="I921" t="s">
        <v>109</v>
      </c>
      <c r="J921">
        <v>480</v>
      </c>
      <c r="K921" s="3">
        <v>8.1999999999999993</v>
      </c>
      <c r="L921">
        <v>3935.99999999999</v>
      </c>
    </row>
    <row r="922" spans="1:12" x14ac:dyDescent="0.3">
      <c r="A922">
        <v>11</v>
      </c>
      <c r="B922">
        <v>22</v>
      </c>
      <c r="C922">
        <v>1</v>
      </c>
      <c r="D922">
        <v>12</v>
      </c>
      <c r="E922">
        <v>1</v>
      </c>
      <c r="F922">
        <v>0</v>
      </c>
      <c r="G922">
        <v>9</v>
      </c>
      <c r="H922" t="s">
        <v>22</v>
      </c>
      <c r="I922" t="s">
        <v>104</v>
      </c>
      <c r="J922">
        <v>338</v>
      </c>
      <c r="K922" s="3">
        <v>7.8</v>
      </c>
      <c r="L922">
        <v>2636.4</v>
      </c>
    </row>
    <row r="923" spans="1:12" x14ac:dyDescent="0.3">
      <c r="A923">
        <v>10</v>
      </c>
      <c r="B923">
        <v>23</v>
      </c>
      <c r="C923">
        <v>0</v>
      </c>
      <c r="D923">
        <v>5</v>
      </c>
      <c r="E923">
        <v>1</v>
      </c>
      <c r="F923">
        <v>0</v>
      </c>
      <c r="G923">
        <v>2</v>
      </c>
      <c r="H923" t="s">
        <v>369</v>
      </c>
      <c r="I923" t="s">
        <v>83</v>
      </c>
      <c r="J923">
        <v>213</v>
      </c>
      <c r="K923">
        <v>9.3000000000000007</v>
      </c>
      <c r="L923">
        <v>1980.9</v>
      </c>
    </row>
    <row r="924" spans="1:12" x14ac:dyDescent="0.3">
      <c r="A924">
        <v>17</v>
      </c>
      <c r="B924">
        <v>23</v>
      </c>
      <c r="C924">
        <v>3</v>
      </c>
      <c r="D924">
        <v>17</v>
      </c>
      <c r="E924">
        <v>1</v>
      </c>
      <c r="F924">
        <v>0</v>
      </c>
      <c r="G924">
        <v>10</v>
      </c>
      <c r="H924" t="s">
        <v>16</v>
      </c>
      <c r="I924" t="s">
        <v>70</v>
      </c>
      <c r="J924">
        <v>648</v>
      </c>
      <c r="K924">
        <v>8.9</v>
      </c>
      <c r="L924">
        <v>5767.2</v>
      </c>
    </row>
    <row r="925" spans="1:12" x14ac:dyDescent="0.3">
      <c r="A925">
        <v>18</v>
      </c>
      <c r="B925">
        <v>22</v>
      </c>
      <c r="C925">
        <v>1</v>
      </c>
      <c r="D925">
        <v>12</v>
      </c>
      <c r="E925">
        <v>12</v>
      </c>
      <c r="F925">
        <v>0</v>
      </c>
      <c r="G925">
        <v>12</v>
      </c>
      <c r="H925" t="s">
        <v>16</v>
      </c>
      <c r="I925" t="s">
        <v>108</v>
      </c>
      <c r="J925">
        <v>680</v>
      </c>
      <c r="K925" s="3">
        <v>8.9</v>
      </c>
      <c r="L925">
        <v>6052</v>
      </c>
    </row>
    <row r="926" spans="1:12" x14ac:dyDescent="0.3">
      <c r="A926">
        <v>6</v>
      </c>
      <c r="B926">
        <v>18</v>
      </c>
      <c r="C926">
        <v>3</v>
      </c>
      <c r="D926">
        <v>21</v>
      </c>
      <c r="E926">
        <v>1</v>
      </c>
      <c r="F926">
        <v>0</v>
      </c>
      <c r="G926">
        <v>11</v>
      </c>
      <c r="H926" t="s">
        <v>30</v>
      </c>
      <c r="I926" t="s">
        <v>87</v>
      </c>
      <c r="J926">
        <v>406</v>
      </c>
      <c r="K926" s="3">
        <v>9.1999999999999993</v>
      </c>
      <c r="L926">
        <v>3735.2</v>
      </c>
    </row>
    <row r="927" spans="1:12" x14ac:dyDescent="0.3">
      <c r="A927">
        <v>7</v>
      </c>
      <c r="B927">
        <v>20</v>
      </c>
      <c r="C927">
        <v>2</v>
      </c>
      <c r="D927">
        <v>20</v>
      </c>
      <c r="E927">
        <v>1</v>
      </c>
      <c r="F927">
        <v>0</v>
      </c>
      <c r="G927">
        <v>5</v>
      </c>
      <c r="H927" t="s">
        <v>22</v>
      </c>
      <c r="I927" t="s">
        <v>106</v>
      </c>
      <c r="J927">
        <v>456</v>
      </c>
      <c r="K927" s="3">
        <v>7.8</v>
      </c>
      <c r="L927">
        <v>3556.7999999999902</v>
      </c>
    </row>
    <row r="928" spans="1:12" x14ac:dyDescent="0.3">
      <c r="A928">
        <v>22</v>
      </c>
      <c r="B928">
        <v>23</v>
      </c>
      <c r="C928">
        <v>2</v>
      </c>
      <c r="D928">
        <v>4</v>
      </c>
      <c r="E928">
        <v>1</v>
      </c>
      <c r="F928">
        <v>0</v>
      </c>
      <c r="G928">
        <v>4</v>
      </c>
      <c r="H928" t="s">
        <v>15</v>
      </c>
      <c r="I928" t="s">
        <v>80</v>
      </c>
      <c r="J928">
        <v>415</v>
      </c>
      <c r="K928" s="3">
        <v>8.3000000000000007</v>
      </c>
      <c r="L928">
        <v>3444.5</v>
      </c>
    </row>
    <row r="929" spans="1:12" x14ac:dyDescent="0.3">
      <c r="A929">
        <v>13</v>
      </c>
      <c r="B929">
        <v>22</v>
      </c>
      <c r="C929">
        <v>2</v>
      </c>
      <c r="D929">
        <v>10</v>
      </c>
      <c r="E929">
        <v>1</v>
      </c>
      <c r="F929">
        <v>0</v>
      </c>
      <c r="G929">
        <v>12</v>
      </c>
      <c r="H929" t="s">
        <v>25</v>
      </c>
      <c r="I929" t="s">
        <v>94</v>
      </c>
      <c r="J929">
        <v>595</v>
      </c>
      <c r="K929" s="3">
        <v>8.1</v>
      </c>
      <c r="L929">
        <v>4819.5</v>
      </c>
    </row>
    <row r="930" spans="1:12" x14ac:dyDescent="0.3">
      <c r="A930">
        <v>19</v>
      </c>
      <c r="B930">
        <v>23</v>
      </c>
      <c r="C930">
        <v>1</v>
      </c>
      <c r="D930">
        <v>10</v>
      </c>
      <c r="E930">
        <v>1</v>
      </c>
      <c r="F930">
        <v>0</v>
      </c>
      <c r="G930">
        <v>5</v>
      </c>
      <c r="H930" t="s">
        <v>15</v>
      </c>
      <c r="I930" t="s">
        <v>77</v>
      </c>
      <c r="J930">
        <v>589</v>
      </c>
      <c r="K930" s="3">
        <v>8.3000000000000007</v>
      </c>
      <c r="L930">
        <v>4888.7</v>
      </c>
    </row>
    <row r="931" spans="1:12" x14ac:dyDescent="0.3">
      <c r="A931">
        <v>23</v>
      </c>
      <c r="B931">
        <v>23</v>
      </c>
      <c r="C931">
        <v>3</v>
      </c>
      <c r="D931">
        <v>22</v>
      </c>
      <c r="E931">
        <v>1</v>
      </c>
      <c r="F931">
        <v>0</v>
      </c>
      <c r="G931">
        <v>11</v>
      </c>
      <c r="H931" t="s">
        <v>369</v>
      </c>
      <c r="I931" t="s">
        <v>74</v>
      </c>
      <c r="J931">
        <v>655</v>
      </c>
      <c r="K931" s="3">
        <v>7.4</v>
      </c>
      <c r="L931">
        <v>4847</v>
      </c>
    </row>
    <row r="932" spans="1:12" x14ac:dyDescent="0.3">
      <c r="A932">
        <v>22</v>
      </c>
      <c r="B932">
        <v>22</v>
      </c>
      <c r="C932">
        <v>3</v>
      </c>
      <c r="D932">
        <v>5</v>
      </c>
      <c r="E932">
        <v>1</v>
      </c>
      <c r="F932">
        <v>0</v>
      </c>
      <c r="G932">
        <v>9</v>
      </c>
      <c r="H932" t="s">
        <v>20</v>
      </c>
      <c r="I932" t="s">
        <v>71</v>
      </c>
      <c r="J932">
        <v>560</v>
      </c>
      <c r="K932" s="3">
        <v>9.1</v>
      </c>
      <c r="L932">
        <v>5096</v>
      </c>
    </row>
    <row r="933" spans="1:12" x14ac:dyDescent="0.3">
      <c r="A933">
        <v>23</v>
      </c>
      <c r="B933">
        <v>22</v>
      </c>
      <c r="C933">
        <v>3</v>
      </c>
      <c r="D933">
        <v>11</v>
      </c>
      <c r="E933">
        <v>1</v>
      </c>
      <c r="F933">
        <v>0</v>
      </c>
      <c r="G933">
        <v>1</v>
      </c>
      <c r="H933" t="s">
        <v>23</v>
      </c>
      <c r="I933" t="s">
        <v>94</v>
      </c>
      <c r="J933">
        <v>503</v>
      </c>
      <c r="K933" s="3">
        <v>8.4</v>
      </c>
      <c r="L933">
        <v>4225.2</v>
      </c>
    </row>
    <row r="934" spans="1:12" x14ac:dyDescent="0.3">
      <c r="A934">
        <v>23</v>
      </c>
      <c r="B934">
        <v>23</v>
      </c>
      <c r="C934">
        <v>2</v>
      </c>
      <c r="D934">
        <v>0</v>
      </c>
      <c r="E934">
        <v>12</v>
      </c>
      <c r="F934">
        <v>0</v>
      </c>
      <c r="G934">
        <v>9</v>
      </c>
      <c r="H934" t="s">
        <v>64</v>
      </c>
      <c r="I934" t="s">
        <v>95</v>
      </c>
      <c r="J934">
        <v>639</v>
      </c>
      <c r="K934" s="3">
        <v>8.1999999999999993</v>
      </c>
      <c r="L934">
        <v>5239.7999999999902</v>
      </c>
    </row>
    <row r="935" spans="1:12" x14ac:dyDescent="0.3">
      <c r="A935">
        <v>19</v>
      </c>
      <c r="B935">
        <v>23</v>
      </c>
      <c r="C935">
        <v>2</v>
      </c>
      <c r="D935">
        <v>5</v>
      </c>
      <c r="E935">
        <v>1</v>
      </c>
      <c r="F935">
        <v>0</v>
      </c>
      <c r="G935">
        <v>10</v>
      </c>
      <c r="H935" t="s">
        <v>24</v>
      </c>
      <c r="I935" t="s">
        <v>82</v>
      </c>
      <c r="J935">
        <v>449</v>
      </c>
      <c r="K935" s="3">
        <v>7.9</v>
      </c>
      <c r="L935">
        <v>3547.1</v>
      </c>
    </row>
    <row r="936" spans="1:12" x14ac:dyDescent="0.3">
      <c r="A936">
        <v>17</v>
      </c>
      <c r="B936">
        <v>22</v>
      </c>
      <c r="C936">
        <v>3</v>
      </c>
      <c r="D936">
        <v>6</v>
      </c>
      <c r="E936">
        <v>1</v>
      </c>
      <c r="F936">
        <v>0</v>
      </c>
      <c r="G936">
        <v>8</v>
      </c>
      <c r="H936" t="s">
        <v>25</v>
      </c>
      <c r="I936" t="s">
        <v>77</v>
      </c>
      <c r="J936">
        <v>0</v>
      </c>
      <c r="K936" s="3">
        <v>8.1</v>
      </c>
      <c r="L936">
        <v>4479.3</v>
      </c>
    </row>
    <row r="937" spans="1:12" x14ac:dyDescent="0.3">
      <c r="A937">
        <v>16</v>
      </c>
      <c r="B937">
        <v>23</v>
      </c>
      <c r="C937">
        <v>2</v>
      </c>
      <c r="D937">
        <v>20</v>
      </c>
      <c r="E937">
        <v>1</v>
      </c>
      <c r="F937">
        <v>0</v>
      </c>
      <c r="G937">
        <v>5</v>
      </c>
      <c r="H937" t="s">
        <v>25</v>
      </c>
      <c r="I937" t="s">
        <v>96</v>
      </c>
      <c r="J937">
        <v>698</v>
      </c>
      <c r="K937" s="3">
        <v>8.1</v>
      </c>
      <c r="L937">
        <v>5653.8</v>
      </c>
    </row>
    <row r="938" spans="1:12" x14ac:dyDescent="0.3">
      <c r="A938">
        <v>14</v>
      </c>
      <c r="B938">
        <v>23</v>
      </c>
      <c r="C938">
        <v>3</v>
      </c>
      <c r="D938">
        <v>17</v>
      </c>
      <c r="E938">
        <v>1</v>
      </c>
      <c r="F938">
        <v>0</v>
      </c>
      <c r="G938">
        <v>8</v>
      </c>
      <c r="H938" t="s">
        <v>15</v>
      </c>
      <c r="I938" t="s">
        <v>74</v>
      </c>
      <c r="J938">
        <v>728</v>
      </c>
      <c r="K938" s="3">
        <v>8.3000000000000007</v>
      </c>
      <c r="L938">
        <v>6042.4</v>
      </c>
    </row>
    <row r="939" spans="1:12" x14ac:dyDescent="0.3">
      <c r="A939">
        <v>5</v>
      </c>
      <c r="B939">
        <v>20</v>
      </c>
      <c r="C939">
        <v>3</v>
      </c>
      <c r="D939">
        <v>11</v>
      </c>
      <c r="E939">
        <v>1</v>
      </c>
      <c r="F939">
        <v>0</v>
      </c>
      <c r="G939">
        <v>10</v>
      </c>
      <c r="H939" t="s">
        <v>25</v>
      </c>
      <c r="I939" t="s">
        <v>105</v>
      </c>
      <c r="J939">
        <v>547</v>
      </c>
      <c r="K939" s="3">
        <v>8.1</v>
      </c>
      <c r="L939">
        <v>4430.7</v>
      </c>
    </row>
    <row r="940" spans="1:12" x14ac:dyDescent="0.3">
      <c r="A940">
        <v>16</v>
      </c>
      <c r="B940">
        <v>22</v>
      </c>
      <c r="C940">
        <v>3</v>
      </c>
      <c r="D940">
        <v>3</v>
      </c>
      <c r="E940">
        <v>1</v>
      </c>
      <c r="F940">
        <v>0</v>
      </c>
      <c r="G940">
        <v>12</v>
      </c>
      <c r="H940" t="s">
        <v>30</v>
      </c>
      <c r="I940" t="s">
        <v>94</v>
      </c>
      <c r="J940">
        <v>601</v>
      </c>
      <c r="K940" s="3">
        <v>9.1999999999999993</v>
      </c>
      <c r="L940">
        <v>5529.2</v>
      </c>
    </row>
    <row r="941" spans="1:12" x14ac:dyDescent="0.3">
      <c r="A941">
        <v>20</v>
      </c>
      <c r="B941">
        <v>22</v>
      </c>
      <c r="C941">
        <v>1</v>
      </c>
      <c r="D941">
        <v>19</v>
      </c>
      <c r="E941">
        <v>1</v>
      </c>
      <c r="F941">
        <v>0</v>
      </c>
      <c r="G941">
        <v>8</v>
      </c>
      <c r="H941" t="s">
        <v>25</v>
      </c>
      <c r="I941" t="s">
        <v>75</v>
      </c>
      <c r="J941">
        <v>0</v>
      </c>
      <c r="K941" s="3">
        <v>8.1</v>
      </c>
      <c r="L941">
        <v>5410.8</v>
      </c>
    </row>
    <row r="942" spans="1:12" x14ac:dyDescent="0.3">
      <c r="A942">
        <v>7</v>
      </c>
      <c r="B942">
        <v>20</v>
      </c>
      <c r="C942">
        <v>1</v>
      </c>
      <c r="D942">
        <v>13</v>
      </c>
      <c r="E942">
        <v>1</v>
      </c>
      <c r="F942">
        <v>0</v>
      </c>
      <c r="G942">
        <v>6</v>
      </c>
      <c r="H942" t="s">
        <v>21</v>
      </c>
      <c r="I942" t="s">
        <v>75</v>
      </c>
      <c r="J942">
        <v>412</v>
      </c>
      <c r="K942" s="3">
        <v>8.6999999999999993</v>
      </c>
      <c r="L942">
        <v>3584.3999999999901</v>
      </c>
    </row>
    <row r="943" spans="1:12" x14ac:dyDescent="0.3">
      <c r="A943">
        <v>23</v>
      </c>
      <c r="B943">
        <v>22</v>
      </c>
      <c r="C943">
        <v>3</v>
      </c>
      <c r="D943">
        <v>11</v>
      </c>
      <c r="E943">
        <v>1</v>
      </c>
      <c r="F943">
        <v>0</v>
      </c>
      <c r="G943">
        <v>5</v>
      </c>
      <c r="H943" t="s">
        <v>35</v>
      </c>
      <c r="I943" t="s">
        <v>108</v>
      </c>
      <c r="J943">
        <v>524</v>
      </c>
      <c r="K943" s="3">
        <v>8.1999999999999993</v>
      </c>
      <c r="L943">
        <v>0</v>
      </c>
    </row>
    <row r="944" spans="1:12" x14ac:dyDescent="0.3">
      <c r="A944">
        <v>0</v>
      </c>
      <c r="B944">
        <v>23</v>
      </c>
      <c r="C944">
        <v>0</v>
      </c>
      <c r="D944">
        <v>14</v>
      </c>
      <c r="E944">
        <v>1</v>
      </c>
      <c r="F944">
        <v>0</v>
      </c>
      <c r="G944">
        <v>1</v>
      </c>
      <c r="H944" t="s">
        <v>32</v>
      </c>
      <c r="I944" t="s">
        <v>73</v>
      </c>
      <c r="J944">
        <v>0</v>
      </c>
      <c r="K944" s="3">
        <v>7.6</v>
      </c>
      <c r="L944">
        <v>3207.2</v>
      </c>
    </row>
    <row r="945" spans="1:12" x14ac:dyDescent="0.3">
      <c r="A945">
        <v>15</v>
      </c>
      <c r="B945">
        <v>22</v>
      </c>
      <c r="C945">
        <v>0</v>
      </c>
      <c r="D945">
        <v>18</v>
      </c>
      <c r="E945">
        <v>1</v>
      </c>
      <c r="F945">
        <v>0</v>
      </c>
      <c r="G945">
        <v>10</v>
      </c>
      <c r="H945" t="s">
        <v>58</v>
      </c>
      <c r="I945" t="s">
        <v>80</v>
      </c>
      <c r="J945">
        <v>400</v>
      </c>
      <c r="K945" s="3">
        <v>8.4</v>
      </c>
      <c r="L945">
        <v>3360</v>
      </c>
    </row>
    <row r="946" spans="1:12" x14ac:dyDescent="0.3">
      <c r="A946">
        <v>13</v>
      </c>
      <c r="B946">
        <v>23</v>
      </c>
      <c r="C946">
        <v>2</v>
      </c>
      <c r="D946">
        <v>10</v>
      </c>
      <c r="E946">
        <v>1</v>
      </c>
      <c r="F946">
        <v>0</v>
      </c>
      <c r="G946">
        <v>8</v>
      </c>
      <c r="H946" t="s">
        <v>31</v>
      </c>
      <c r="I946" t="s">
        <v>79</v>
      </c>
      <c r="J946">
        <v>508</v>
      </c>
      <c r="K946" s="3">
        <v>7.9</v>
      </c>
      <c r="L946">
        <v>4013.2</v>
      </c>
    </row>
    <row r="947" spans="1:12" x14ac:dyDescent="0.3">
      <c r="A947">
        <v>14</v>
      </c>
      <c r="B947">
        <v>22</v>
      </c>
      <c r="C947">
        <v>0</v>
      </c>
      <c r="D947">
        <v>10</v>
      </c>
      <c r="E947">
        <v>12</v>
      </c>
      <c r="F947">
        <v>0</v>
      </c>
      <c r="G947">
        <v>7</v>
      </c>
      <c r="H947" t="s">
        <v>25</v>
      </c>
      <c r="I947" t="s">
        <v>92</v>
      </c>
      <c r="J947">
        <v>701</v>
      </c>
      <c r="K947" s="3">
        <v>8.1</v>
      </c>
      <c r="L947">
        <v>5678.0999999999904</v>
      </c>
    </row>
    <row r="948" spans="1:12" x14ac:dyDescent="0.3">
      <c r="A948">
        <v>11</v>
      </c>
      <c r="B948">
        <v>22</v>
      </c>
      <c r="C948">
        <v>0</v>
      </c>
      <c r="D948">
        <v>22</v>
      </c>
      <c r="E948">
        <v>1</v>
      </c>
      <c r="F948">
        <v>0</v>
      </c>
      <c r="G948">
        <v>8</v>
      </c>
      <c r="H948" t="s">
        <v>22</v>
      </c>
      <c r="I948" t="s">
        <v>75</v>
      </c>
      <c r="J948">
        <v>641</v>
      </c>
      <c r="K948" s="3">
        <v>7.8</v>
      </c>
      <c r="L948">
        <v>4999.8</v>
      </c>
    </row>
    <row r="949" spans="1:12" x14ac:dyDescent="0.3">
      <c r="A949">
        <v>14</v>
      </c>
      <c r="B949">
        <v>23</v>
      </c>
      <c r="C949">
        <v>2</v>
      </c>
      <c r="D949">
        <v>5</v>
      </c>
      <c r="E949">
        <v>1</v>
      </c>
      <c r="F949">
        <v>0</v>
      </c>
      <c r="G949">
        <v>12</v>
      </c>
      <c r="H949" t="s">
        <v>21</v>
      </c>
      <c r="I949" t="s">
        <v>81</v>
      </c>
      <c r="J949">
        <v>367</v>
      </c>
      <c r="K949" s="3">
        <v>8.6999999999999993</v>
      </c>
      <c r="L949">
        <v>3192.8999999999901</v>
      </c>
    </row>
    <row r="950" spans="1:12" x14ac:dyDescent="0.3">
      <c r="A950">
        <v>18</v>
      </c>
      <c r="B950">
        <v>22</v>
      </c>
      <c r="C950">
        <v>0</v>
      </c>
      <c r="D950">
        <v>13</v>
      </c>
      <c r="E950">
        <v>12</v>
      </c>
      <c r="F950">
        <v>0</v>
      </c>
      <c r="G950">
        <v>11</v>
      </c>
      <c r="H950" t="s">
        <v>53</v>
      </c>
      <c r="I950" t="s">
        <v>74</v>
      </c>
      <c r="J950">
        <v>544</v>
      </c>
      <c r="K950" s="3">
        <v>7.7</v>
      </c>
      <c r="L950">
        <v>4188.8</v>
      </c>
    </row>
    <row r="951" spans="1:12" x14ac:dyDescent="0.3">
      <c r="A951">
        <v>8</v>
      </c>
      <c r="B951">
        <v>21</v>
      </c>
      <c r="C951">
        <v>0</v>
      </c>
      <c r="D951">
        <v>17</v>
      </c>
      <c r="E951">
        <v>1</v>
      </c>
      <c r="F951">
        <v>0</v>
      </c>
      <c r="G951">
        <v>3</v>
      </c>
      <c r="H951" t="s">
        <v>21</v>
      </c>
      <c r="I951" t="s">
        <v>105</v>
      </c>
      <c r="J951">
        <v>513</v>
      </c>
      <c r="K951" s="3">
        <v>8.6999999999999993</v>
      </c>
      <c r="L951">
        <v>4463.0999999999904</v>
      </c>
    </row>
    <row r="952" spans="1:12" x14ac:dyDescent="0.3">
      <c r="A952">
        <v>20</v>
      </c>
      <c r="B952">
        <v>22</v>
      </c>
      <c r="C952">
        <v>3</v>
      </c>
      <c r="D952">
        <v>20</v>
      </c>
      <c r="E952">
        <v>1</v>
      </c>
      <c r="F952">
        <v>0</v>
      </c>
      <c r="G952">
        <v>3</v>
      </c>
      <c r="H952" t="s">
        <v>62</v>
      </c>
      <c r="I952" t="s">
        <v>107</v>
      </c>
      <c r="J952">
        <v>709</v>
      </c>
      <c r="K952" s="3">
        <v>8.5</v>
      </c>
      <c r="L952">
        <v>6026.5</v>
      </c>
    </row>
    <row r="953" spans="1:12" x14ac:dyDescent="0.3">
      <c r="A953">
        <v>10</v>
      </c>
      <c r="B953">
        <v>22</v>
      </c>
      <c r="C953">
        <v>3</v>
      </c>
      <c r="D953">
        <v>21</v>
      </c>
      <c r="E953">
        <v>1</v>
      </c>
      <c r="F953">
        <v>0</v>
      </c>
      <c r="G953">
        <v>10</v>
      </c>
      <c r="H953" t="s">
        <v>22</v>
      </c>
      <c r="I953" t="s">
        <v>83</v>
      </c>
      <c r="J953">
        <v>479</v>
      </c>
      <c r="K953" s="3">
        <v>7.8</v>
      </c>
      <c r="L953">
        <v>3736.2</v>
      </c>
    </row>
    <row r="954" spans="1:12" x14ac:dyDescent="0.3">
      <c r="A954">
        <v>14</v>
      </c>
      <c r="B954">
        <v>22</v>
      </c>
      <c r="C954">
        <v>3</v>
      </c>
      <c r="D954">
        <v>16</v>
      </c>
      <c r="E954">
        <v>1</v>
      </c>
      <c r="F954">
        <v>0</v>
      </c>
      <c r="G954">
        <v>7</v>
      </c>
      <c r="H954" t="s">
        <v>23</v>
      </c>
      <c r="I954" t="s">
        <v>76</v>
      </c>
      <c r="J954">
        <v>504</v>
      </c>
      <c r="K954" s="3">
        <v>8.4</v>
      </c>
      <c r="L954">
        <v>4233.6000000000004</v>
      </c>
    </row>
    <row r="955" spans="1:12" x14ac:dyDescent="0.3">
      <c r="A955">
        <v>17</v>
      </c>
      <c r="B955">
        <v>23</v>
      </c>
      <c r="C955">
        <v>1</v>
      </c>
      <c r="D955">
        <v>0</v>
      </c>
      <c r="E955">
        <v>1</v>
      </c>
      <c r="F955">
        <v>0</v>
      </c>
      <c r="G955">
        <v>2</v>
      </c>
      <c r="H955" t="s">
        <v>51</v>
      </c>
      <c r="I955" t="s">
        <v>131</v>
      </c>
      <c r="J955">
        <v>651</v>
      </c>
      <c r="K955" s="3">
        <v>8.8000000000000007</v>
      </c>
      <c r="L955">
        <v>5728.8</v>
      </c>
    </row>
    <row r="956" spans="1:12" x14ac:dyDescent="0.3">
      <c r="A956">
        <v>11</v>
      </c>
      <c r="B956">
        <v>22</v>
      </c>
      <c r="C956">
        <v>1</v>
      </c>
      <c r="D956">
        <v>0</v>
      </c>
      <c r="E956">
        <v>1</v>
      </c>
      <c r="F956">
        <v>0</v>
      </c>
      <c r="G956">
        <v>1</v>
      </c>
      <c r="H956" t="s">
        <v>22</v>
      </c>
      <c r="I956" t="s">
        <v>81</v>
      </c>
      <c r="J956">
        <v>596</v>
      </c>
      <c r="K956" s="3">
        <v>7.8</v>
      </c>
      <c r="L956">
        <v>4648.8</v>
      </c>
    </row>
    <row r="957" spans="1:12" x14ac:dyDescent="0.3">
      <c r="A957">
        <v>5</v>
      </c>
      <c r="B957">
        <v>17</v>
      </c>
      <c r="C957">
        <v>3</v>
      </c>
      <c r="D957">
        <v>22</v>
      </c>
      <c r="E957">
        <v>1</v>
      </c>
      <c r="F957">
        <v>0</v>
      </c>
      <c r="G957">
        <v>0</v>
      </c>
      <c r="H957" t="s">
        <v>46</v>
      </c>
      <c r="I957" t="s">
        <v>77</v>
      </c>
      <c r="J957">
        <v>364</v>
      </c>
      <c r="K957" s="3">
        <v>8.5</v>
      </c>
      <c r="L957">
        <v>3094</v>
      </c>
    </row>
    <row r="958" spans="1:12" x14ac:dyDescent="0.3">
      <c r="A958">
        <v>21</v>
      </c>
      <c r="B958">
        <v>22</v>
      </c>
      <c r="C958">
        <v>0</v>
      </c>
      <c r="D958">
        <v>14</v>
      </c>
      <c r="E958">
        <v>1</v>
      </c>
      <c r="F958">
        <v>0</v>
      </c>
      <c r="G958">
        <v>4</v>
      </c>
      <c r="H958" t="s">
        <v>18</v>
      </c>
      <c r="I958" t="s">
        <v>132</v>
      </c>
      <c r="J958">
        <v>611</v>
      </c>
      <c r="K958" s="3">
        <v>7.7</v>
      </c>
      <c r="L958">
        <v>4704.7</v>
      </c>
    </row>
    <row r="959" spans="1:12" x14ac:dyDescent="0.3">
      <c r="A959">
        <v>13</v>
      </c>
      <c r="B959">
        <v>22</v>
      </c>
      <c r="C959">
        <v>3</v>
      </c>
      <c r="D959">
        <v>7</v>
      </c>
      <c r="E959">
        <v>1</v>
      </c>
      <c r="F959">
        <v>0</v>
      </c>
      <c r="G959">
        <v>5</v>
      </c>
      <c r="H959" t="s">
        <v>26</v>
      </c>
      <c r="I959" t="s">
        <v>85</v>
      </c>
      <c r="J959">
        <v>443</v>
      </c>
      <c r="K959" s="3">
        <v>8.5</v>
      </c>
      <c r="L959">
        <v>3765.5</v>
      </c>
    </row>
    <row r="960" spans="1:12" x14ac:dyDescent="0.3">
      <c r="A960">
        <v>7</v>
      </c>
      <c r="B960">
        <v>23</v>
      </c>
      <c r="C960">
        <v>2</v>
      </c>
      <c r="D960">
        <v>18</v>
      </c>
      <c r="E960">
        <v>1</v>
      </c>
      <c r="F960">
        <v>0</v>
      </c>
      <c r="G960">
        <v>0</v>
      </c>
      <c r="H960" t="s">
        <v>26</v>
      </c>
      <c r="I960" t="s">
        <v>91</v>
      </c>
      <c r="J960">
        <v>662</v>
      </c>
      <c r="K960" s="3">
        <v>0</v>
      </c>
      <c r="L960">
        <v>5627</v>
      </c>
    </row>
    <row r="961" spans="1:12" x14ac:dyDescent="0.3">
      <c r="A961">
        <v>8</v>
      </c>
      <c r="B961">
        <v>21</v>
      </c>
      <c r="C961">
        <v>3</v>
      </c>
      <c r="D961">
        <v>19</v>
      </c>
      <c r="E961">
        <v>1</v>
      </c>
      <c r="F961">
        <v>0</v>
      </c>
      <c r="G961">
        <v>1</v>
      </c>
      <c r="H961" t="s">
        <v>369</v>
      </c>
      <c r="I961" t="s">
        <v>91</v>
      </c>
      <c r="J961">
        <v>611</v>
      </c>
      <c r="K961" s="3">
        <v>8.6999999999999993</v>
      </c>
      <c r="L961">
        <v>0</v>
      </c>
    </row>
    <row r="962" spans="1:12" x14ac:dyDescent="0.3">
      <c r="A962">
        <v>16</v>
      </c>
      <c r="B962">
        <v>23</v>
      </c>
      <c r="C962">
        <v>0</v>
      </c>
      <c r="D962">
        <v>14</v>
      </c>
      <c r="E962">
        <v>1</v>
      </c>
      <c r="F962">
        <v>0</v>
      </c>
      <c r="G962">
        <v>7</v>
      </c>
      <c r="H962" t="s">
        <v>17</v>
      </c>
      <c r="I962" t="s">
        <v>124</v>
      </c>
      <c r="J962">
        <v>535</v>
      </c>
      <c r="K962" s="3">
        <v>8.6999999999999993</v>
      </c>
      <c r="L962">
        <v>4654.5</v>
      </c>
    </row>
    <row r="963" spans="1:12" x14ac:dyDescent="0.3">
      <c r="A963">
        <v>19</v>
      </c>
      <c r="B963">
        <v>23</v>
      </c>
      <c r="C963">
        <v>0</v>
      </c>
      <c r="D963">
        <v>20</v>
      </c>
      <c r="E963">
        <v>12</v>
      </c>
      <c r="F963">
        <v>0</v>
      </c>
      <c r="G963">
        <v>9</v>
      </c>
      <c r="H963" t="s">
        <v>32</v>
      </c>
      <c r="I963" t="s">
        <v>73</v>
      </c>
      <c r="J963" t="s">
        <v>143</v>
      </c>
      <c r="K963" s="3">
        <v>7.6</v>
      </c>
      <c r="L963">
        <v>4605.5999999999904</v>
      </c>
    </row>
    <row r="964" spans="1:12" x14ac:dyDescent="0.3">
      <c r="A964">
        <v>15</v>
      </c>
      <c r="B964">
        <v>23</v>
      </c>
      <c r="C964">
        <v>3</v>
      </c>
      <c r="D964">
        <v>4</v>
      </c>
      <c r="E964">
        <v>1</v>
      </c>
      <c r="F964">
        <v>0</v>
      </c>
      <c r="G964">
        <v>4</v>
      </c>
      <c r="H964" t="s">
        <v>43</v>
      </c>
      <c r="I964" t="s">
        <v>96</v>
      </c>
      <c r="J964">
        <v>569</v>
      </c>
      <c r="K964" s="3">
        <v>7.6</v>
      </c>
      <c r="L964">
        <v>4324.3999999999996</v>
      </c>
    </row>
    <row r="965" spans="1:12" x14ac:dyDescent="0.3">
      <c r="A965">
        <v>14</v>
      </c>
      <c r="B965">
        <v>23</v>
      </c>
      <c r="C965">
        <v>1</v>
      </c>
      <c r="D965">
        <v>13</v>
      </c>
      <c r="E965">
        <v>0</v>
      </c>
      <c r="F965">
        <v>0</v>
      </c>
      <c r="G965">
        <v>5</v>
      </c>
      <c r="H965" t="s">
        <v>33</v>
      </c>
      <c r="I965" t="s">
        <v>93</v>
      </c>
      <c r="J965">
        <v>529</v>
      </c>
      <c r="K965" s="3">
        <v>9.3000000000000007</v>
      </c>
      <c r="L965">
        <v>4919.7</v>
      </c>
    </row>
    <row r="966" spans="1:12" x14ac:dyDescent="0.3">
      <c r="A966">
        <v>9</v>
      </c>
      <c r="B966">
        <v>18</v>
      </c>
      <c r="C966">
        <v>2</v>
      </c>
      <c r="D966">
        <v>17</v>
      </c>
      <c r="E966">
        <v>7</v>
      </c>
      <c r="F966">
        <v>0</v>
      </c>
      <c r="G966">
        <v>1</v>
      </c>
      <c r="H966" t="s">
        <v>35</v>
      </c>
      <c r="I966" t="s">
        <v>88</v>
      </c>
      <c r="J966">
        <v>438</v>
      </c>
      <c r="K966" s="3">
        <v>8.1999999999999993</v>
      </c>
      <c r="L966">
        <v>3591.6</v>
      </c>
    </row>
    <row r="967" spans="1:12" x14ac:dyDescent="0.3">
      <c r="A967">
        <v>20</v>
      </c>
      <c r="B967">
        <v>22</v>
      </c>
      <c r="C967">
        <v>2</v>
      </c>
      <c r="D967">
        <v>3</v>
      </c>
      <c r="E967">
        <v>12</v>
      </c>
      <c r="F967">
        <v>0</v>
      </c>
      <c r="G967">
        <v>7</v>
      </c>
      <c r="H967" t="s">
        <v>18</v>
      </c>
      <c r="I967" t="s">
        <v>94</v>
      </c>
      <c r="J967">
        <v>480</v>
      </c>
      <c r="K967" s="3">
        <v>7.7</v>
      </c>
      <c r="L967">
        <v>3696</v>
      </c>
    </row>
    <row r="968" spans="1:12" x14ac:dyDescent="0.3">
      <c r="A968">
        <v>8</v>
      </c>
      <c r="B968">
        <v>17</v>
      </c>
      <c r="C968">
        <v>2</v>
      </c>
      <c r="D968">
        <v>16</v>
      </c>
      <c r="E968">
        <v>1</v>
      </c>
      <c r="F968">
        <v>0</v>
      </c>
      <c r="G968">
        <v>1</v>
      </c>
      <c r="H968" t="s">
        <v>55</v>
      </c>
      <c r="I968" t="s">
        <v>80</v>
      </c>
      <c r="J968">
        <v>520</v>
      </c>
      <c r="K968" s="3">
        <v>7.8</v>
      </c>
      <c r="L968">
        <v>4056</v>
      </c>
    </row>
    <row r="969" spans="1:12" x14ac:dyDescent="0.3">
      <c r="A969">
        <v>0</v>
      </c>
      <c r="B969">
        <v>23</v>
      </c>
      <c r="C969">
        <v>1</v>
      </c>
      <c r="D969">
        <v>11</v>
      </c>
      <c r="E969">
        <v>1</v>
      </c>
      <c r="F969">
        <v>0</v>
      </c>
      <c r="G969">
        <v>3</v>
      </c>
      <c r="H969" t="s">
        <v>64</v>
      </c>
      <c r="I969" t="s">
        <v>75</v>
      </c>
      <c r="J969">
        <v>0</v>
      </c>
      <c r="K969" s="3">
        <v>8.1999999999999993</v>
      </c>
      <c r="L969">
        <v>4362.3999999999996</v>
      </c>
    </row>
    <row r="970" spans="1:12" x14ac:dyDescent="0.3">
      <c r="A970">
        <v>15</v>
      </c>
      <c r="B970">
        <v>22</v>
      </c>
      <c r="C970">
        <v>1</v>
      </c>
      <c r="D970">
        <v>22</v>
      </c>
      <c r="E970">
        <v>1</v>
      </c>
      <c r="F970">
        <v>0</v>
      </c>
      <c r="G970">
        <v>2</v>
      </c>
      <c r="H970" t="s">
        <v>40</v>
      </c>
      <c r="I970" t="s">
        <v>79</v>
      </c>
      <c r="J970">
        <v>584</v>
      </c>
      <c r="K970" s="3">
        <v>0</v>
      </c>
      <c r="L970">
        <v>4321.6000000000004</v>
      </c>
    </row>
    <row r="971" spans="1:12" x14ac:dyDescent="0.3">
      <c r="A971">
        <v>21</v>
      </c>
      <c r="B971">
        <v>23</v>
      </c>
      <c r="C971">
        <v>3</v>
      </c>
      <c r="D971">
        <v>4</v>
      </c>
      <c r="E971">
        <v>1</v>
      </c>
      <c r="F971">
        <v>0</v>
      </c>
      <c r="G971">
        <v>8</v>
      </c>
      <c r="H971" t="s">
        <v>18</v>
      </c>
      <c r="I971" t="s">
        <v>91</v>
      </c>
      <c r="J971">
        <v>436</v>
      </c>
      <c r="K971">
        <v>7.7</v>
      </c>
      <c r="L971">
        <v>3357.2</v>
      </c>
    </row>
    <row r="972" spans="1:12" x14ac:dyDescent="0.3">
      <c r="A972">
        <v>9</v>
      </c>
      <c r="B972">
        <v>22</v>
      </c>
      <c r="C972">
        <v>2</v>
      </c>
      <c r="D972">
        <v>19</v>
      </c>
      <c r="E972">
        <v>1</v>
      </c>
      <c r="F972">
        <v>0</v>
      </c>
      <c r="G972">
        <v>7</v>
      </c>
      <c r="H972" t="s">
        <v>26</v>
      </c>
      <c r="I972" t="s">
        <v>105</v>
      </c>
      <c r="J972">
        <v>498</v>
      </c>
      <c r="K972" s="3">
        <v>8.5</v>
      </c>
      <c r="L972">
        <v>4233</v>
      </c>
    </row>
    <row r="973" spans="1:12" x14ac:dyDescent="0.3">
      <c r="A973">
        <v>6</v>
      </c>
      <c r="B973">
        <v>20</v>
      </c>
      <c r="C973">
        <v>0</v>
      </c>
      <c r="D973">
        <v>15</v>
      </c>
      <c r="E973">
        <v>1</v>
      </c>
      <c r="F973">
        <v>0</v>
      </c>
      <c r="G973">
        <v>12</v>
      </c>
      <c r="H973" t="s">
        <v>23</v>
      </c>
      <c r="I973" t="s">
        <v>75</v>
      </c>
      <c r="J973">
        <v>306</v>
      </c>
      <c r="K973" s="3">
        <v>8.4</v>
      </c>
      <c r="L973">
        <v>2570.4</v>
      </c>
    </row>
    <row r="974" spans="1:12" x14ac:dyDescent="0.3">
      <c r="A974">
        <v>6</v>
      </c>
      <c r="B974">
        <v>23</v>
      </c>
      <c r="C974">
        <v>0</v>
      </c>
      <c r="D974">
        <v>10</v>
      </c>
      <c r="E974">
        <v>7</v>
      </c>
      <c r="F974">
        <v>0</v>
      </c>
      <c r="G974">
        <v>12</v>
      </c>
      <c r="H974" t="s">
        <v>16</v>
      </c>
      <c r="I974" t="s">
        <v>75</v>
      </c>
      <c r="J974">
        <v>576</v>
      </c>
      <c r="K974" s="3">
        <v>8.9</v>
      </c>
      <c r="L974">
        <v>5126.3999999999996</v>
      </c>
    </row>
    <row r="975" spans="1:12" x14ac:dyDescent="0.3">
      <c r="A975">
        <v>12</v>
      </c>
      <c r="B975">
        <v>0</v>
      </c>
      <c r="C975">
        <v>1</v>
      </c>
      <c r="D975">
        <v>8</v>
      </c>
      <c r="E975">
        <v>1</v>
      </c>
      <c r="F975">
        <v>0</v>
      </c>
      <c r="G975">
        <v>1</v>
      </c>
      <c r="H975" t="s">
        <v>46</v>
      </c>
      <c r="I975" t="s">
        <v>72</v>
      </c>
      <c r="J975">
        <v>572</v>
      </c>
      <c r="K975" s="3">
        <v>8.1</v>
      </c>
      <c r="L975">
        <v>4633.2</v>
      </c>
    </row>
    <row r="976" spans="1:12" x14ac:dyDescent="0.3">
      <c r="A976">
        <v>16</v>
      </c>
      <c r="B976">
        <v>23</v>
      </c>
      <c r="C976">
        <v>2</v>
      </c>
      <c r="D976">
        <v>21</v>
      </c>
      <c r="E976">
        <v>1</v>
      </c>
      <c r="F976">
        <v>0</v>
      </c>
      <c r="G976">
        <v>6</v>
      </c>
      <c r="H976" t="s">
        <v>38</v>
      </c>
      <c r="I976" t="s">
        <v>70</v>
      </c>
      <c r="J976">
        <v>528</v>
      </c>
      <c r="K976" s="3">
        <v>7.4</v>
      </c>
      <c r="L976">
        <v>3907.2</v>
      </c>
    </row>
    <row r="977" spans="1:12" x14ac:dyDescent="0.3">
      <c r="A977">
        <v>23</v>
      </c>
      <c r="B977">
        <v>22</v>
      </c>
      <c r="C977">
        <v>3</v>
      </c>
      <c r="D977">
        <v>21</v>
      </c>
      <c r="E977">
        <v>0</v>
      </c>
      <c r="F977">
        <v>0</v>
      </c>
      <c r="G977">
        <v>10</v>
      </c>
      <c r="H977" t="s">
        <v>21</v>
      </c>
      <c r="I977" t="s">
        <v>82</v>
      </c>
      <c r="J977">
        <v>672</v>
      </c>
      <c r="K977" s="3">
        <v>0</v>
      </c>
      <c r="L977">
        <v>5846.4</v>
      </c>
    </row>
    <row r="978" spans="1:12" x14ac:dyDescent="0.3">
      <c r="A978">
        <v>7</v>
      </c>
      <c r="B978">
        <v>21</v>
      </c>
      <c r="C978">
        <v>0</v>
      </c>
      <c r="D978">
        <v>4</v>
      </c>
      <c r="E978">
        <v>1</v>
      </c>
      <c r="F978">
        <v>0</v>
      </c>
      <c r="G978">
        <v>12</v>
      </c>
      <c r="H978" t="s">
        <v>23</v>
      </c>
      <c r="I978" t="s">
        <v>74</v>
      </c>
      <c r="J978">
        <v>300</v>
      </c>
      <c r="K978" s="3">
        <v>8.4</v>
      </c>
      <c r="L978">
        <v>2520</v>
      </c>
    </row>
    <row r="979" spans="1:12" x14ac:dyDescent="0.3">
      <c r="A979">
        <v>8</v>
      </c>
      <c r="B979">
        <v>17</v>
      </c>
      <c r="C979">
        <v>3</v>
      </c>
      <c r="D979">
        <v>5</v>
      </c>
      <c r="E979">
        <v>1</v>
      </c>
      <c r="F979">
        <v>0</v>
      </c>
      <c r="G979">
        <v>7</v>
      </c>
      <c r="H979" t="s">
        <v>15</v>
      </c>
      <c r="I979" t="s">
        <v>72</v>
      </c>
      <c r="J979">
        <v>385</v>
      </c>
      <c r="K979" s="3">
        <v>8.3000000000000007</v>
      </c>
      <c r="L979">
        <v>3195.5</v>
      </c>
    </row>
    <row r="980" spans="1:12" x14ac:dyDescent="0.3">
      <c r="A980">
        <v>17</v>
      </c>
      <c r="B980">
        <v>23</v>
      </c>
      <c r="C980">
        <v>3</v>
      </c>
      <c r="D980">
        <v>16</v>
      </c>
      <c r="E980">
        <v>1</v>
      </c>
      <c r="F980">
        <v>0</v>
      </c>
      <c r="G980">
        <v>4</v>
      </c>
      <c r="H980" t="s">
        <v>26</v>
      </c>
      <c r="I980" t="s">
        <v>71</v>
      </c>
      <c r="J980">
        <v>469</v>
      </c>
      <c r="K980" s="3">
        <v>8.5</v>
      </c>
      <c r="L980">
        <v>3986.5</v>
      </c>
    </row>
    <row r="981" spans="1:12" x14ac:dyDescent="0.3">
      <c r="A981">
        <v>12</v>
      </c>
      <c r="B981">
        <v>23</v>
      </c>
      <c r="C981">
        <v>0</v>
      </c>
      <c r="D981">
        <v>4</v>
      </c>
      <c r="E981">
        <v>1</v>
      </c>
      <c r="F981">
        <v>0</v>
      </c>
      <c r="G981">
        <v>0</v>
      </c>
      <c r="H981" t="s">
        <v>15</v>
      </c>
      <c r="I981" t="s">
        <v>93</v>
      </c>
      <c r="J981">
        <v>302</v>
      </c>
      <c r="K981" s="3">
        <v>8.3000000000000007</v>
      </c>
      <c r="L981">
        <v>2506.6</v>
      </c>
    </row>
    <row r="982" spans="1:12" x14ac:dyDescent="0.3">
      <c r="A982">
        <v>17</v>
      </c>
      <c r="B982">
        <v>22</v>
      </c>
      <c r="C982">
        <v>0</v>
      </c>
      <c r="D982">
        <v>21</v>
      </c>
      <c r="E982">
        <v>1</v>
      </c>
      <c r="F982">
        <v>0</v>
      </c>
      <c r="G982">
        <v>1</v>
      </c>
      <c r="H982" t="s">
        <v>52</v>
      </c>
      <c r="I982" t="s">
        <v>105</v>
      </c>
      <c r="J982">
        <v>634</v>
      </c>
      <c r="K982" s="3">
        <v>9.3000000000000007</v>
      </c>
      <c r="L982">
        <v>5896.2</v>
      </c>
    </row>
    <row r="983" spans="1:12" x14ac:dyDescent="0.3">
      <c r="A983">
        <v>14</v>
      </c>
      <c r="B983">
        <v>22</v>
      </c>
      <c r="C983">
        <v>3</v>
      </c>
      <c r="D983">
        <v>6</v>
      </c>
      <c r="E983">
        <v>1</v>
      </c>
      <c r="F983">
        <v>0</v>
      </c>
      <c r="G983">
        <v>8</v>
      </c>
      <c r="H983" t="s">
        <v>16</v>
      </c>
      <c r="I983" t="s">
        <v>79</v>
      </c>
      <c r="J983">
        <v>0</v>
      </c>
      <c r="K983">
        <v>8.9</v>
      </c>
      <c r="L983">
        <v>4058.4</v>
      </c>
    </row>
    <row r="984" spans="1:12" x14ac:dyDescent="0.3">
      <c r="A984">
        <v>11</v>
      </c>
      <c r="B984">
        <v>23</v>
      </c>
      <c r="C984">
        <v>0</v>
      </c>
      <c r="D984">
        <v>17</v>
      </c>
      <c r="E984">
        <v>1</v>
      </c>
      <c r="F984">
        <v>0</v>
      </c>
      <c r="G984">
        <v>4</v>
      </c>
      <c r="H984" t="s">
        <v>369</v>
      </c>
      <c r="I984" t="s">
        <v>83</v>
      </c>
      <c r="J984">
        <v>521</v>
      </c>
      <c r="K984" s="3">
        <v>7.9</v>
      </c>
      <c r="L984">
        <v>4115.8999999999996</v>
      </c>
    </row>
    <row r="985" spans="1:12" x14ac:dyDescent="0.3">
      <c r="A985">
        <v>10</v>
      </c>
      <c r="B985">
        <v>17</v>
      </c>
      <c r="C985">
        <v>2</v>
      </c>
      <c r="D985">
        <v>20</v>
      </c>
      <c r="E985">
        <v>7</v>
      </c>
      <c r="F985">
        <v>0</v>
      </c>
      <c r="G985">
        <v>9</v>
      </c>
      <c r="H985" t="s">
        <v>38</v>
      </c>
      <c r="I985" t="s">
        <v>87</v>
      </c>
      <c r="J985">
        <v>552</v>
      </c>
      <c r="K985" s="3">
        <v>7.4</v>
      </c>
      <c r="L985">
        <v>4084.8</v>
      </c>
    </row>
    <row r="986" spans="1:12" x14ac:dyDescent="0.3">
      <c r="A986">
        <v>11</v>
      </c>
      <c r="B986">
        <v>23</v>
      </c>
      <c r="C986">
        <v>1</v>
      </c>
      <c r="D986">
        <v>18</v>
      </c>
      <c r="E986">
        <v>12</v>
      </c>
      <c r="F986">
        <v>0</v>
      </c>
      <c r="G986">
        <v>2</v>
      </c>
      <c r="H986" t="s">
        <v>35</v>
      </c>
      <c r="I986" t="s">
        <v>104</v>
      </c>
      <c r="J986">
        <v>597</v>
      </c>
      <c r="K986" s="3">
        <v>8.1999999999999993</v>
      </c>
      <c r="L986">
        <v>4895.3999999999996</v>
      </c>
    </row>
    <row r="987" spans="1:12" x14ac:dyDescent="0.3">
      <c r="A987">
        <v>17</v>
      </c>
      <c r="B987">
        <v>23</v>
      </c>
      <c r="C987">
        <v>2</v>
      </c>
      <c r="D987">
        <v>20</v>
      </c>
      <c r="E987">
        <v>1</v>
      </c>
      <c r="F987">
        <v>0</v>
      </c>
      <c r="G987">
        <v>8</v>
      </c>
      <c r="H987" t="s">
        <v>67</v>
      </c>
      <c r="I987" t="s">
        <v>368</v>
      </c>
      <c r="J987">
        <v>689</v>
      </c>
      <c r="K987" s="3">
        <v>8.3000000000000007</v>
      </c>
      <c r="L987">
        <v>5718.7</v>
      </c>
    </row>
    <row r="988" spans="1:12" x14ac:dyDescent="0.3">
      <c r="A988">
        <v>5</v>
      </c>
      <c r="B988">
        <v>18</v>
      </c>
      <c r="C988">
        <v>3</v>
      </c>
      <c r="D988">
        <v>9</v>
      </c>
      <c r="E988">
        <v>1</v>
      </c>
      <c r="F988">
        <v>0</v>
      </c>
      <c r="G988">
        <v>2</v>
      </c>
      <c r="H988" t="s">
        <v>24</v>
      </c>
      <c r="I988" t="s">
        <v>76</v>
      </c>
      <c r="J988">
        <v>458</v>
      </c>
      <c r="K988">
        <v>7.9</v>
      </c>
      <c r="L988">
        <v>3618.2</v>
      </c>
    </row>
    <row r="989" spans="1:12" x14ac:dyDescent="0.3">
      <c r="A989">
        <v>17</v>
      </c>
      <c r="B989">
        <v>23</v>
      </c>
      <c r="C989">
        <v>0</v>
      </c>
      <c r="D989">
        <v>22</v>
      </c>
      <c r="E989">
        <v>1</v>
      </c>
      <c r="F989">
        <v>0</v>
      </c>
      <c r="G989">
        <v>10</v>
      </c>
      <c r="H989" t="s">
        <v>54</v>
      </c>
      <c r="I989" t="s">
        <v>93</v>
      </c>
      <c r="J989">
        <v>472</v>
      </c>
      <c r="K989" s="3">
        <v>0</v>
      </c>
      <c r="L989">
        <v>4342.3999999999996</v>
      </c>
    </row>
    <row r="990" spans="1:12" x14ac:dyDescent="0.3">
      <c r="A990">
        <v>23</v>
      </c>
      <c r="B990">
        <v>22</v>
      </c>
      <c r="C990">
        <v>2</v>
      </c>
      <c r="D990">
        <v>4</v>
      </c>
      <c r="E990">
        <v>1</v>
      </c>
      <c r="F990">
        <v>0</v>
      </c>
      <c r="G990">
        <v>6</v>
      </c>
      <c r="H990" t="s">
        <v>33</v>
      </c>
      <c r="I990" t="s">
        <v>115</v>
      </c>
      <c r="J990">
        <v>426</v>
      </c>
      <c r="K990" s="3">
        <v>0</v>
      </c>
      <c r="L990">
        <v>3961.8</v>
      </c>
    </row>
    <row r="991" spans="1:12" x14ac:dyDescent="0.3">
      <c r="A991">
        <v>12</v>
      </c>
      <c r="B991">
        <v>23</v>
      </c>
      <c r="C991">
        <v>0</v>
      </c>
      <c r="D991">
        <v>12</v>
      </c>
      <c r="E991">
        <v>1</v>
      </c>
      <c r="F991">
        <v>0</v>
      </c>
      <c r="G991">
        <v>2</v>
      </c>
      <c r="H991" t="s">
        <v>38</v>
      </c>
      <c r="I991" t="s">
        <v>109</v>
      </c>
      <c r="J991">
        <v>396</v>
      </c>
      <c r="K991" s="3">
        <v>0</v>
      </c>
      <c r="L991">
        <v>2930.4</v>
      </c>
    </row>
    <row r="992" spans="1:12" x14ac:dyDescent="0.3">
      <c r="A992">
        <v>12</v>
      </c>
      <c r="B992">
        <v>22</v>
      </c>
      <c r="C992">
        <v>1</v>
      </c>
      <c r="D992">
        <v>11</v>
      </c>
      <c r="E992">
        <v>1</v>
      </c>
      <c r="F992">
        <v>0</v>
      </c>
      <c r="G992">
        <v>10</v>
      </c>
      <c r="H992" t="s">
        <v>36</v>
      </c>
      <c r="I992" t="s">
        <v>84</v>
      </c>
      <c r="J992">
        <v>349</v>
      </c>
      <c r="K992" s="3">
        <v>8.8000000000000007</v>
      </c>
      <c r="L992">
        <v>3071.2</v>
      </c>
    </row>
    <row r="993" spans="1:12" x14ac:dyDescent="0.3">
      <c r="A993">
        <v>22</v>
      </c>
      <c r="B993">
        <v>0</v>
      </c>
      <c r="C993">
        <v>3</v>
      </c>
      <c r="D993">
        <v>0</v>
      </c>
      <c r="E993">
        <v>0</v>
      </c>
      <c r="F993">
        <v>0</v>
      </c>
      <c r="G993">
        <v>6</v>
      </c>
      <c r="H993" t="s">
        <v>25</v>
      </c>
      <c r="I993" t="s">
        <v>106</v>
      </c>
      <c r="J993">
        <v>674</v>
      </c>
      <c r="K993" s="3">
        <v>8.1</v>
      </c>
      <c r="L993">
        <v>5459.4</v>
      </c>
    </row>
    <row r="994" spans="1:12" x14ac:dyDescent="0.3">
      <c r="A994">
        <v>5</v>
      </c>
      <c r="B994">
        <v>20</v>
      </c>
      <c r="C994">
        <v>2</v>
      </c>
      <c r="D994">
        <v>13</v>
      </c>
      <c r="E994">
        <v>7</v>
      </c>
      <c r="F994">
        <v>0</v>
      </c>
      <c r="G994">
        <v>7</v>
      </c>
      <c r="H994" t="s">
        <v>25</v>
      </c>
      <c r="I994" t="s">
        <v>89</v>
      </c>
      <c r="J994">
        <v>515</v>
      </c>
      <c r="K994" s="3">
        <v>8.1</v>
      </c>
      <c r="L994">
        <v>4171.5</v>
      </c>
    </row>
    <row r="995" spans="1:12" x14ac:dyDescent="0.3">
      <c r="A995">
        <v>0</v>
      </c>
      <c r="B995">
        <v>18</v>
      </c>
      <c r="C995">
        <v>1</v>
      </c>
      <c r="D995">
        <v>11</v>
      </c>
      <c r="E995">
        <v>1</v>
      </c>
      <c r="F995">
        <v>0</v>
      </c>
      <c r="G995">
        <v>9</v>
      </c>
      <c r="H995" t="s">
        <v>23</v>
      </c>
      <c r="I995" t="s">
        <v>79</v>
      </c>
      <c r="J995">
        <v>399</v>
      </c>
      <c r="K995" s="3">
        <v>8.4</v>
      </c>
      <c r="L995">
        <v>3351.6</v>
      </c>
    </row>
    <row r="996" spans="1:12" x14ac:dyDescent="0.3">
      <c r="A996">
        <v>0</v>
      </c>
      <c r="B996">
        <v>22</v>
      </c>
      <c r="C996">
        <v>3</v>
      </c>
      <c r="D996">
        <v>8</v>
      </c>
      <c r="E996">
        <v>1</v>
      </c>
      <c r="F996">
        <v>0</v>
      </c>
      <c r="G996">
        <v>6</v>
      </c>
      <c r="H996" t="s">
        <v>20</v>
      </c>
      <c r="I996" t="s">
        <v>91</v>
      </c>
      <c r="J996">
        <v>428</v>
      </c>
      <c r="K996" s="3">
        <v>9.1</v>
      </c>
      <c r="L996">
        <v>3894.7999999999902</v>
      </c>
    </row>
    <row r="997" spans="1:12" x14ac:dyDescent="0.3">
      <c r="A997">
        <v>18</v>
      </c>
      <c r="B997">
        <v>22</v>
      </c>
      <c r="C997">
        <v>2</v>
      </c>
      <c r="D997">
        <v>18</v>
      </c>
      <c r="E997">
        <v>1</v>
      </c>
      <c r="F997">
        <v>0</v>
      </c>
      <c r="G997">
        <v>3</v>
      </c>
      <c r="H997" t="s">
        <v>20</v>
      </c>
      <c r="I997" t="s">
        <v>368</v>
      </c>
      <c r="J997">
        <v>543</v>
      </c>
      <c r="K997" s="3">
        <v>9.1</v>
      </c>
      <c r="L997">
        <v>4941.3</v>
      </c>
    </row>
    <row r="998" spans="1:12" x14ac:dyDescent="0.3">
      <c r="A998">
        <v>8</v>
      </c>
      <c r="B998">
        <v>21</v>
      </c>
      <c r="C998">
        <v>1</v>
      </c>
      <c r="D998">
        <v>9</v>
      </c>
      <c r="E998">
        <v>1</v>
      </c>
      <c r="F998">
        <v>0</v>
      </c>
      <c r="G998">
        <v>12</v>
      </c>
      <c r="H998" t="s">
        <v>55</v>
      </c>
      <c r="I998" t="s">
        <v>368</v>
      </c>
      <c r="J998">
        <v>446</v>
      </c>
      <c r="K998" s="3">
        <v>7.8</v>
      </c>
      <c r="L998">
        <v>3478.7999999999902</v>
      </c>
    </row>
    <row r="999" spans="1:12" x14ac:dyDescent="0.3">
      <c r="A999">
        <v>21</v>
      </c>
      <c r="B999">
        <v>22</v>
      </c>
      <c r="C999">
        <v>3</v>
      </c>
      <c r="D999">
        <v>18</v>
      </c>
      <c r="E999">
        <v>1</v>
      </c>
      <c r="F999">
        <v>0</v>
      </c>
      <c r="G999">
        <v>0</v>
      </c>
      <c r="H999" t="s">
        <v>52</v>
      </c>
      <c r="I999" t="s">
        <v>79</v>
      </c>
      <c r="J999">
        <v>512</v>
      </c>
      <c r="K999" s="3">
        <v>9.3000000000000007</v>
      </c>
      <c r="L999">
        <v>4761.6000000000004</v>
      </c>
    </row>
    <row r="1000" spans="1:12" x14ac:dyDescent="0.3">
      <c r="A1000">
        <v>22</v>
      </c>
      <c r="B1000">
        <v>22</v>
      </c>
      <c r="C1000">
        <v>0</v>
      </c>
      <c r="D1000">
        <v>13</v>
      </c>
      <c r="E1000">
        <v>1</v>
      </c>
      <c r="F1000">
        <v>0</v>
      </c>
      <c r="G1000">
        <v>8</v>
      </c>
      <c r="H1000" t="s">
        <v>369</v>
      </c>
      <c r="I1000" t="s">
        <v>368</v>
      </c>
      <c r="J1000">
        <v>571</v>
      </c>
      <c r="K1000" s="3">
        <v>8.3000000000000007</v>
      </c>
      <c r="L1000">
        <v>4739.3</v>
      </c>
    </row>
    <row r="1001" spans="1:12" x14ac:dyDescent="0.3">
      <c r="A1001">
        <v>7</v>
      </c>
      <c r="B1001">
        <v>19</v>
      </c>
      <c r="C1001">
        <v>0</v>
      </c>
      <c r="D1001">
        <v>10</v>
      </c>
      <c r="E1001">
        <v>1</v>
      </c>
      <c r="F1001">
        <v>0</v>
      </c>
      <c r="G1001">
        <v>6</v>
      </c>
      <c r="H1001" t="s">
        <v>52</v>
      </c>
      <c r="I1001" t="s">
        <v>87</v>
      </c>
      <c r="J1001">
        <v>258</v>
      </c>
      <c r="K1001" s="3">
        <v>9.3000000000000007</v>
      </c>
      <c r="L1001">
        <v>2399.4</v>
      </c>
    </row>
    <row r="1002" spans="1:12" x14ac:dyDescent="0.3">
      <c r="A1002">
        <v>12</v>
      </c>
      <c r="B1002">
        <v>22</v>
      </c>
      <c r="C1002">
        <v>2</v>
      </c>
      <c r="D1002">
        <v>21</v>
      </c>
      <c r="E1002">
        <v>1</v>
      </c>
      <c r="F1002">
        <v>0</v>
      </c>
      <c r="G1002">
        <v>7</v>
      </c>
      <c r="H1002" t="s">
        <v>36</v>
      </c>
      <c r="I1002" t="s">
        <v>122</v>
      </c>
      <c r="J1002" t="s">
        <v>143</v>
      </c>
      <c r="K1002" s="3">
        <v>8.8000000000000007</v>
      </c>
      <c r="L1002">
        <v>4919.2</v>
      </c>
    </row>
    <row r="1003" spans="1:12" x14ac:dyDescent="0.3">
      <c r="A1003">
        <v>19</v>
      </c>
      <c r="B1003">
        <v>22</v>
      </c>
      <c r="C1003">
        <v>3</v>
      </c>
      <c r="D1003">
        <v>3</v>
      </c>
      <c r="E1003">
        <v>12</v>
      </c>
      <c r="F1003">
        <v>0</v>
      </c>
      <c r="G1003">
        <v>9</v>
      </c>
      <c r="H1003" t="s">
        <v>33</v>
      </c>
      <c r="I1003" t="s">
        <v>91</v>
      </c>
      <c r="J1003">
        <v>562</v>
      </c>
      <c r="K1003" s="3">
        <v>9.3000000000000007</v>
      </c>
      <c r="L1003">
        <v>0</v>
      </c>
    </row>
    <row r="1004" spans="1:12" x14ac:dyDescent="0.3">
      <c r="A1004">
        <v>9</v>
      </c>
      <c r="B1004">
        <v>19</v>
      </c>
      <c r="C1004">
        <v>0</v>
      </c>
      <c r="D1004">
        <v>12</v>
      </c>
      <c r="E1004">
        <v>1</v>
      </c>
      <c r="F1004">
        <v>0</v>
      </c>
      <c r="G1004">
        <v>7</v>
      </c>
      <c r="H1004" t="s">
        <v>64</v>
      </c>
      <c r="I1004" t="s">
        <v>133</v>
      </c>
      <c r="J1004">
        <v>501</v>
      </c>
      <c r="K1004" s="3">
        <v>8.1999999999999993</v>
      </c>
      <c r="L1004">
        <v>4108.2</v>
      </c>
    </row>
    <row r="1005" spans="1:12" x14ac:dyDescent="0.3">
      <c r="A1005">
        <v>13</v>
      </c>
      <c r="B1005">
        <v>22</v>
      </c>
      <c r="C1005">
        <v>3</v>
      </c>
      <c r="D1005">
        <v>4</v>
      </c>
      <c r="E1005">
        <v>1</v>
      </c>
      <c r="F1005">
        <v>0</v>
      </c>
      <c r="G1005">
        <v>2</v>
      </c>
      <c r="H1005" t="s">
        <v>53</v>
      </c>
      <c r="I1005" t="s">
        <v>72</v>
      </c>
      <c r="J1005">
        <v>507</v>
      </c>
      <c r="K1005" s="3">
        <v>7.7</v>
      </c>
      <c r="L1005">
        <v>3903.9</v>
      </c>
    </row>
    <row r="1006" spans="1:12" x14ac:dyDescent="0.3">
      <c r="A1006">
        <v>7</v>
      </c>
      <c r="B1006">
        <v>17</v>
      </c>
      <c r="C1006">
        <v>3</v>
      </c>
      <c r="D1006">
        <v>0</v>
      </c>
      <c r="E1006">
        <v>1</v>
      </c>
      <c r="F1006">
        <v>0</v>
      </c>
      <c r="G1006">
        <v>6</v>
      </c>
      <c r="H1006" t="s">
        <v>32</v>
      </c>
      <c r="I1006" t="s">
        <v>79</v>
      </c>
      <c r="J1006">
        <v>254</v>
      </c>
      <c r="K1006" s="3">
        <v>7.6</v>
      </c>
      <c r="L1006">
        <v>1930.3999999999901</v>
      </c>
    </row>
    <row r="1007" spans="1:12" x14ac:dyDescent="0.3">
      <c r="A1007">
        <v>5</v>
      </c>
      <c r="B1007">
        <v>18</v>
      </c>
      <c r="C1007">
        <v>0</v>
      </c>
      <c r="D1007">
        <v>5</v>
      </c>
      <c r="E1007">
        <v>1</v>
      </c>
      <c r="F1007">
        <v>0</v>
      </c>
      <c r="G1007">
        <v>4</v>
      </c>
      <c r="H1007" t="s">
        <v>369</v>
      </c>
      <c r="I1007" t="s">
        <v>104</v>
      </c>
      <c r="J1007">
        <v>375</v>
      </c>
      <c r="K1007" s="3">
        <v>7.8</v>
      </c>
      <c r="L1007">
        <v>2925</v>
      </c>
    </row>
    <row r="1008" spans="1:12" x14ac:dyDescent="0.3">
      <c r="A1008">
        <v>6</v>
      </c>
      <c r="B1008">
        <v>23</v>
      </c>
      <c r="C1008">
        <v>2</v>
      </c>
      <c r="D1008">
        <v>11</v>
      </c>
      <c r="E1008">
        <v>1</v>
      </c>
      <c r="F1008">
        <v>0</v>
      </c>
      <c r="G1008">
        <v>8</v>
      </c>
      <c r="H1008" t="s">
        <v>61</v>
      </c>
      <c r="I1008" t="s">
        <v>76</v>
      </c>
      <c r="J1008">
        <v>0</v>
      </c>
      <c r="K1008" s="3">
        <v>7.4</v>
      </c>
      <c r="L1008">
        <v>2952.6</v>
      </c>
    </row>
    <row r="1009" spans="1:12" x14ac:dyDescent="0.3">
      <c r="A1009">
        <v>12</v>
      </c>
      <c r="B1009">
        <v>23</v>
      </c>
      <c r="C1009">
        <v>2</v>
      </c>
      <c r="D1009">
        <v>7</v>
      </c>
      <c r="E1009">
        <v>12</v>
      </c>
      <c r="F1009">
        <v>0</v>
      </c>
      <c r="G1009">
        <v>8</v>
      </c>
      <c r="H1009" t="s">
        <v>23</v>
      </c>
      <c r="I1009" t="s">
        <v>92</v>
      </c>
      <c r="J1009">
        <v>564</v>
      </c>
      <c r="K1009">
        <v>8.4</v>
      </c>
      <c r="L1009">
        <v>4737.6000000000004</v>
      </c>
    </row>
    <row r="1010" spans="1:12" x14ac:dyDescent="0.3">
      <c r="A1010">
        <v>20</v>
      </c>
      <c r="B1010">
        <v>23</v>
      </c>
      <c r="C1010">
        <v>3</v>
      </c>
      <c r="D1010">
        <v>17</v>
      </c>
      <c r="E1010">
        <v>1</v>
      </c>
      <c r="F1010">
        <v>0</v>
      </c>
      <c r="G1010">
        <v>7</v>
      </c>
      <c r="H1010" t="s">
        <v>20</v>
      </c>
      <c r="I1010" t="s">
        <v>78</v>
      </c>
      <c r="J1010">
        <v>568</v>
      </c>
      <c r="K1010" s="3">
        <v>9.1</v>
      </c>
      <c r="L1010">
        <v>5168.8</v>
      </c>
    </row>
    <row r="1011" spans="1:12" x14ac:dyDescent="0.3">
      <c r="A1011">
        <v>12</v>
      </c>
      <c r="B1011">
        <v>23</v>
      </c>
      <c r="C1011">
        <v>0</v>
      </c>
      <c r="D1011">
        <v>10</v>
      </c>
      <c r="E1011">
        <v>1</v>
      </c>
      <c r="F1011">
        <v>0</v>
      </c>
      <c r="G1011">
        <v>7</v>
      </c>
      <c r="H1011" t="s">
        <v>369</v>
      </c>
      <c r="I1011" t="s">
        <v>74</v>
      </c>
      <c r="J1011">
        <v>543</v>
      </c>
      <c r="K1011" s="3">
        <v>8.8000000000000007</v>
      </c>
      <c r="L1011">
        <v>4778.3999999999996</v>
      </c>
    </row>
    <row r="1012" spans="1:12" x14ac:dyDescent="0.3">
      <c r="A1012">
        <v>8</v>
      </c>
      <c r="B1012">
        <v>18</v>
      </c>
      <c r="C1012">
        <v>0</v>
      </c>
      <c r="D1012">
        <v>21</v>
      </c>
      <c r="E1012">
        <v>1</v>
      </c>
      <c r="F1012">
        <v>0</v>
      </c>
      <c r="G1012">
        <v>12</v>
      </c>
      <c r="H1012" t="s">
        <v>24</v>
      </c>
      <c r="I1012" t="s">
        <v>70</v>
      </c>
      <c r="J1012">
        <v>553</v>
      </c>
      <c r="K1012" s="3">
        <v>0</v>
      </c>
      <c r="L1012">
        <v>4368.7</v>
      </c>
    </row>
    <row r="1013" spans="1:12" x14ac:dyDescent="0.3">
      <c r="A1013">
        <v>16</v>
      </c>
      <c r="B1013">
        <v>23</v>
      </c>
      <c r="C1013">
        <v>1</v>
      </c>
      <c r="D1013">
        <v>20</v>
      </c>
      <c r="E1013">
        <v>0</v>
      </c>
      <c r="F1013">
        <v>0</v>
      </c>
      <c r="G1013">
        <v>1</v>
      </c>
      <c r="H1013" t="s">
        <v>36</v>
      </c>
      <c r="I1013" t="s">
        <v>89</v>
      </c>
      <c r="J1013">
        <v>766</v>
      </c>
      <c r="K1013" s="3">
        <v>8.8000000000000007</v>
      </c>
      <c r="L1013">
        <v>6740.8</v>
      </c>
    </row>
    <row r="1014" spans="1:12" x14ac:dyDescent="0.3">
      <c r="A1014">
        <v>0</v>
      </c>
      <c r="B1014">
        <v>23</v>
      </c>
      <c r="C1014">
        <v>1</v>
      </c>
      <c r="D1014">
        <v>22</v>
      </c>
      <c r="E1014">
        <v>1</v>
      </c>
      <c r="F1014">
        <v>0</v>
      </c>
      <c r="G1014">
        <v>9</v>
      </c>
      <c r="H1014" t="s">
        <v>23</v>
      </c>
      <c r="I1014" t="s">
        <v>71</v>
      </c>
      <c r="J1014">
        <v>492</v>
      </c>
      <c r="K1014" s="3">
        <v>8.4</v>
      </c>
      <c r="L1014">
        <v>4132.8</v>
      </c>
    </row>
    <row r="1015" spans="1:12" x14ac:dyDescent="0.3">
      <c r="A1015">
        <v>8</v>
      </c>
      <c r="B1015">
        <v>19</v>
      </c>
      <c r="C1015">
        <v>3</v>
      </c>
      <c r="D1015">
        <v>22</v>
      </c>
      <c r="E1015">
        <v>1</v>
      </c>
      <c r="F1015">
        <v>0</v>
      </c>
      <c r="G1015">
        <v>11</v>
      </c>
      <c r="H1015" t="s">
        <v>41</v>
      </c>
      <c r="I1015" t="s">
        <v>88</v>
      </c>
      <c r="J1015">
        <v>607</v>
      </c>
      <c r="K1015" s="3">
        <v>8.6999999999999993</v>
      </c>
      <c r="L1015">
        <v>5280.9</v>
      </c>
    </row>
    <row r="1016" spans="1:12" x14ac:dyDescent="0.3">
      <c r="A1016">
        <v>16</v>
      </c>
      <c r="B1016">
        <v>23</v>
      </c>
      <c r="C1016">
        <v>1</v>
      </c>
      <c r="D1016">
        <v>22</v>
      </c>
      <c r="E1016">
        <v>12</v>
      </c>
      <c r="F1016">
        <v>0</v>
      </c>
      <c r="G1016">
        <v>3</v>
      </c>
      <c r="H1016" t="s">
        <v>33</v>
      </c>
      <c r="I1016" t="s">
        <v>81</v>
      </c>
      <c r="J1016">
        <v>768</v>
      </c>
      <c r="K1016" s="3">
        <v>9.3000000000000007</v>
      </c>
      <c r="L1016">
        <v>7142.4</v>
      </c>
    </row>
    <row r="1017" spans="1:12" x14ac:dyDescent="0.3">
      <c r="A1017">
        <v>23</v>
      </c>
      <c r="B1017">
        <v>22</v>
      </c>
      <c r="C1017">
        <v>1</v>
      </c>
      <c r="D1017">
        <v>16</v>
      </c>
      <c r="E1017">
        <v>0</v>
      </c>
      <c r="F1017">
        <v>0</v>
      </c>
      <c r="G1017">
        <v>0</v>
      </c>
      <c r="H1017" t="s">
        <v>30</v>
      </c>
      <c r="I1017" t="s">
        <v>87</v>
      </c>
      <c r="J1017">
        <v>719</v>
      </c>
      <c r="K1017">
        <v>9.1999999999999993</v>
      </c>
      <c r="L1017">
        <v>6614.7999999999902</v>
      </c>
    </row>
    <row r="1018" spans="1:12" x14ac:dyDescent="0.3">
      <c r="A1018">
        <v>7</v>
      </c>
      <c r="B1018">
        <v>19</v>
      </c>
      <c r="C1018">
        <v>3</v>
      </c>
      <c r="D1018">
        <v>13</v>
      </c>
      <c r="E1018">
        <v>1</v>
      </c>
      <c r="F1018">
        <v>0</v>
      </c>
      <c r="G1018">
        <v>6</v>
      </c>
      <c r="H1018" t="s">
        <v>38</v>
      </c>
      <c r="I1018" t="s">
        <v>105</v>
      </c>
      <c r="J1018">
        <v>482</v>
      </c>
      <c r="K1018" s="3">
        <v>7.4</v>
      </c>
      <c r="L1018">
        <v>3566.8</v>
      </c>
    </row>
    <row r="1019" spans="1:12" x14ac:dyDescent="0.3">
      <c r="A1019">
        <v>13</v>
      </c>
      <c r="B1019">
        <v>22</v>
      </c>
      <c r="C1019">
        <v>3</v>
      </c>
      <c r="D1019">
        <v>19</v>
      </c>
      <c r="E1019">
        <v>12</v>
      </c>
      <c r="F1019">
        <v>0</v>
      </c>
      <c r="G1019">
        <v>6</v>
      </c>
      <c r="H1019" t="s">
        <v>18</v>
      </c>
      <c r="I1019" t="s">
        <v>91</v>
      </c>
      <c r="J1019">
        <v>750</v>
      </c>
      <c r="K1019" s="3">
        <v>7.7</v>
      </c>
      <c r="L1019">
        <v>5775</v>
      </c>
    </row>
    <row r="1020" spans="1:12" x14ac:dyDescent="0.3">
      <c r="A1020">
        <v>9</v>
      </c>
      <c r="B1020">
        <v>23</v>
      </c>
      <c r="C1020">
        <v>3</v>
      </c>
      <c r="D1020">
        <v>15</v>
      </c>
      <c r="E1020">
        <v>7</v>
      </c>
      <c r="F1020">
        <v>0</v>
      </c>
      <c r="G1020">
        <v>7</v>
      </c>
      <c r="H1020" t="s">
        <v>15</v>
      </c>
      <c r="I1020" t="s">
        <v>90</v>
      </c>
      <c r="J1020">
        <v>529</v>
      </c>
      <c r="K1020" s="3">
        <v>8.3000000000000007</v>
      </c>
      <c r="L1020">
        <v>4390.7</v>
      </c>
    </row>
    <row r="1021" spans="1:12" x14ac:dyDescent="0.3">
      <c r="A1021">
        <v>8</v>
      </c>
      <c r="B1021">
        <v>20</v>
      </c>
      <c r="C1021">
        <v>3</v>
      </c>
      <c r="D1021">
        <v>13</v>
      </c>
      <c r="E1021">
        <v>7</v>
      </c>
      <c r="F1021">
        <v>0</v>
      </c>
      <c r="G1021">
        <v>8</v>
      </c>
      <c r="H1021" t="s">
        <v>58</v>
      </c>
      <c r="I1021" t="s">
        <v>368</v>
      </c>
      <c r="J1021">
        <v>594</v>
      </c>
      <c r="K1021" s="3">
        <v>8.4</v>
      </c>
      <c r="L1021">
        <v>4989.6000000000004</v>
      </c>
    </row>
    <row r="1022" spans="1:12" x14ac:dyDescent="0.3">
      <c r="A1022">
        <v>10</v>
      </c>
      <c r="B1022">
        <v>0</v>
      </c>
      <c r="C1022">
        <v>2</v>
      </c>
      <c r="D1022">
        <v>9</v>
      </c>
      <c r="E1022">
        <v>1</v>
      </c>
      <c r="F1022">
        <v>0</v>
      </c>
      <c r="G1022">
        <v>6</v>
      </c>
      <c r="H1022" t="s">
        <v>16</v>
      </c>
      <c r="I1022" t="s">
        <v>89</v>
      </c>
      <c r="J1022">
        <v>0</v>
      </c>
      <c r="K1022" s="3">
        <v>8.9</v>
      </c>
      <c r="L1022">
        <v>4049.5</v>
      </c>
    </row>
    <row r="1023" spans="1:12" x14ac:dyDescent="0.3">
      <c r="A1023">
        <v>18</v>
      </c>
      <c r="B1023">
        <v>22</v>
      </c>
      <c r="C1023">
        <v>1</v>
      </c>
      <c r="D1023">
        <v>16</v>
      </c>
      <c r="E1023">
        <v>1</v>
      </c>
      <c r="F1023">
        <v>0</v>
      </c>
      <c r="G1023">
        <v>10</v>
      </c>
      <c r="H1023" t="s">
        <v>35</v>
      </c>
      <c r="I1023" t="s">
        <v>105</v>
      </c>
      <c r="J1023">
        <v>599</v>
      </c>
      <c r="K1023" s="3">
        <v>8.1999999999999993</v>
      </c>
      <c r="L1023">
        <v>4911.7999999999902</v>
      </c>
    </row>
    <row r="1024" spans="1:12" x14ac:dyDescent="0.3">
      <c r="A1024">
        <v>7</v>
      </c>
      <c r="B1024">
        <v>20</v>
      </c>
      <c r="C1024">
        <v>3</v>
      </c>
      <c r="D1024">
        <v>13</v>
      </c>
      <c r="E1024">
        <v>1</v>
      </c>
      <c r="F1024">
        <v>0</v>
      </c>
      <c r="G1024">
        <v>4</v>
      </c>
      <c r="H1024" t="s">
        <v>16</v>
      </c>
      <c r="I1024" t="s">
        <v>114</v>
      </c>
      <c r="J1024">
        <v>508</v>
      </c>
      <c r="K1024" s="3">
        <v>8.9</v>
      </c>
      <c r="L1024">
        <v>4521.2</v>
      </c>
    </row>
    <row r="1025" spans="1:12" x14ac:dyDescent="0.3">
      <c r="A1025">
        <v>10</v>
      </c>
      <c r="B1025">
        <v>19</v>
      </c>
      <c r="C1025">
        <v>0</v>
      </c>
      <c r="D1025">
        <v>9</v>
      </c>
      <c r="E1025">
        <v>7</v>
      </c>
      <c r="F1025">
        <v>0</v>
      </c>
      <c r="G1025">
        <v>6</v>
      </c>
      <c r="H1025" t="s">
        <v>20</v>
      </c>
      <c r="I1025" t="s">
        <v>85</v>
      </c>
      <c r="J1025">
        <v>369</v>
      </c>
      <c r="K1025" s="3">
        <v>9.1</v>
      </c>
      <c r="L1025">
        <v>3357.9</v>
      </c>
    </row>
    <row r="1026" spans="1:12" x14ac:dyDescent="0.3">
      <c r="A1026">
        <v>14</v>
      </c>
      <c r="B1026">
        <v>22</v>
      </c>
      <c r="C1026">
        <v>2</v>
      </c>
      <c r="D1026">
        <v>0</v>
      </c>
      <c r="E1026">
        <v>1</v>
      </c>
      <c r="F1026">
        <v>0</v>
      </c>
      <c r="G1026">
        <v>0</v>
      </c>
      <c r="H1026" t="s">
        <v>16</v>
      </c>
      <c r="I1026" t="s">
        <v>70</v>
      </c>
      <c r="J1026">
        <v>606</v>
      </c>
      <c r="K1026" s="3">
        <v>8.9</v>
      </c>
      <c r="L1026">
        <v>5393.4</v>
      </c>
    </row>
    <row r="1027" spans="1:12" x14ac:dyDescent="0.3">
      <c r="A1027">
        <v>8</v>
      </c>
      <c r="B1027">
        <v>19</v>
      </c>
      <c r="C1027">
        <v>3</v>
      </c>
      <c r="D1027">
        <v>19</v>
      </c>
      <c r="E1027">
        <v>1</v>
      </c>
      <c r="F1027">
        <v>0</v>
      </c>
      <c r="G1027">
        <v>1</v>
      </c>
      <c r="H1027" t="s">
        <v>15</v>
      </c>
      <c r="I1027" t="s">
        <v>79</v>
      </c>
      <c r="J1027">
        <v>431</v>
      </c>
      <c r="K1027" s="3">
        <v>8.3000000000000007</v>
      </c>
      <c r="L1027">
        <v>3577.3</v>
      </c>
    </row>
    <row r="1028" spans="1:12" x14ac:dyDescent="0.3">
      <c r="A1028">
        <v>8</v>
      </c>
      <c r="B1028">
        <v>20</v>
      </c>
      <c r="C1028">
        <v>0</v>
      </c>
      <c r="D1028">
        <v>7</v>
      </c>
      <c r="E1028">
        <v>0</v>
      </c>
      <c r="F1028">
        <v>0</v>
      </c>
      <c r="G1028">
        <v>3</v>
      </c>
      <c r="H1028" t="s">
        <v>33</v>
      </c>
      <c r="I1028" t="s">
        <v>84</v>
      </c>
      <c r="J1028">
        <v>422</v>
      </c>
      <c r="K1028" s="3">
        <v>9.3000000000000007</v>
      </c>
      <c r="L1028">
        <v>3924.6</v>
      </c>
    </row>
    <row r="1029" spans="1:12" x14ac:dyDescent="0.3">
      <c r="A1029">
        <v>9</v>
      </c>
      <c r="B1029">
        <v>20</v>
      </c>
      <c r="C1029">
        <v>0</v>
      </c>
      <c r="D1029">
        <v>5</v>
      </c>
      <c r="E1029">
        <v>1</v>
      </c>
      <c r="F1029">
        <v>0</v>
      </c>
      <c r="G1029">
        <v>4</v>
      </c>
      <c r="H1029" t="s">
        <v>30</v>
      </c>
      <c r="I1029" t="s">
        <v>83</v>
      </c>
      <c r="J1029">
        <v>309</v>
      </c>
      <c r="K1029" s="3">
        <v>9.1999999999999993</v>
      </c>
      <c r="L1029">
        <v>2842.7999999999902</v>
      </c>
    </row>
    <row r="1030" spans="1:12" x14ac:dyDescent="0.3">
      <c r="A1030">
        <v>9</v>
      </c>
      <c r="B1030">
        <v>23</v>
      </c>
      <c r="C1030">
        <v>0</v>
      </c>
      <c r="D1030">
        <v>9</v>
      </c>
      <c r="E1030">
        <v>1</v>
      </c>
      <c r="F1030">
        <v>0</v>
      </c>
      <c r="G1030">
        <v>9</v>
      </c>
      <c r="H1030" t="s">
        <v>23</v>
      </c>
      <c r="I1030" t="s">
        <v>78</v>
      </c>
      <c r="J1030">
        <v>525</v>
      </c>
      <c r="K1030" s="3">
        <v>8.4</v>
      </c>
      <c r="L1030">
        <v>4410</v>
      </c>
    </row>
    <row r="1031" spans="1:12" x14ac:dyDescent="0.3">
      <c r="A1031">
        <v>11</v>
      </c>
      <c r="B1031">
        <v>23</v>
      </c>
      <c r="C1031">
        <v>3</v>
      </c>
      <c r="D1031">
        <v>0</v>
      </c>
      <c r="E1031">
        <v>1</v>
      </c>
      <c r="F1031">
        <v>0</v>
      </c>
      <c r="G1031">
        <v>10</v>
      </c>
      <c r="H1031" t="s">
        <v>23</v>
      </c>
      <c r="I1031" t="s">
        <v>106</v>
      </c>
      <c r="J1031">
        <v>678</v>
      </c>
      <c r="K1031" s="3">
        <v>8.4</v>
      </c>
      <c r="L1031">
        <v>5695.2</v>
      </c>
    </row>
    <row r="1032" spans="1:12" x14ac:dyDescent="0.3">
      <c r="A1032">
        <v>8</v>
      </c>
      <c r="B1032">
        <v>21</v>
      </c>
      <c r="C1032">
        <v>0</v>
      </c>
      <c r="D1032">
        <v>9</v>
      </c>
      <c r="E1032">
        <v>1</v>
      </c>
      <c r="F1032">
        <v>0</v>
      </c>
      <c r="G1032">
        <v>12</v>
      </c>
      <c r="H1032" t="s">
        <v>18</v>
      </c>
      <c r="I1032" t="s">
        <v>368</v>
      </c>
      <c r="J1032">
        <v>317</v>
      </c>
      <c r="K1032" s="3">
        <v>7.7</v>
      </c>
      <c r="L1032">
        <v>2440.9</v>
      </c>
    </row>
    <row r="1033" spans="1:12" x14ac:dyDescent="0.3">
      <c r="A1033">
        <v>13</v>
      </c>
      <c r="B1033">
        <v>22</v>
      </c>
      <c r="C1033">
        <v>2</v>
      </c>
      <c r="D1033">
        <v>20</v>
      </c>
      <c r="E1033">
        <v>12</v>
      </c>
      <c r="F1033">
        <v>0</v>
      </c>
      <c r="G1033">
        <v>5</v>
      </c>
      <c r="H1033" t="s">
        <v>33</v>
      </c>
      <c r="I1033" t="s">
        <v>85</v>
      </c>
      <c r="J1033">
        <v>585</v>
      </c>
      <c r="K1033" s="3">
        <v>9.3000000000000007</v>
      </c>
      <c r="L1033">
        <v>5440.5</v>
      </c>
    </row>
    <row r="1034" spans="1:12" x14ac:dyDescent="0.3">
      <c r="A1034">
        <v>22</v>
      </c>
      <c r="B1034">
        <v>22</v>
      </c>
      <c r="C1034">
        <v>2</v>
      </c>
      <c r="D1034">
        <v>15</v>
      </c>
      <c r="E1034">
        <v>1</v>
      </c>
      <c r="F1034">
        <v>0</v>
      </c>
      <c r="G1034">
        <v>9</v>
      </c>
      <c r="H1034" t="s">
        <v>30</v>
      </c>
      <c r="I1034" t="s">
        <v>81</v>
      </c>
      <c r="J1034">
        <v>690</v>
      </c>
      <c r="K1034" s="3">
        <v>0</v>
      </c>
      <c r="L1034">
        <v>6347.99999999999</v>
      </c>
    </row>
    <row r="1035" spans="1:12" x14ac:dyDescent="0.3">
      <c r="A1035">
        <v>22</v>
      </c>
      <c r="B1035">
        <v>23</v>
      </c>
      <c r="C1035">
        <v>0</v>
      </c>
      <c r="D1035">
        <v>21</v>
      </c>
      <c r="E1035">
        <v>1</v>
      </c>
      <c r="F1035">
        <v>0</v>
      </c>
      <c r="G1035">
        <v>9</v>
      </c>
      <c r="H1035" t="s">
        <v>18</v>
      </c>
      <c r="I1035" t="s">
        <v>93</v>
      </c>
      <c r="J1035">
        <v>576</v>
      </c>
      <c r="K1035" s="3">
        <v>7.7</v>
      </c>
      <c r="L1035">
        <v>4435.2</v>
      </c>
    </row>
    <row r="1036" spans="1:12" x14ac:dyDescent="0.3">
      <c r="A1036">
        <v>22</v>
      </c>
      <c r="B1036">
        <v>22</v>
      </c>
      <c r="C1036">
        <v>0</v>
      </c>
      <c r="D1036">
        <v>14</v>
      </c>
      <c r="E1036">
        <v>1</v>
      </c>
      <c r="F1036">
        <v>0</v>
      </c>
      <c r="G1036">
        <v>3</v>
      </c>
      <c r="H1036" t="s">
        <v>16</v>
      </c>
      <c r="I1036" t="s">
        <v>83</v>
      </c>
      <c r="J1036">
        <v>411</v>
      </c>
      <c r="K1036" s="3">
        <v>8.9</v>
      </c>
      <c r="L1036">
        <v>3657.9</v>
      </c>
    </row>
    <row r="1037" spans="1:12" x14ac:dyDescent="0.3">
      <c r="A1037">
        <v>18</v>
      </c>
      <c r="B1037">
        <v>22</v>
      </c>
      <c r="C1037">
        <v>1</v>
      </c>
      <c r="D1037">
        <v>0</v>
      </c>
      <c r="E1037">
        <v>1</v>
      </c>
      <c r="F1037">
        <v>0</v>
      </c>
      <c r="G1037">
        <v>5</v>
      </c>
      <c r="H1037" t="s">
        <v>22</v>
      </c>
      <c r="I1037" t="s">
        <v>73</v>
      </c>
      <c r="J1037">
        <v>609</v>
      </c>
      <c r="K1037" s="3">
        <v>7.8</v>
      </c>
      <c r="L1037">
        <v>4750.2</v>
      </c>
    </row>
    <row r="1038" spans="1:12" x14ac:dyDescent="0.3">
      <c r="A1038">
        <v>21</v>
      </c>
      <c r="B1038">
        <v>22</v>
      </c>
      <c r="C1038">
        <v>2</v>
      </c>
      <c r="D1038">
        <v>15</v>
      </c>
      <c r="E1038">
        <v>1</v>
      </c>
      <c r="F1038">
        <v>0</v>
      </c>
      <c r="G1038">
        <v>10</v>
      </c>
      <c r="H1038" t="s">
        <v>33</v>
      </c>
      <c r="I1038" t="s">
        <v>109</v>
      </c>
      <c r="J1038">
        <v>460</v>
      </c>
      <c r="K1038" s="3">
        <v>9.3000000000000007</v>
      </c>
      <c r="L1038">
        <v>4278</v>
      </c>
    </row>
    <row r="1039" spans="1:12" x14ac:dyDescent="0.3">
      <c r="A1039">
        <v>7</v>
      </c>
      <c r="B1039">
        <v>23</v>
      </c>
      <c r="C1039">
        <v>1</v>
      </c>
      <c r="D1039">
        <v>14</v>
      </c>
      <c r="E1039">
        <v>1</v>
      </c>
      <c r="F1039">
        <v>0</v>
      </c>
      <c r="G1039">
        <v>4</v>
      </c>
      <c r="H1039" t="s">
        <v>369</v>
      </c>
      <c r="I1039" t="s">
        <v>88</v>
      </c>
      <c r="J1039">
        <v>0</v>
      </c>
      <c r="K1039" s="3">
        <v>8.8000000000000007</v>
      </c>
      <c r="L1039">
        <v>4584.8</v>
      </c>
    </row>
    <row r="1040" spans="1:12" x14ac:dyDescent="0.3">
      <c r="A1040">
        <v>7</v>
      </c>
      <c r="B1040">
        <v>18</v>
      </c>
      <c r="C1040">
        <v>3</v>
      </c>
      <c r="D1040">
        <v>18</v>
      </c>
      <c r="E1040">
        <v>7</v>
      </c>
      <c r="F1040">
        <v>0</v>
      </c>
      <c r="G1040">
        <v>1</v>
      </c>
      <c r="H1040" t="s">
        <v>26</v>
      </c>
      <c r="I1040" t="s">
        <v>79</v>
      </c>
      <c r="J1040">
        <v>663</v>
      </c>
      <c r="K1040" s="3">
        <v>8.5</v>
      </c>
      <c r="L1040">
        <v>5635.5</v>
      </c>
    </row>
    <row r="1041" spans="1:12" x14ac:dyDescent="0.3">
      <c r="A1041">
        <v>10</v>
      </c>
      <c r="B1041">
        <v>23</v>
      </c>
      <c r="C1041">
        <v>2</v>
      </c>
      <c r="D1041">
        <v>22</v>
      </c>
      <c r="E1041">
        <v>1</v>
      </c>
      <c r="F1041">
        <v>0</v>
      </c>
      <c r="G1041">
        <v>2</v>
      </c>
      <c r="H1041" t="s">
        <v>24</v>
      </c>
      <c r="I1041" t="s">
        <v>76</v>
      </c>
      <c r="J1041">
        <v>0</v>
      </c>
      <c r="K1041" s="3">
        <v>7.9</v>
      </c>
      <c r="L1041">
        <v>4747.8999999999996</v>
      </c>
    </row>
    <row r="1042" spans="1:12" x14ac:dyDescent="0.3">
      <c r="A1042">
        <v>17</v>
      </c>
      <c r="B1042">
        <v>22</v>
      </c>
      <c r="C1042">
        <v>2</v>
      </c>
      <c r="D1042">
        <v>7</v>
      </c>
      <c r="E1042">
        <v>1</v>
      </c>
      <c r="F1042">
        <v>0</v>
      </c>
      <c r="G1042">
        <v>7</v>
      </c>
      <c r="H1042" t="s">
        <v>21</v>
      </c>
      <c r="I1042" t="s">
        <v>105</v>
      </c>
      <c r="J1042">
        <v>525</v>
      </c>
      <c r="K1042" s="3">
        <v>8.6999999999999993</v>
      </c>
      <c r="L1042">
        <v>4567.5</v>
      </c>
    </row>
    <row r="1043" spans="1:12" x14ac:dyDescent="0.3">
      <c r="A1043">
        <v>9</v>
      </c>
      <c r="B1043">
        <v>23</v>
      </c>
      <c r="C1043">
        <v>3</v>
      </c>
      <c r="D1043">
        <v>5</v>
      </c>
      <c r="E1043">
        <v>1</v>
      </c>
      <c r="F1043">
        <v>0</v>
      </c>
      <c r="G1043">
        <v>6</v>
      </c>
      <c r="H1043" t="s">
        <v>369</v>
      </c>
      <c r="I1043" t="s">
        <v>107</v>
      </c>
      <c r="J1043">
        <v>0</v>
      </c>
      <c r="K1043" s="3">
        <v>9.3000000000000007</v>
      </c>
      <c r="L1043">
        <v>3589.8</v>
      </c>
    </row>
    <row r="1044" spans="1:12" x14ac:dyDescent="0.3">
      <c r="A1044">
        <v>14</v>
      </c>
      <c r="B1044">
        <v>22</v>
      </c>
      <c r="C1044">
        <v>0</v>
      </c>
      <c r="D1044">
        <v>10</v>
      </c>
      <c r="E1044">
        <v>12</v>
      </c>
      <c r="F1044">
        <v>0</v>
      </c>
      <c r="G1044">
        <v>4</v>
      </c>
      <c r="H1044" t="s">
        <v>13</v>
      </c>
      <c r="I1044" t="s">
        <v>77</v>
      </c>
      <c r="J1044">
        <v>423</v>
      </c>
      <c r="K1044" s="3">
        <v>8.3000000000000007</v>
      </c>
      <c r="L1044">
        <v>3510.9</v>
      </c>
    </row>
    <row r="1045" spans="1:12" x14ac:dyDescent="0.3">
      <c r="A1045">
        <v>22</v>
      </c>
      <c r="B1045">
        <v>22</v>
      </c>
      <c r="C1045">
        <v>2</v>
      </c>
      <c r="D1045">
        <v>10</v>
      </c>
      <c r="E1045">
        <v>1</v>
      </c>
      <c r="F1045">
        <v>0</v>
      </c>
      <c r="G1045">
        <v>0</v>
      </c>
      <c r="H1045" t="s">
        <v>16</v>
      </c>
      <c r="I1045" t="s">
        <v>368</v>
      </c>
      <c r="J1045">
        <v>578</v>
      </c>
      <c r="K1045" s="3">
        <v>8.9</v>
      </c>
      <c r="L1045">
        <v>5144.2</v>
      </c>
    </row>
    <row r="1046" spans="1:12" x14ac:dyDescent="0.3">
      <c r="A1046">
        <v>7</v>
      </c>
      <c r="B1046">
        <v>22</v>
      </c>
      <c r="C1046">
        <v>3</v>
      </c>
      <c r="D1046">
        <v>21</v>
      </c>
      <c r="E1046">
        <v>1</v>
      </c>
      <c r="F1046">
        <v>0</v>
      </c>
      <c r="G1046">
        <v>6</v>
      </c>
      <c r="H1046" t="s">
        <v>30</v>
      </c>
      <c r="I1046" t="s">
        <v>134</v>
      </c>
      <c r="J1046">
        <v>475</v>
      </c>
      <c r="K1046" s="3">
        <v>9.1999999999999993</v>
      </c>
      <c r="L1046">
        <v>4370</v>
      </c>
    </row>
    <row r="1047" spans="1:12" x14ac:dyDescent="0.3">
      <c r="A1047">
        <v>11</v>
      </c>
      <c r="B1047">
        <v>23</v>
      </c>
      <c r="C1047">
        <v>3</v>
      </c>
      <c r="D1047">
        <v>20</v>
      </c>
      <c r="E1047">
        <v>1</v>
      </c>
      <c r="F1047">
        <v>0</v>
      </c>
      <c r="G1047">
        <v>8</v>
      </c>
      <c r="H1047" t="s">
        <v>38</v>
      </c>
      <c r="I1047" t="s">
        <v>105</v>
      </c>
      <c r="J1047">
        <v>632</v>
      </c>
      <c r="K1047" s="3">
        <v>7.4</v>
      </c>
      <c r="L1047">
        <v>4676.8</v>
      </c>
    </row>
    <row r="1048" spans="1:12" x14ac:dyDescent="0.3">
      <c r="A1048">
        <v>22</v>
      </c>
      <c r="B1048">
        <v>22</v>
      </c>
      <c r="C1048">
        <v>1</v>
      </c>
      <c r="D1048">
        <v>10</v>
      </c>
      <c r="E1048">
        <v>12</v>
      </c>
      <c r="F1048">
        <v>0</v>
      </c>
      <c r="G1048">
        <v>5</v>
      </c>
      <c r="H1048" t="s">
        <v>35</v>
      </c>
      <c r="I1048" t="s">
        <v>81</v>
      </c>
      <c r="J1048">
        <v>697</v>
      </c>
      <c r="K1048" s="3">
        <v>8.1999999999999993</v>
      </c>
      <c r="L1048">
        <v>5715.4</v>
      </c>
    </row>
    <row r="1049" spans="1:12" x14ac:dyDescent="0.3">
      <c r="A1049">
        <v>13</v>
      </c>
      <c r="B1049">
        <v>22</v>
      </c>
      <c r="C1049">
        <v>0</v>
      </c>
      <c r="D1049">
        <v>18</v>
      </c>
      <c r="E1049">
        <v>1</v>
      </c>
      <c r="F1049">
        <v>0</v>
      </c>
      <c r="G1049">
        <v>6</v>
      </c>
      <c r="H1049" t="s">
        <v>38</v>
      </c>
      <c r="I1049" t="s">
        <v>104</v>
      </c>
      <c r="J1049">
        <v>471</v>
      </c>
      <c r="K1049" s="3">
        <v>7.4</v>
      </c>
      <c r="L1049">
        <v>3485.4</v>
      </c>
    </row>
    <row r="1050" spans="1:12" x14ac:dyDescent="0.3">
      <c r="A1050">
        <v>0</v>
      </c>
      <c r="B1050">
        <v>22</v>
      </c>
      <c r="C1050">
        <v>2</v>
      </c>
      <c r="D1050">
        <v>6</v>
      </c>
      <c r="E1050">
        <v>1</v>
      </c>
      <c r="F1050">
        <v>0</v>
      </c>
      <c r="G1050">
        <v>8</v>
      </c>
      <c r="H1050" t="s">
        <v>14</v>
      </c>
      <c r="I1050" t="s">
        <v>109</v>
      </c>
      <c r="J1050">
        <v>589</v>
      </c>
      <c r="K1050" s="3">
        <v>8.9</v>
      </c>
      <c r="L1050">
        <v>5242.1000000000004</v>
      </c>
    </row>
    <row r="1051" spans="1:12" x14ac:dyDescent="0.3">
      <c r="A1051">
        <v>18</v>
      </c>
      <c r="B1051">
        <v>0</v>
      </c>
      <c r="C1051">
        <v>3</v>
      </c>
      <c r="D1051">
        <v>12</v>
      </c>
      <c r="E1051">
        <v>1</v>
      </c>
      <c r="F1051">
        <v>0</v>
      </c>
      <c r="G1051">
        <v>2</v>
      </c>
      <c r="H1051" t="s">
        <v>49</v>
      </c>
      <c r="I1051" t="s">
        <v>79</v>
      </c>
      <c r="J1051">
        <v>431</v>
      </c>
      <c r="K1051" s="3">
        <v>8.5</v>
      </c>
      <c r="L1051">
        <v>3663.5</v>
      </c>
    </row>
    <row r="1052" spans="1:12" x14ac:dyDescent="0.3">
      <c r="A1052">
        <v>5</v>
      </c>
      <c r="B1052">
        <v>22</v>
      </c>
      <c r="C1052">
        <v>3</v>
      </c>
      <c r="D1052">
        <v>9</v>
      </c>
      <c r="E1052">
        <v>1</v>
      </c>
      <c r="F1052">
        <v>0</v>
      </c>
      <c r="G1052">
        <v>5</v>
      </c>
      <c r="H1052" t="s">
        <v>33</v>
      </c>
      <c r="I1052" t="s">
        <v>76</v>
      </c>
      <c r="J1052">
        <v>0</v>
      </c>
      <c r="K1052" s="3">
        <v>9.3000000000000007</v>
      </c>
      <c r="L1052">
        <v>4538.3999999999996</v>
      </c>
    </row>
    <row r="1053" spans="1:12" x14ac:dyDescent="0.3">
      <c r="A1053">
        <v>6</v>
      </c>
      <c r="B1053">
        <v>21</v>
      </c>
      <c r="C1053">
        <v>2</v>
      </c>
      <c r="D1053">
        <v>7</v>
      </c>
      <c r="E1053">
        <v>1</v>
      </c>
      <c r="F1053">
        <v>0</v>
      </c>
      <c r="G1053">
        <v>12</v>
      </c>
      <c r="H1053" t="s">
        <v>36</v>
      </c>
      <c r="I1053" t="s">
        <v>128</v>
      </c>
      <c r="J1053">
        <v>281</v>
      </c>
      <c r="K1053" s="3">
        <v>8.8000000000000007</v>
      </c>
      <c r="L1053">
        <v>2472.8000000000002</v>
      </c>
    </row>
    <row r="1054" spans="1:12" x14ac:dyDescent="0.3">
      <c r="A1054">
        <v>18</v>
      </c>
      <c r="B1054">
        <v>23</v>
      </c>
      <c r="C1054">
        <v>3</v>
      </c>
      <c r="D1054">
        <v>17</v>
      </c>
      <c r="E1054">
        <v>12</v>
      </c>
      <c r="F1054">
        <v>0</v>
      </c>
      <c r="G1054">
        <v>6</v>
      </c>
      <c r="H1054" t="s">
        <v>15</v>
      </c>
      <c r="I1054" t="s">
        <v>90</v>
      </c>
      <c r="J1054">
        <v>812</v>
      </c>
      <c r="K1054" s="3">
        <v>8.3000000000000007</v>
      </c>
      <c r="L1054">
        <v>6739.6</v>
      </c>
    </row>
    <row r="1055" spans="1:12" x14ac:dyDescent="0.3">
      <c r="A1055">
        <v>10</v>
      </c>
      <c r="B1055">
        <v>23</v>
      </c>
      <c r="C1055">
        <v>2</v>
      </c>
      <c r="D1055">
        <v>19</v>
      </c>
      <c r="E1055">
        <v>1</v>
      </c>
      <c r="F1055">
        <v>0</v>
      </c>
      <c r="G1055">
        <v>12</v>
      </c>
      <c r="H1055" t="s">
        <v>15</v>
      </c>
      <c r="I1055" t="s">
        <v>84</v>
      </c>
      <c r="J1055">
        <v>504</v>
      </c>
      <c r="K1055" s="3">
        <v>8.3000000000000007</v>
      </c>
      <c r="L1055">
        <v>4183.2</v>
      </c>
    </row>
    <row r="1056" spans="1:12" x14ac:dyDescent="0.3">
      <c r="A1056">
        <v>23</v>
      </c>
      <c r="B1056">
        <v>22</v>
      </c>
      <c r="C1056">
        <v>3</v>
      </c>
      <c r="D1056">
        <v>22</v>
      </c>
      <c r="E1056">
        <v>0</v>
      </c>
      <c r="F1056">
        <v>0</v>
      </c>
      <c r="G1056">
        <v>9</v>
      </c>
      <c r="H1056" t="s">
        <v>20</v>
      </c>
      <c r="I1056" t="s">
        <v>120</v>
      </c>
      <c r="J1056">
        <v>811</v>
      </c>
      <c r="K1056" s="3">
        <v>9.1</v>
      </c>
      <c r="L1056">
        <v>7380.0999999999904</v>
      </c>
    </row>
    <row r="1057" spans="1:12" x14ac:dyDescent="0.3">
      <c r="A1057">
        <v>19</v>
      </c>
      <c r="B1057">
        <v>23</v>
      </c>
      <c r="C1057">
        <v>1</v>
      </c>
      <c r="D1057">
        <v>4</v>
      </c>
      <c r="E1057">
        <v>1</v>
      </c>
      <c r="F1057">
        <v>0</v>
      </c>
      <c r="G1057">
        <v>11</v>
      </c>
      <c r="H1057" t="s">
        <v>30</v>
      </c>
      <c r="I1057" t="s">
        <v>83</v>
      </c>
      <c r="J1057">
        <v>396</v>
      </c>
      <c r="K1057" s="3">
        <v>9.1999999999999993</v>
      </c>
      <c r="L1057">
        <v>3643.2</v>
      </c>
    </row>
    <row r="1058" spans="1:12" x14ac:dyDescent="0.3">
      <c r="A1058">
        <v>8</v>
      </c>
      <c r="B1058">
        <v>20</v>
      </c>
      <c r="C1058">
        <v>0</v>
      </c>
      <c r="D1058">
        <v>21</v>
      </c>
      <c r="E1058">
        <v>7</v>
      </c>
      <c r="F1058">
        <v>0</v>
      </c>
      <c r="G1058">
        <v>6</v>
      </c>
      <c r="H1058" t="s">
        <v>23</v>
      </c>
      <c r="I1058" t="s">
        <v>85</v>
      </c>
      <c r="J1058">
        <v>644</v>
      </c>
      <c r="K1058" s="3">
        <v>8.4</v>
      </c>
      <c r="L1058">
        <v>5409.6</v>
      </c>
    </row>
    <row r="1059" spans="1:12" x14ac:dyDescent="0.3">
      <c r="A1059">
        <v>19</v>
      </c>
      <c r="B1059">
        <v>23</v>
      </c>
      <c r="C1059">
        <v>2</v>
      </c>
      <c r="D1059">
        <v>20</v>
      </c>
      <c r="E1059">
        <v>1</v>
      </c>
      <c r="F1059">
        <v>0</v>
      </c>
      <c r="G1059">
        <v>0</v>
      </c>
      <c r="H1059" t="s">
        <v>30</v>
      </c>
      <c r="I1059" t="s">
        <v>74</v>
      </c>
      <c r="J1059">
        <v>608</v>
      </c>
      <c r="K1059" s="3">
        <v>9.1999999999999993</v>
      </c>
      <c r="L1059">
        <v>5593.5999999999904</v>
      </c>
    </row>
    <row r="1060" spans="1:12" x14ac:dyDescent="0.3">
      <c r="A1060">
        <v>11</v>
      </c>
      <c r="B1060">
        <v>23</v>
      </c>
      <c r="C1060">
        <v>0</v>
      </c>
      <c r="D1060">
        <v>20</v>
      </c>
      <c r="E1060">
        <v>1</v>
      </c>
      <c r="F1060">
        <v>0</v>
      </c>
      <c r="G1060">
        <v>12</v>
      </c>
      <c r="H1060" t="s">
        <v>26</v>
      </c>
      <c r="I1060" t="s">
        <v>73</v>
      </c>
      <c r="J1060">
        <v>497</v>
      </c>
      <c r="K1060" s="3">
        <v>8.5</v>
      </c>
      <c r="L1060">
        <v>4224.5</v>
      </c>
    </row>
    <row r="1061" spans="1:12" x14ac:dyDescent="0.3">
      <c r="A1061">
        <v>6</v>
      </c>
      <c r="B1061">
        <v>21</v>
      </c>
      <c r="C1061">
        <v>0</v>
      </c>
      <c r="D1061">
        <v>13</v>
      </c>
      <c r="E1061">
        <v>1</v>
      </c>
      <c r="F1061">
        <v>0</v>
      </c>
      <c r="G1061">
        <v>9</v>
      </c>
      <c r="H1061" t="s">
        <v>24</v>
      </c>
      <c r="I1061" t="s">
        <v>83</v>
      </c>
      <c r="J1061">
        <v>367</v>
      </c>
      <c r="K1061" s="3">
        <v>7.9</v>
      </c>
      <c r="L1061">
        <v>2899.3</v>
      </c>
    </row>
    <row r="1062" spans="1:12" x14ac:dyDescent="0.3">
      <c r="A1062">
        <v>23</v>
      </c>
      <c r="B1062">
        <v>23</v>
      </c>
      <c r="C1062">
        <v>2</v>
      </c>
      <c r="D1062">
        <v>11</v>
      </c>
      <c r="E1062">
        <v>1</v>
      </c>
      <c r="F1062">
        <v>0</v>
      </c>
      <c r="G1062">
        <v>7</v>
      </c>
      <c r="H1062" t="s">
        <v>35</v>
      </c>
      <c r="I1062" t="s">
        <v>96</v>
      </c>
      <c r="J1062">
        <v>542</v>
      </c>
      <c r="K1062" s="3">
        <v>8.1999999999999993</v>
      </c>
      <c r="L1062">
        <v>4444.3999999999996</v>
      </c>
    </row>
    <row r="1063" spans="1:12" x14ac:dyDescent="0.3">
      <c r="A1063">
        <v>11</v>
      </c>
      <c r="B1063">
        <v>23</v>
      </c>
      <c r="C1063">
        <v>0</v>
      </c>
      <c r="D1063">
        <v>9</v>
      </c>
      <c r="E1063">
        <v>12</v>
      </c>
      <c r="F1063">
        <v>0</v>
      </c>
      <c r="G1063">
        <v>11</v>
      </c>
      <c r="H1063" t="s">
        <v>369</v>
      </c>
      <c r="I1063" t="s">
        <v>92</v>
      </c>
      <c r="J1063">
        <v>602</v>
      </c>
      <c r="K1063" s="3">
        <v>8.6999999999999993</v>
      </c>
      <c r="L1063">
        <v>5237.3999999999996</v>
      </c>
    </row>
    <row r="1064" spans="1:12" x14ac:dyDescent="0.3">
      <c r="A1064">
        <v>20</v>
      </c>
      <c r="B1064">
        <v>22</v>
      </c>
      <c r="C1064">
        <v>1</v>
      </c>
      <c r="D1064">
        <v>14</v>
      </c>
      <c r="E1064">
        <v>1</v>
      </c>
      <c r="F1064">
        <v>0</v>
      </c>
      <c r="G1064">
        <v>4</v>
      </c>
      <c r="H1064" t="s">
        <v>61</v>
      </c>
      <c r="I1064" t="s">
        <v>70</v>
      </c>
      <c r="J1064">
        <v>645</v>
      </c>
      <c r="K1064" s="3">
        <v>7.4</v>
      </c>
      <c r="L1064">
        <v>4773</v>
      </c>
    </row>
    <row r="1065" spans="1:12" x14ac:dyDescent="0.3">
      <c r="A1065">
        <v>9</v>
      </c>
      <c r="B1065">
        <v>20</v>
      </c>
      <c r="C1065">
        <v>0</v>
      </c>
      <c r="D1065">
        <v>6</v>
      </c>
      <c r="E1065">
        <v>7</v>
      </c>
      <c r="F1065">
        <v>0</v>
      </c>
      <c r="G1065">
        <v>9</v>
      </c>
      <c r="H1065" t="s">
        <v>26</v>
      </c>
      <c r="I1065" t="s">
        <v>92</v>
      </c>
      <c r="J1065">
        <v>258</v>
      </c>
      <c r="K1065" s="3">
        <v>8.5</v>
      </c>
      <c r="L1065">
        <v>2193</v>
      </c>
    </row>
    <row r="1066" spans="1:12" x14ac:dyDescent="0.3">
      <c r="A1066">
        <v>17</v>
      </c>
      <c r="B1066">
        <v>22</v>
      </c>
      <c r="C1066">
        <v>3</v>
      </c>
      <c r="D1066">
        <v>21</v>
      </c>
      <c r="E1066">
        <v>0</v>
      </c>
      <c r="F1066">
        <v>0</v>
      </c>
      <c r="G1066">
        <v>5</v>
      </c>
      <c r="H1066" t="s">
        <v>21</v>
      </c>
      <c r="I1066" t="s">
        <v>84</v>
      </c>
      <c r="J1066">
        <v>888</v>
      </c>
      <c r="K1066" s="3">
        <v>8.6999999999999993</v>
      </c>
      <c r="L1066">
        <v>7725.5999999999904</v>
      </c>
    </row>
    <row r="1067" spans="1:12" x14ac:dyDescent="0.3">
      <c r="A1067">
        <v>20</v>
      </c>
      <c r="B1067">
        <v>22</v>
      </c>
      <c r="C1067">
        <v>2</v>
      </c>
      <c r="D1067">
        <v>18</v>
      </c>
      <c r="E1067">
        <v>1</v>
      </c>
      <c r="F1067">
        <v>0</v>
      </c>
      <c r="G1067">
        <v>8</v>
      </c>
      <c r="H1067" t="s">
        <v>30</v>
      </c>
      <c r="I1067" t="s">
        <v>94</v>
      </c>
      <c r="J1067">
        <v>0</v>
      </c>
      <c r="K1067" s="3">
        <v>9.1999999999999993</v>
      </c>
      <c r="L1067">
        <v>5538.4</v>
      </c>
    </row>
    <row r="1068" spans="1:12" x14ac:dyDescent="0.3">
      <c r="A1068">
        <v>21</v>
      </c>
      <c r="B1068">
        <v>22</v>
      </c>
      <c r="C1068">
        <v>2</v>
      </c>
      <c r="D1068">
        <v>19</v>
      </c>
      <c r="E1068">
        <v>12</v>
      </c>
      <c r="F1068">
        <v>0</v>
      </c>
      <c r="G1068">
        <v>5</v>
      </c>
      <c r="H1068" t="s">
        <v>35</v>
      </c>
      <c r="I1068" t="s">
        <v>101</v>
      </c>
      <c r="J1068">
        <v>717</v>
      </c>
      <c r="K1068" s="3">
        <v>8.1999999999999993</v>
      </c>
      <c r="L1068">
        <v>5879.4</v>
      </c>
    </row>
    <row r="1069" spans="1:12" x14ac:dyDescent="0.3">
      <c r="A1069">
        <v>6</v>
      </c>
      <c r="B1069">
        <v>21</v>
      </c>
      <c r="C1069">
        <v>1</v>
      </c>
      <c r="D1069">
        <v>22</v>
      </c>
      <c r="E1069">
        <v>7</v>
      </c>
      <c r="F1069">
        <v>0</v>
      </c>
      <c r="G1069">
        <v>0</v>
      </c>
      <c r="H1069" t="s">
        <v>35</v>
      </c>
      <c r="I1069" t="s">
        <v>87</v>
      </c>
      <c r="J1069">
        <v>598</v>
      </c>
      <c r="K1069" s="3">
        <v>8.1999999999999993</v>
      </c>
      <c r="L1069">
        <v>4903.5999999999904</v>
      </c>
    </row>
    <row r="1070" spans="1:12" x14ac:dyDescent="0.3">
      <c r="A1070">
        <v>9</v>
      </c>
      <c r="B1070">
        <v>22</v>
      </c>
      <c r="C1070">
        <v>2</v>
      </c>
      <c r="D1070">
        <v>0</v>
      </c>
      <c r="E1070">
        <v>1</v>
      </c>
      <c r="F1070">
        <v>0</v>
      </c>
      <c r="G1070">
        <v>4</v>
      </c>
      <c r="H1070" t="s">
        <v>21</v>
      </c>
      <c r="I1070" t="s">
        <v>91</v>
      </c>
      <c r="J1070">
        <v>334</v>
      </c>
      <c r="K1070" s="3">
        <v>8.6999999999999993</v>
      </c>
      <c r="L1070">
        <v>2905.7999999999902</v>
      </c>
    </row>
    <row r="1071" spans="1:12" x14ac:dyDescent="0.3">
      <c r="A1071">
        <v>20</v>
      </c>
      <c r="B1071">
        <v>22</v>
      </c>
      <c r="C1071">
        <v>1</v>
      </c>
      <c r="D1071">
        <v>5</v>
      </c>
      <c r="E1071">
        <v>12</v>
      </c>
      <c r="F1071">
        <v>0</v>
      </c>
      <c r="G1071">
        <v>2</v>
      </c>
      <c r="H1071" t="s">
        <v>23</v>
      </c>
      <c r="I1071" t="s">
        <v>70</v>
      </c>
      <c r="J1071">
        <v>528</v>
      </c>
      <c r="K1071" s="3">
        <v>8.4</v>
      </c>
      <c r="L1071">
        <v>99999</v>
      </c>
    </row>
    <row r="1072" spans="1:12" x14ac:dyDescent="0.3">
      <c r="A1072">
        <v>13</v>
      </c>
      <c r="B1072">
        <v>22</v>
      </c>
      <c r="C1072">
        <v>1</v>
      </c>
      <c r="D1072">
        <v>13</v>
      </c>
      <c r="E1072">
        <v>1</v>
      </c>
      <c r="F1072">
        <v>0</v>
      </c>
      <c r="G1072">
        <v>11</v>
      </c>
      <c r="H1072" t="s">
        <v>25</v>
      </c>
      <c r="I1072" t="s">
        <v>368</v>
      </c>
      <c r="J1072">
        <v>477</v>
      </c>
      <c r="K1072" s="3">
        <v>0</v>
      </c>
      <c r="L1072">
        <v>3863.7</v>
      </c>
    </row>
    <row r="1073" spans="1:12" x14ac:dyDescent="0.3">
      <c r="A1073">
        <v>10</v>
      </c>
      <c r="B1073">
        <v>21</v>
      </c>
      <c r="C1073">
        <v>3</v>
      </c>
      <c r="D1073">
        <v>3</v>
      </c>
      <c r="E1073">
        <v>1</v>
      </c>
      <c r="F1073">
        <v>0</v>
      </c>
      <c r="G1073">
        <v>11</v>
      </c>
      <c r="H1073" t="s">
        <v>38</v>
      </c>
      <c r="I1073" t="s">
        <v>86</v>
      </c>
      <c r="J1073">
        <v>288</v>
      </c>
      <c r="K1073" s="3">
        <v>0</v>
      </c>
      <c r="L1073">
        <v>2131.1999999999998</v>
      </c>
    </row>
    <row r="1074" spans="1:12" x14ac:dyDescent="0.3">
      <c r="A1074">
        <v>7</v>
      </c>
      <c r="B1074">
        <v>22</v>
      </c>
      <c r="C1074">
        <v>0</v>
      </c>
      <c r="D1074">
        <v>4</v>
      </c>
      <c r="E1074">
        <v>1</v>
      </c>
      <c r="F1074">
        <v>0</v>
      </c>
      <c r="G1074">
        <v>4</v>
      </c>
      <c r="H1074" t="s">
        <v>30</v>
      </c>
      <c r="I1074" t="s">
        <v>76</v>
      </c>
      <c r="J1074">
        <v>459</v>
      </c>
      <c r="K1074" s="3">
        <v>9.1999999999999993</v>
      </c>
      <c r="L1074">
        <v>99999</v>
      </c>
    </row>
    <row r="1075" spans="1:12" x14ac:dyDescent="0.3">
      <c r="A1075">
        <v>21</v>
      </c>
      <c r="B1075">
        <v>22</v>
      </c>
      <c r="C1075">
        <v>2</v>
      </c>
      <c r="D1075">
        <v>15</v>
      </c>
      <c r="E1075">
        <v>1</v>
      </c>
      <c r="F1075">
        <v>0</v>
      </c>
      <c r="G1075">
        <v>7</v>
      </c>
      <c r="H1075" t="s">
        <v>36</v>
      </c>
      <c r="I1075" t="s">
        <v>74</v>
      </c>
      <c r="J1075">
        <v>617</v>
      </c>
      <c r="K1075" s="3">
        <v>8.8000000000000007</v>
      </c>
      <c r="L1075">
        <v>5429.6</v>
      </c>
    </row>
    <row r="1076" spans="1:12" x14ac:dyDescent="0.3">
      <c r="A1076">
        <v>14</v>
      </c>
      <c r="B1076">
        <v>22</v>
      </c>
      <c r="C1076">
        <v>1</v>
      </c>
      <c r="D1076">
        <v>4</v>
      </c>
      <c r="E1076">
        <v>12</v>
      </c>
      <c r="F1076">
        <v>0</v>
      </c>
      <c r="G1076">
        <v>1</v>
      </c>
      <c r="H1076" t="s">
        <v>18</v>
      </c>
      <c r="I1076" t="s">
        <v>90</v>
      </c>
      <c r="J1076">
        <v>453</v>
      </c>
      <c r="K1076" s="3">
        <v>7.7</v>
      </c>
      <c r="L1076">
        <v>3488.1</v>
      </c>
    </row>
    <row r="1077" spans="1:12" x14ac:dyDescent="0.3">
      <c r="A1077">
        <v>15</v>
      </c>
      <c r="B1077">
        <v>22</v>
      </c>
      <c r="C1077">
        <v>1</v>
      </c>
      <c r="D1077">
        <v>6</v>
      </c>
      <c r="E1077">
        <v>12</v>
      </c>
      <c r="F1077">
        <v>0</v>
      </c>
      <c r="G1077">
        <v>9</v>
      </c>
      <c r="H1077" t="s">
        <v>32</v>
      </c>
      <c r="I1077" t="s">
        <v>77</v>
      </c>
      <c r="J1077">
        <v>556</v>
      </c>
      <c r="K1077" s="3">
        <v>7.6</v>
      </c>
      <c r="L1077">
        <v>4225.5999999999904</v>
      </c>
    </row>
    <row r="1078" spans="1:12" x14ac:dyDescent="0.3">
      <c r="A1078">
        <v>8</v>
      </c>
      <c r="B1078">
        <v>22</v>
      </c>
      <c r="C1078">
        <v>0</v>
      </c>
      <c r="D1078">
        <v>19</v>
      </c>
      <c r="E1078">
        <v>7</v>
      </c>
      <c r="F1078">
        <v>0</v>
      </c>
      <c r="G1078">
        <v>10</v>
      </c>
      <c r="H1078" t="s">
        <v>42</v>
      </c>
      <c r="I1078" t="s">
        <v>106</v>
      </c>
      <c r="J1078">
        <v>508</v>
      </c>
      <c r="K1078" s="3">
        <v>7.8</v>
      </c>
      <c r="L1078">
        <v>3962.4</v>
      </c>
    </row>
    <row r="1079" spans="1:12" x14ac:dyDescent="0.3">
      <c r="A1079">
        <v>8</v>
      </c>
      <c r="B1079">
        <v>19</v>
      </c>
      <c r="C1079">
        <v>2</v>
      </c>
      <c r="D1079">
        <v>20</v>
      </c>
      <c r="E1079">
        <v>1</v>
      </c>
      <c r="F1079">
        <v>0</v>
      </c>
      <c r="G1079">
        <v>12</v>
      </c>
      <c r="H1079" t="s">
        <v>18</v>
      </c>
      <c r="I1079" t="s">
        <v>95</v>
      </c>
      <c r="J1079">
        <v>476</v>
      </c>
      <c r="K1079" s="3">
        <v>7.7</v>
      </c>
      <c r="L1079">
        <v>0</v>
      </c>
    </row>
    <row r="1080" spans="1:12" x14ac:dyDescent="0.3">
      <c r="A1080">
        <v>19</v>
      </c>
      <c r="B1080">
        <v>22</v>
      </c>
      <c r="C1080">
        <v>2</v>
      </c>
      <c r="D1080">
        <v>11</v>
      </c>
      <c r="E1080">
        <v>1</v>
      </c>
      <c r="F1080">
        <v>0</v>
      </c>
      <c r="G1080">
        <v>3</v>
      </c>
      <c r="H1080" t="s">
        <v>35</v>
      </c>
      <c r="I1080" t="s">
        <v>93</v>
      </c>
      <c r="J1080">
        <v>480</v>
      </c>
      <c r="K1080">
        <v>8.1999999999999993</v>
      </c>
      <c r="L1080">
        <v>3935.99999999999</v>
      </c>
    </row>
    <row r="1081" spans="1:12" x14ac:dyDescent="0.3">
      <c r="A1081">
        <v>17</v>
      </c>
      <c r="B1081">
        <v>22</v>
      </c>
      <c r="C1081">
        <v>0</v>
      </c>
      <c r="D1081">
        <v>13</v>
      </c>
      <c r="E1081">
        <v>1</v>
      </c>
      <c r="F1081">
        <v>0</v>
      </c>
      <c r="G1081">
        <v>10</v>
      </c>
      <c r="H1081" t="s">
        <v>25</v>
      </c>
      <c r="I1081" t="s">
        <v>72</v>
      </c>
      <c r="J1081">
        <v>467</v>
      </c>
      <c r="K1081" s="3">
        <v>8.1</v>
      </c>
      <c r="L1081">
        <v>3782.7</v>
      </c>
    </row>
    <row r="1082" spans="1:12" x14ac:dyDescent="0.3">
      <c r="A1082">
        <v>22</v>
      </c>
      <c r="B1082">
        <v>23</v>
      </c>
      <c r="C1082">
        <v>2</v>
      </c>
      <c r="D1082">
        <v>6</v>
      </c>
      <c r="E1082">
        <v>1</v>
      </c>
      <c r="F1082">
        <v>0</v>
      </c>
      <c r="G1082">
        <v>6</v>
      </c>
      <c r="H1082" t="s">
        <v>35</v>
      </c>
      <c r="I1082" t="s">
        <v>104</v>
      </c>
      <c r="J1082">
        <v>448</v>
      </c>
      <c r="K1082" s="3">
        <v>8.1999999999999993</v>
      </c>
      <c r="L1082">
        <v>3673.5999999999899</v>
      </c>
    </row>
    <row r="1083" spans="1:12" x14ac:dyDescent="0.3">
      <c r="A1083">
        <v>14</v>
      </c>
      <c r="B1083">
        <v>22</v>
      </c>
      <c r="C1083">
        <v>2</v>
      </c>
      <c r="D1083">
        <v>20</v>
      </c>
      <c r="E1083">
        <v>1</v>
      </c>
      <c r="F1083">
        <v>0</v>
      </c>
      <c r="G1083">
        <v>11</v>
      </c>
      <c r="H1083" t="s">
        <v>23</v>
      </c>
      <c r="I1083" t="s">
        <v>107</v>
      </c>
      <c r="J1083">
        <v>657</v>
      </c>
      <c r="K1083" s="3">
        <v>8.4</v>
      </c>
      <c r="L1083">
        <v>0</v>
      </c>
    </row>
    <row r="1084" spans="1:12" x14ac:dyDescent="0.3">
      <c r="A1084">
        <v>7</v>
      </c>
      <c r="B1084">
        <v>17</v>
      </c>
      <c r="C1084">
        <v>2</v>
      </c>
      <c r="D1084">
        <v>16</v>
      </c>
      <c r="E1084">
        <v>7</v>
      </c>
      <c r="F1084">
        <v>0</v>
      </c>
      <c r="G1084">
        <v>5</v>
      </c>
      <c r="H1084" t="s">
        <v>16</v>
      </c>
      <c r="I1084" t="s">
        <v>71</v>
      </c>
      <c r="J1084">
        <v>489</v>
      </c>
      <c r="K1084" s="3">
        <v>8.9</v>
      </c>
      <c r="L1084">
        <v>4352.1000000000004</v>
      </c>
    </row>
    <row r="1085" spans="1:12" x14ac:dyDescent="0.3">
      <c r="A1085">
        <v>8</v>
      </c>
      <c r="B1085">
        <v>18</v>
      </c>
      <c r="C1085">
        <v>3</v>
      </c>
      <c r="D1085">
        <v>19</v>
      </c>
      <c r="E1085">
        <v>1</v>
      </c>
      <c r="F1085">
        <v>0</v>
      </c>
      <c r="G1085">
        <v>11</v>
      </c>
      <c r="H1085" t="s">
        <v>23</v>
      </c>
      <c r="I1085" t="s">
        <v>123</v>
      </c>
      <c r="J1085">
        <v>388</v>
      </c>
      <c r="K1085" s="3">
        <v>8.4</v>
      </c>
      <c r="L1085">
        <v>3259.2</v>
      </c>
    </row>
    <row r="1086" spans="1:12" x14ac:dyDescent="0.3">
      <c r="A1086">
        <v>0</v>
      </c>
      <c r="B1086">
        <v>23</v>
      </c>
      <c r="C1086">
        <v>3</v>
      </c>
      <c r="D1086">
        <v>12</v>
      </c>
      <c r="E1086">
        <v>1</v>
      </c>
      <c r="F1086">
        <v>0</v>
      </c>
      <c r="G1086">
        <v>8</v>
      </c>
      <c r="H1086" t="s">
        <v>38</v>
      </c>
      <c r="I1086" t="s">
        <v>106</v>
      </c>
      <c r="J1086">
        <v>566</v>
      </c>
      <c r="K1086" s="3">
        <v>7.4</v>
      </c>
      <c r="L1086">
        <v>4188.3999999999996</v>
      </c>
    </row>
    <row r="1087" spans="1:12" x14ac:dyDescent="0.3">
      <c r="A1087">
        <v>20</v>
      </c>
      <c r="B1087">
        <v>22</v>
      </c>
      <c r="C1087">
        <v>0</v>
      </c>
      <c r="D1087">
        <v>13</v>
      </c>
      <c r="E1087">
        <v>1</v>
      </c>
      <c r="F1087">
        <v>0</v>
      </c>
      <c r="G1087">
        <v>7</v>
      </c>
      <c r="H1087" t="s">
        <v>39</v>
      </c>
      <c r="I1087" t="s">
        <v>71</v>
      </c>
      <c r="J1087">
        <v>460</v>
      </c>
      <c r="K1087" s="3">
        <v>8.8000000000000007</v>
      </c>
      <c r="L1087">
        <v>4048</v>
      </c>
    </row>
    <row r="1088" spans="1:12" x14ac:dyDescent="0.3">
      <c r="A1088">
        <v>16</v>
      </c>
      <c r="B1088">
        <v>23</v>
      </c>
      <c r="C1088">
        <v>0</v>
      </c>
      <c r="D1088">
        <v>19</v>
      </c>
      <c r="E1088">
        <v>1</v>
      </c>
      <c r="F1088">
        <v>0</v>
      </c>
      <c r="G1088">
        <v>8</v>
      </c>
      <c r="H1088" t="s">
        <v>25</v>
      </c>
      <c r="I1088" t="s">
        <v>72</v>
      </c>
      <c r="J1088">
        <v>585</v>
      </c>
      <c r="K1088" s="3">
        <v>8.1</v>
      </c>
      <c r="L1088">
        <v>99999</v>
      </c>
    </row>
    <row r="1089" spans="1:12" x14ac:dyDescent="0.3">
      <c r="A1089">
        <v>15</v>
      </c>
      <c r="B1089">
        <v>23</v>
      </c>
      <c r="C1089">
        <v>0</v>
      </c>
      <c r="D1089">
        <v>14</v>
      </c>
      <c r="E1089">
        <v>12</v>
      </c>
      <c r="F1089">
        <v>0</v>
      </c>
      <c r="G1089">
        <v>5</v>
      </c>
      <c r="H1089" t="s">
        <v>22</v>
      </c>
      <c r="I1089" t="s">
        <v>95</v>
      </c>
      <c r="J1089">
        <v>550</v>
      </c>
      <c r="K1089">
        <v>7.8</v>
      </c>
      <c r="L1089">
        <v>4290</v>
      </c>
    </row>
    <row r="1090" spans="1:12" x14ac:dyDescent="0.3">
      <c r="A1090">
        <v>20</v>
      </c>
      <c r="B1090">
        <v>22</v>
      </c>
      <c r="C1090">
        <v>3</v>
      </c>
      <c r="D1090">
        <v>9</v>
      </c>
      <c r="E1090">
        <v>1</v>
      </c>
      <c r="F1090">
        <v>0</v>
      </c>
      <c r="G1090">
        <v>5</v>
      </c>
      <c r="H1090" t="s">
        <v>369</v>
      </c>
      <c r="I1090" t="s">
        <v>90</v>
      </c>
      <c r="J1090">
        <v>533</v>
      </c>
      <c r="K1090">
        <v>7.9</v>
      </c>
      <c r="L1090">
        <v>4210.7</v>
      </c>
    </row>
    <row r="1091" spans="1:12" x14ac:dyDescent="0.3">
      <c r="A1091">
        <v>14</v>
      </c>
      <c r="B1091">
        <v>22</v>
      </c>
      <c r="C1091">
        <v>1</v>
      </c>
      <c r="D1091">
        <v>17</v>
      </c>
      <c r="E1091">
        <v>1</v>
      </c>
      <c r="F1091">
        <v>0</v>
      </c>
      <c r="G1091">
        <v>12</v>
      </c>
      <c r="H1091" t="s">
        <v>23</v>
      </c>
      <c r="I1091" t="s">
        <v>78</v>
      </c>
      <c r="J1091">
        <v>600</v>
      </c>
      <c r="K1091" s="3">
        <v>8.4</v>
      </c>
      <c r="L1091">
        <v>5040</v>
      </c>
    </row>
    <row r="1092" spans="1:12" x14ac:dyDescent="0.3">
      <c r="A1092">
        <v>19</v>
      </c>
      <c r="B1092">
        <v>22</v>
      </c>
      <c r="C1092">
        <v>0</v>
      </c>
      <c r="D1092">
        <v>17</v>
      </c>
      <c r="E1092">
        <v>1</v>
      </c>
      <c r="F1092">
        <v>0</v>
      </c>
      <c r="G1092">
        <v>7</v>
      </c>
      <c r="H1092" t="s">
        <v>18</v>
      </c>
      <c r="I1092" t="s">
        <v>85</v>
      </c>
      <c r="J1092">
        <v>464</v>
      </c>
      <c r="K1092" s="3">
        <v>7.7</v>
      </c>
      <c r="L1092">
        <v>3572.8</v>
      </c>
    </row>
    <row r="1093" spans="1:12" x14ac:dyDescent="0.3">
      <c r="A1093">
        <v>22</v>
      </c>
      <c r="B1093">
        <v>22</v>
      </c>
      <c r="C1093">
        <v>0</v>
      </c>
      <c r="D1093">
        <v>8</v>
      </c>
      <c r="E1093">
        <v>12</v>
      </c>
      <c r="F1093">
        <v>0</v>
      </c>
      <c r="G1093">
        <v>1</v>
      </c>
      <c r="H1093" t="s">
        <v>24</v>
      </c>
      <c r="I1093" t="s">
        <v>106</v>
      </c>
      <c r="J1093">
        <v>556</v>
      </c>
      <c r="K1093" s="3">
        <v>7.9</v>
      </c>
      <c r="L1093">
        <v>4392.3999999999996</v>
      </c>
    </row>
    <row r="1094" spans="1:12" x14ac:dyDescent="0.3">
      <c r="A1094">
        <v>0</v>
      </c>
      <c r="B1094">
        <v>18</v>
      </c>
      <c r="C1094">
        <v>1</v>
      </c>
      <c r="D1094">
        <v>12</v>
      </c>
      <c r="E1094">
        <v>1</v>
      </c>
      <c r="F1094">
        <v>0</v>
      </c>
      <c r="G1094">
        <v>8</v>
      </c>
      <c r="H1094" t="s">
        <v>369</v>
      </c>
      <c r="I1094" t="s">
        <v>75</v>
      </c>
      <c r="J1094">
        <v>454</v>
      </c>
      <c r="K1094" s="3">
        <v>7.9</v>
      </c>
      <c r="L1094">
        <v>3586.6</v>
      </c>
    </row>
    <row r="1095" spans="1:12" x14ac:dyDescent="0.3">
      <c r="A1095">
        <v>9</v>
      </c>
      <c r="B1095">
        <v>21</v>
      </c>
      <c r="C1095">
        <v>0</v>
      </c>
      <c r="D1095">
        <v>3</v>
      </c>
      <c r="E1095">
        <v>1</v>
      </c>
      <c r="F1095">
        <v>0</v>
      </c>
      <c r="G1095">
        <v>1</v>
      </c>
      <c r="H1095" t="s">
        <v>48</v>
      </c>
      <c r="I1095" t="s">
        <v>100</v>
      </c>
      <c r="J1095">
        <v>314</v>
      </c>
      <c r="K1095" s="3">
        <v>8.6999999999999993</v>
      </c>
      <c r="L1095">
        <v>2731.7999999999902</v>
      </c>
    </row>
    <row r="1096" spans="1:12" x14ac:dyDescent="0.3">
      <c r="A1096">
        <v>20</v>
      </c>
      <c r="B1096">
        <v>23</v>
      </c>
      <c r="C1096">
        <v>0</v>
      </c>
      <c r="D1096">
        <v>12</v>
      </c>
      <c r="E1096">
        <v>1</v>
      </c>
      <c r="F1096">
        <v>0</v>
      </c>
      <c r="G1096">
        <v>7</v>
      </c>
      <c r="H1096" t="s">
        <v>51</v>
      </c>
      <c r="I1096" t="s">
        <v>84</v>
      </c>
      <c r="J1096">
        <v>686</v>
      </c>
      <c r="K1096" s="3">
        <v>8.8000000000000007</v>
      </c>
      <c r="L1096">
        <v>99999</v>
      </c>
    </row>
    <row r="1097" spans="1:12" x14ac:dyDescent="0.3">
      <c r="A1097">
        <v>5</v>
      </c>
      <c r="B1097">
        <v>17</v>
      </c>
      <c r="C1097">
        <v>0</v>
      </c>
      <c r="D1097">
        <v>6</v>
      </c>
      <c r="E1097">
        <v>7</v>
      </c>
      <c r="F1097">
        <v>0</v>
      </c>
      <c r="G1097">
        <v>11</v>
      </c>
      <c r="H1097" t="s">
        <v>38</v>
      </c>
      <c r="I1097" t="s">
        <v>107</v>
      </c>
      <c r="J1097">
        <v>210</v>
      </c>
      <c r="K1097" s="3">
        <v>7.4</v>
      </c>
      <c r="L1097">
        <v>1554</v>
      </c>
    </row>
    <row r="1098" spans="1:12" x14ac:dyDescent="0.3">
      <c r="A1098">
        <v>7</v>
      </c>
      <c r="B1098">
        <v>17</v>
      </c>
      <c r="C1098">
        <v>1</v>
      </c>
      <c r="D1098">
        <v>12</v>
      </c>
      <c r="E1098">
        <v>1</v>
      </c>
      <c r="F1098">
        <v>0</v>
      </c>
      <c r="G1098">
        <v>10</v>
      </c>
      <c r="H1098" t="s">
        <v>16</v>
      </c>
      <c r="I1098" t="s">
        <v>368</v>
      </c>
      <c r="J1098">
        <v>488</v>
      </c>
      <c r="K1098" s="3">
        <v>8.9</v>
      </c>
      <c r="L1098">
        <v>4343.2</v>
      </c>
    </row>
    <row r="1099" spans="1:12" x14ac:dyDescent="0.3">
      <c r="A1099">
        <v>14</v>
      </c>
      <c r="B1099">
        <v>22</v>
      </c>
      <c r="C1099">
        <v>1</v>
      </c>
      <c r="D1099">
        <v>14</v>
      </c>
      <c r="E1099">
        <v>1</v>
      </c>
      <c r="F1099">
        <v>0</v>
      </c>
      <c r="G1099">
        <v>7</v>
      </c>
      <c r="H1099" t="s">
        <v>15</v>
      </c>
      <c r="I1099" t="s">
        <v>94</v>
      </c>
      <c r="J1099">
        <v>384</v>
      </c>
      <c r="K1099" s="3">
        <v>8.3000000000000007</v>
      </c>
      <c r="L1099">
        <v>3187.2</v>
      </c>
    </row>
    <row r="1100" spans="1:12" x14ac:dyDescent="0.3">
      <c r="A1100">
        <v>9</v>
      </c>
      <c r="B1100">
        <v>22</v>
      </c>
      <c r="C1100">
        <v>2</v>
      </c>
      <c r="D1100">
        <v>16</v>
      </c>
      <c r="E1100">
        <v>1</v>
      </c>
      <c r="F1100">
        <v>0</v>
      </c>
      <c r="G1100">
        <v>8</v>
      </c>
      <c r="H1100" t="s">
        <v>53</v>
      </c>
      <c r="I1100" t="s">
        <v>95</v>
      </c>
      <c r="J1100">
        <v>586</v>
      </c>
      <c r="K1100" s="3">
        <v>7.7</v>
      </c>
      <c r="L1100">
        <v>0</v>
      </c>
    </row>
    <row r="1101" spans="1:12" x14ac:dyDescent="0.3">
      <c r="A1101">
        <v>14</v>
      </c>
      <c r="B1101">
        <v>22</v>
      </c>
      <c r="C1101">
        <v>0</v>
      </c>
      <c r="D1101">
        <v>11</v>
      </c>
      <c r="E1101">
        <v>1</v>
      </c>
      <c r="F1101">
        <v>0</v>
      </c>
      <c r="G1101">
        <v>0</v>
      </c>
      <c r="H1101" t="s">
        <v>22</v>
      </c>
      <c r="I1101" t="s">
        <v>80</v>
      </c>
      <c r="J1101">
        <v>598</v>
      </c>
      <c r="K1101" s="3">
        <v>7.8</v>
      </c>
      <c r="L1101">
        <v>4664.3999999999996</v>
      </c>
    </row>
    <row r="1102" spans="1:12" x14ac:dyDescent="0.3">
      <c r="A1102">
        <v>20</v>
      </c>
      <c r="B1102">
        <v>23</v>
      </c>
      <c r="C1102">
        <v>0</v>
      </c>
      <c r="D1102">
        <v>15</v>
      </c>
      <c r="E1102">
        <v>1</v>
      </c>
      <c r="F1102">
        <v>0</v>
      </c>
      <c r="G1102">
        <v>10</v>
      </c>
      <c r="H1102" t="s">
        <v>23</v>
      </c>
      <c r="I1102" t="s">
        <v>82</v>
      </c>
      <c r="J1102">
        <v>500</v>
      </c>
      <c r="K1102" s="3">
        <v>8.4</v>
      </c>
      <c r="L1102">
        <v>4200</v>
      </c>
    </row>
    <row r="1103" spans="1:12" x14ac:dyDescent="0.3">
      <c r="A1103">
        <v>7</v>
      </c>
      <c r="B1103">
        <v>22</v>
      </c>
      <c r="C1103">
        <v>2</v>
      </c>
      <c r="D1103">
        <v>16</v>
      </c>
      <c r="E1103">
        <v>1</v>
      </c>
      <c r="F1103">
        <v>0</v>
      </c>
      <c r="G1103">
        <v>8</v>
      </c>
      <c r="H1103" t="s">
        <v>16</v>
      </c>
      <c r="I1103" t="s">
        <v>107</v>
      </c>
      <c r="J1103">
        <v>515</v>
      </c>
      <c r="K1103" s="3">
        <v>8.9</v>
      </c>
      <c r="L1103">
        <v>4583.5</v>
      </c>
    </row>
    <row r="1104" spans="1:12" x14ac:dyDescent="0.3">
      <c r="A1104">
        <v>7</v>
      </c>
      <c r="B1104">
        <v>18</v>
      </c>
      <c r="C1104">
        <v>0</v>
      </c>
      <c r="D1104">
        <v>11</v>
      </c>
      <c r="E1104">
        <v>1</v>
      </c>
      <c r="F1104">
        <v>0</v>
      </c>
      <c r="G1104">
        <v>9</v>
      </c>
      <c r="H1104" t="s">
        <v>24</v>
      </c>
      <c r="I1104" t="s">
        <v>90</v>
      </c>
      <c r="J1104">
        <v>218</v>
      </c>
      <c r="K1104" s="3">
        <v>0</v>
      </c>
      <c r="L1104">
        <v>1722.2</v>
      </c>
    </row>
    <row r="1105" spans="1:12" x14ac:dyDescent="0.3">
      <c r="A1105">
        <v>22</v>
      </c>
      <c r="B1105">
        <v>23</v>
      </c>
      <c r="C1105">
        <v>1</v>
      </c>
      <c r="D1105">
        <v>14</v>
      </c>
      <c r="E1105">
        <v>1</v>
      </c>
      <c r="F1105">
        <v>0</v>
      </c>
      <c r="G1105">
        <v>4</v>
      </c>
      <c r="H1105" t="s">
        <v>17</v>
      </c>
      <c r="I1105" t="s">
        <v>109</v>
      </c>
      <c r="J1105">
        <v>631</v>
      </c>
      <c r="K1105" s="3">
        <v>8.6999999999999993</v>
      </c>
      <c r="L1105">
        <v>5489.7</v>
      </c>
    </row>
    <row r="1106" spans="1:12" x14ac:dyDescent="0.3">
      <c r="A1106">
        <v>10</v>
      </c>
      <c r="B1106">
        <v>17</v>
      </c>
      <c r="C1106">
        <v>2</v>
      </c>
      <c r="D1106">
        <v>12</v>
      </c>
      <c r="E1106">
        <v>1</v>
      </c>
      <c r="F1106">
        <v>0</v>
      </c>
      <c r="G1106">
        <v>3</v>
      </c>
      <c r="H1106" t="s">
        <v>16</v>
      </c>
      <c r="I1106" t="s">
        <v>78</v>
      </c>
      <c r="J1106">
        <v>295</v>
      </c>
      <c r="K1106" s="3">
        <v>8.9</v>
      </c>
      <c r="L1106">
        <v>2625.5</v>
      </c>
    </row>
    <row r="1107" spans="1:12" x14ac:dyDescent="0.3">
      <c r="A1107">
        <v>10</v>
      </c>
      <c r="B1107">
        <v>19</v>
      </c>
      <c r="C1107">
        <v>0</v>
      </c>
      <c r="D1107">
        <v>3</v>
      </c>
      <c r="E1107">
        <v>1</v>
      </c>
      <c r="F1107">
        <v>0</v>
      </c>
      <c r="G1107">
        <v>6</v>
      </c>
      <c r="H1107" t="s">
        <v>36</v>
      </c>
      <c r="I1107" t="s">
        <v>97</v>
      </c>
      <c r="J1107">
        <v>421</v>
      </c>
      <c r="K1107" s="3">
        <v>8.8000000000000007</v>
      </c>
      <c r="L1107">
        <v>0</v>
      </c>
    </row>
    <row r="1108" spans="1:12" x14ac:dyDescent="0.3">
      <c r="A1108">
        <v>22</v>
      </c>
      <c r="B1108">
        <v>22</v>
      </c>
      <c r="C1108">
        <v>2</v>
      </c>
      <c r="D1108">
        <v>18</v>
      </c>
      <c r="E1108">
        <v>1</v>
      </c>
      <c r="F1108">
        <v>0</v>
      </c>
      <c r="G1108">
        <v>5</v>
      </c>
      <c r="H1108" t="s">
        <v>30</v>
      </c>
      <c r="I1108" t="s">
        <v>90</v>
      </c>
      <c r="J1108">
        <v>726</v>
      </c>
      <c r="K1108" s="3">
        <v>9.1999999999999993</v>
      </c>
      <c r="L1108">
        <v>6679.2</v>
      </c>
    </row>
    <row r="1109" spans="1:12" x14ac:dyDescent="0.3">
      <c r="A1109">
        <v>20</v>
      </c>
      <c r="B1109">
        <v>23</v>
      </c>
      <c r="C1109">
        <v>2</v>
      </c>
      <c r="D1109">
        <v>12</v>
      </c>
      <c r="E1109">
        <v>1</v>
      </c>
      <c r="F1109">
        <v>0</v>
      </c>
      <c r="G1109">
        <v>8</v>
      </c>
      <c r="H1109" t="s">
        <v>26</v>
      </c>
      <c r="I1109" t="s">
        <v>92</v>
      </c>
      <c r="J1109">
        <v>615</v>
      </c>
      <c r="K1109" s="3">
        <v>8.5</v>
      </c>
      <c r="L1109">
        <v>5227.5</v>
      </c>
    </row>
    <row r="1110" spans="1:12" x14ac:dyDescent="0.3">
      <c r="A1110">
        <v>7</v>
      </c>
      <c r="B1110">
        <v>23</v>
      </c>
      <c r="C1110">
        <v>2</v>
      </c>
      <c r="D1110">
        <v>9</v>
      </c>
      <c r="E1110">
        <v>1</v>
      </c>
      <c r="F1110">
        <v>0</v>
      </c>
      <c r="G1110">
        <v>6</v>
      </c>
      <c r="H1110" t="s">
        <v>25</v>
      </c>
      <c r="I1110" t="s">
        <v>80</v>
      </c>
      <c r="J1110">
        <v>481</v>
      </c>
      <c r="K1110" s="3">
        <v>8.1</v>
      </c>
      <c r="L1110">
        <v>3896.1</v>
      </c>
    </row>
    <row r="1111" spans="1:12" x14ac:dyDescent="0.3">
      <c r="A1111">
        <v>5</v>
      </c>
      <c r="B1111">
        <v>19</v>
      </c>
      <c r="C1111">
        <v>2</v>
      </c>
      <c r="D1111">
        <v>18</v>
      </c>
      <c r="E1111">
        <v>7</v>
      </c>
      <c r="F1111">
        <v>0</v>
      </c>
      <c r="G1111">
        <v>0</v>
      </c>
      <c r="H1111" t="s">
        <v>35</v>
      </c>
      <c r="I1111" t="s">
        <v>104</v>
      </c>
      <c r="J1111">
        <v>505</v>
      </c>
      <c r="K1111" s="3">
        <v>8.1999999999999993</v>
      </c>
      <c r="L1111">
        <v>4141</v>
      </c>
    </row>
    <row r="1112" spans="1:12" x14ac:dyDescent="0.3">
      <c r="A1112">
        <v>22</v>
      </c>
      <c r="B1112">
        <v>23</v>
      </c>
      <c r="C1112">
        <v>0</v>
      </c>
      <c r="D1112">
        <v>21</v>
      </c>
      <c r="E1112">
        <v>1</v>
      </c>
      <c r="F1112">
        <v>0</v>
      </c>
      <c r="G1112">
        <v>12</v>
      </c>
      <c r="H1112" t="s">
        <v>26</v>
      </c>
      <c r="I1112" t="s">
        <v>104</v>
      </c>
      <c r="J1112">
        <v>492</v>
      </c>
      <c r="K1112" s="3">
        <v>8.5</v>
      </c>
      <c r="L1112">
        <v>4182</v>
      </c>
    </row>
    <row r="1113" spans="1:12" x14ac:dyDescent="0.3">
      <c r="A1113">
        <v>17</v>
      </c>
      <c r="B1113">
        <v>22</v>
      </c>
      <c r="C1113">
        <v>3</v>
      </c>
      <c r="D1113">
        <v>3</v>
      </c>
      <c r="E1113">
        <v>1</v>
      </c>
      <c r="F1113">
        <v>0</v>
      </c>
      <c r="G1113">
        <v>10</v>
      </c>
      <c r="H1113" t="s">
        <v>53</v>
      </c>
      <c r="I1113" t="s">
        <v>106</v>
      </c>
      <c r="J1113">
        <v>429</v>
      </c>
      <c r="K1113" s="3">
        <v>7.7</v>
      </c>
      <c r="L1113">
        <v>3303.3</v>
      </c>
    </row>
    <row r="1114" spans="1:12" x14ac:dyDescent="0.3">
      <c r="A1114">
        <v>7</v>
      </c>
      <c r="B1114">
        <v>19</v>
      </c>
      <c r="C1114">
        <v>0</v>
      </c>
      <c r="D1114">
        <v>6</v>
      </c>
      <c r="E1114">
        <v>1</v>
      </c>
      <c r="F1114">
        <v>0</v>
      </c>
      <c r="G1114">
        <v>4</v>
      </c>
      <c r="H1114" t="s">
        <v>15</v>
      </c>
      <c r="I1114" t="s">
        <v>70</v>
      </c>
      <c r="J1114">
        <v>395</v>
      </c>
      <c r="K1114" s="3">
        <v>8.3000000000000007</v>
      </c>
      <c r="L1114">
        <v>3278.5</v>
      </c>
    </row>
    <row r="1115" spans="1:12" x14ac:dyDescent="0.3">
      <c r="A1115">
        <v>11</v>
      </c>
      <c r="B1115">
        <v>0</v>
      </c>
      <c r="C1115">
        <v>1</v>
      </c>
      <c r="D1115">
        <v>11</v>
      </c>
      <c r="E1115">
        <v>1</v>
      </c>
      <c r="F1115">
        <v>0</v>
      </c>
      <c r="G1115">
        <v>9</v>
      </c>
      <c r="H1115" t="s">
        <v>57</v>
      </c>
      <c r="I1115" t="s">
        <v>72</v>
      </c>
      <c r="J1115">
        <v>452</v>
      </c>
      <c r="K1115" s="3">
        <v>9.1999999999999993</v>
      </c>
      <c r="L1115">
        <v>4158.3999999999996</v>
      </c>
    </row>
    <row r="1116" spans="1:12" x14ac:dyDescent="0.3">
      <c r="A1116">
        <v>8</v>
      </c>
      <c r="B1116">
        <v>22</v>
      </c>
      <c r="C1116">
        <v>2</v>
      </c>
      <c r="D1116">
        <v>8</v>
      </c>
      <c r="E1116">
        <v>1</v>
      </c>
      <c r="F1116">
        <v>0</v>
      </c>
      <c r="G1116">
        <v>7</v>
      </c>
      <c r="H1116" t="s">
        <v>34</v>
      </c>
      <c r="I1116" t="s">
        <v>107</v>
      </c>
      <c r="J1116">
        <v>360</v>
      </c>
      <c r="K1116" s="3">
        <v>7.6</v>
      </c>
      <c r="L1116">
        <v>2736</v>
      </c>
    </row>
    <row r="1117" spans="1:12" x14ac:dyDescent="0.3">
      <c r="A1117">
        <v>14</v>
      </c>
      <c r="B1117">
        <v>22</v>
      </c>
      <c r="C1117">
        <v>0</v>
      </c>
      <c r="D1117">
        <v>0</v>
      </c>
      <c r="E1117">
        <v>1</v>
      </c>
      <c r="F1117">
        <v>0</v>
      </c>
      <c r="G1117">
        <v>12</v>
      </c>
      <c r="H1117" t="s">
        <v>20</v>
      </c>
      <c r="I1117" t="s">
        <v>368</v>
      </c>
      <c r="J1117">
        <v>574</v>
      </c>
      <c r="K1117" s="3">
        <v>0</v>
      </c>
      <c r="L1117">
        <v>5223.3999999999996</v>
      </c>
    </row>
    <row r="1118" spans="1:12" x14ac:dyDescent="0.3">
      <c r="A1118">
        <v>22</v>
      </c>
      <c r="B1118">
        <v>22</v>
      </c>
      <c r="C1118">
        <v>3</v>
      </c>
      <c r="D1118">
        <v>4</v>
      </c>
      <c r="E1118">
        <v>1</v>
      </c>
      <c r="F1118">
        <v>0</v>
      </c>
      <c r="G1118">
        <v>9</v>
      </c>
      <c r="H1118" t="s">
        <v>35</v>
      </c>
      <c r="I1118" t="s">
        <v>368</v>
      </c>
      <c r="J1118">
        <v>643</v>
      </c>
      <c r="K1118" s="3">
        <v>8.1999999999999993</v>
      </c>
      <c r="L1118">
        <v>5272.5999999999904</v>
      </c>
    </row>
    <row r="1119" spans="1:12" x14ac:dyDescent="0.3">
      <c r="A1119">
        <v>20</v>
      </c>
      <c r="B1119">
        <v>22</v>
      </c>
      <c r="C1119">
        <v>0</v>
      </c>
      <c r="D1119">
        <v>18</v>
      </c>
      <c r="E1119">
        <v>1</v>
      </c>
      <c r="F1119">
        <v>0</v>
      </c>
      <c r="G1119">
        <v>8</v>
      </c>
      <c r="H1119" t="s">
        <v>38</v>
      </c>
      <c r="I1119" t="s">
        <v>75</v>
      </c>
      <c r="J1119">
        <v>678</v>
      </c>
      <c r="K1119" s="3">
        <v>7.4</v>
      </c>
      <c r="L1119">
        <v>5017.2</v>
      </c>
    </row>
    <row r="1120" spans="1:12" x14ac:dyDescent="0.3">
      <c r="A1120">
        <v>17</v>
      </c>
      <c r="B1120">
        <v>23</v>
      </c>
      <c r="C1120">
        <v>2</v>
      </c>
      <c r="D1120">
        <v>5</v>
      </c>
      <c r="E1120">
        <v>1</v>
      </c>
      <c r="F1120">
        <v>0</v>
      </c>
      <c r="G1120">
        <v>11</v>
      </c>
      <c r="H1120" t="s">
        <v>30</v>
      </c>
      <c r="I1120" t="s">
        <v>106</v>
      </c>
      <c r="J1120">
        <v>451</v>
      </c>
      <c r="K1120" s="3">
        <v>9.1999999999999993</v>
      </c>
      <c r="L1120">
        <v>4149.2</v>
      </c>
    </row>
    <row r="1121" spans="1:12" x14ac:dyDescent="0.3">
      <c r="A1121">
        <v>11</v>
      </c>
      <c r="B1121">
        <v>23</v>
      </c>
      <c r="C1121">
        <v>3</v>
      </c>
      <c r="D1121">
        <v>20</v>
      </c>
      <c r="E1121">
        <v>1</v>
      </c>
      <c r="F1121">
        <v>0</v>
      </c>
      <c r="G1121">
        <v>1</v>
      </c>
      <c r="H1121" t="s">
        <v>369</v>
      </c>
      <c r="I1121" t="s">
        <v>90</v>
      </c>
      <c r="J1121">
        <v>648</v>
      </c>
      <c r="K1121" s="3" t="s">
        <v>143</v>
      </c>
      <c r="L1121">
        <v>5767.2</v>
      </c>
    </row>
    <row r="1122" spans="1:12" x14ac:dyDescent="0.3">
      <c r="A1122">
        <v>9</v>
      </c>
      <c r="B1122">
        <v>17</v>
      </c>
      <c r="C1122">
        <v>0</v>
      </c>
      <c r="D1122">
        <v>11</v>
      </c>
      <c r="E1122">
        <v>7</v>
      </c>
      <c r="F1122">
        <v>0</v>
      </c>
      <c r="G1122">
        <v>5</v>
      </c>
      <c r="H1122" t="s">
        <v>21</v>
      </c>
      <c r="I1122" t="s">
        <v>77</v>
      </c>
      <c r="J1122">
        <v>348</v>
      </c>
      <c r="K1122" s="3">
        <v>8.6999999999999993</v>
      </c>
      <c r="L1122">
        <v>0</v>
      </c>
    </row>
    <row r="1123" spans="1:12" x14ac:dyDescent="0.3">
      <c r="A1123">
        <v>9</v>
      </c>
      <c r="B1123">
        <v>17</v>
      </c>
      <c r="C1123">
        <v>3</v>
      </c>
      <c r="D1123">
        <v>9</v>
      </c>
      <c r="E1123">
        <v>0</v>
      </c>
      <c r="F1123">
        <v>0</v>
      </c>
      <c r="G1123">
        <v>6</v>
      </c>
      <c r="H1123" t="s">
        <v>33</v>
      </c>
      <c r="I1123" t="s">
        <v>97</v>
      </c>
      <c r="J1123">
        <v>389</v>
      </c>
      <c r="K1123">
        <v>9.3000000000000007</v>
      </c>
      <c r="L1123">
        <v>3617.7</v>
      </c>
    </row>
    <row r="1124" spans="1:12" x14ac:dyDescent="0.3">
      <c r="A1124">
        <v>12</v>
      </c>
      <c r="B1124">
        <v>22</v>
      </c>
      <c r="C1124">
        <v>1</v>
      </c>
      <c r="D1124">
        <v>5</v>
      </c>
      <c r="E1124">
        <v>12</v>
      </c>
      <c r="F1124">
        <v>0</v>
      </c>
      <c r="G1124">
        <v>9</v>
      </c>
      <c r="H1124" t="s">
        <v>23</v>
      </c>
      <c r="I1124" t="s">
        <v>368</v>
      </c>
      <c r="J1124">
        <v>389</v>
      </c>
      <c r="K1124" s="3">
        <v>8.4</v>
      </c>
      <c r="L1124">
        <v>3267.6</v>
      </c>
    </row>
    <row r="1125" spans="1:12" x14ac:dyDescent="0.3">
      <c r="A1125">
        <v>7</v>
      </c>
      <c r="B1125">
        <v>23</v>
      </c>
      <c r="C1125">
        <v>3</v>
      </c>
      <c r="D1125">
        <v>7</v>
      </c>
      <c r="E1125">
        <v>1</v>
      </c>
      <c r="F1125">
        <v>0</v>
      </c>
      <c r="G1125">
        <v>3</v>
      </c>
      <c r="H1125" t="s">
        <v>24</v>
      </c>
      <c r="I1125" t="s">
        <v>104</v>
      </c>
      <c r="J1125">
        <v>564</v>
      </c>
      <c r="K1125" s="3">
        <v>0</v>
      </c>
      <c r="L1125">
        <v>0</v>
      </c>
    </row>
    <row r="1126" spans="1:12" x14ac:dyDescent="0.3">
      <c r="A1126">
        <v>16</v>
      </c>
      <c r="B1126">
        <v>22</v>
      </c>
      <c r="C1126">
        <v>0</v>
      </c>
      <c r="D1126">
        <v>19</v>
      </c>
      <c r="E1126">
        <v>1</v>
      </c>
      <c r="F1126">
        <v>0</v>
      </c>
      <c r="G1126">
        <v>2</v>
      </c>
      <c r="H1126" t="s">
        <v>33</v>
      </c>
      <c r="I1126" t="s">
        <v>368</v>
      </c>
      <c r="J1126">
        <v>344</v>
      </c>
      <c r="K1126" s="3">
        <v>9.3000000000000007</v>
      </c>
      <c r="L1126">
        <v>3199.2</v>
      </c>
    </row>
    <row r="1127" spans="1:12" x14ac:dyDescent="0.3">
      <c r="A1127">
        <v>18</v>
      </c>
      <c r="B1127">
        <v>23</v>
      </c>
      <c r="C1127">
        <v>2</v>
      </c>
      <c r="D1127">
        <v>0</v>
      </c>
      <c r="E1127">
        <v>1</v>
      </c>
      <c r="F1127">
        <v>0</v>
      </c>
      <c r="G1127">
        <v>5</v>
      </c>
      <c r="H1127" t="s">
        <v>30</v>
      </c>
      <c r="I1127" t="s">
        <v>106</v>
      </c>
      <c r="J1127">
        <v>621</v>
      </c>
      <c r="K1127" s="3">
        <v>9.1999999999999993</v>
      </c>
      <c r="L1127">
        <v>5713.2</v>
      </c>
    </row>
    <row r="1128" spans="1:12" x14ac:dyDescent="0.3">
      <c r="A1128">
        <v>15</v>
      </c>
      <c r="B1128">
        <v>23</v>
      </c>
      <c r="C1128">
        <v>0</v>
      </c>
      <c r="D1128">
        <v>16</v>
      </c>
      <c r="E1128">
        <v>1</v>
      </c>
      <c r="F1128">
        <v>0</v>
      </c>
      <c r="G1128">
        <v>0</v>
      </c>
      <c r="H1128" t="s">
        <v>22</v>
      </c>
      <c r="I1128" t="s">
        <v>95</v>
      </c>
      <c r="J1128">
        <v>490</v>
      </c>
      <c r="K1128" s="3">
        <v>7.8</v>
      </c>
      <c r="L1128">
        <v>3822</v>
      </c>
    </row>
    <row r="1129" spans="1:12" x14ac:dyDescent="0.3">
      <c r="A1129">
        <v>17</v>
      </c>
      <c r="B1129">
        <v>23</v>
      </c>
      <c r="C1129">
        <v>3</v>
      </c>
      <c r="D1129">
        <v>10</v>
      </c>
      <c r="E1129">
        <v>12</v>
      </c>
      <c r="F1129">
        <v>0</v>
      </c>
      <c r="G1129">
        <v>4</v>
      </c>
      <c r="H1129" t="s">
        <v>43</v>
      </c>
      <c r="I1129" t="s">
        <v>91</v>
      </c>
      <c r="J1129">
        <v>673</v>
      </c>
      <c r="K1129" s="3">
        <v>7.6</v>
      </c>
      <c r="L1129">
        <v>5114.8</v>
      </c>
    </row>
    <row r="1130" spans="1:12" x14ac:dyDescent="0.3">
      <c r="A1130">
        <v>21</v>
      </c>
      <c r="B1130">
        <v>22</v>
      </c>
      <c r="C1130">
        <v>1</v>
      </c>
      <c r="D1130">
        <v>18</v>
      </c>
      <c r="E1130">
        <v>12</v>
      </c>
      <c r="F1130">
        <v>0</v>
      </c>
      <c r="G1130">
        <v>5</v>
      </c>
      <c r="H1130" t="s">
        <v>16</v>
      </c>
      <c r="I1130" t="s">
        <v>76</v>
      </c>
      <c r="J1130">
        <v>682</v>
      </c>
      <c r="K1130" s="3">
        <v>8.9</v>
      </c>
      <c r="L1130">
        <v>6069.8</v>
      </c>
    </row>
    <row r="1131" spans="1:12" x14ac:dyDescent="0.3">
      <c r="A1131">
        <v>7</v>
      </c>
      <c r="B1131">
        <v>22</v>
      </c>
      <c r="C1131">
        <v>2</v>
      </c>
      <c r="D1131">
        <v>10</v>
      </c>
      <c r="E1131">
        <v>1</v>
      </c>
      <c r="F1131">
        <v>0</v>
      </c>
      <c r="G1131">
        <v>11</v>
      </c>
      <c r="H1131" t="s">
        <v>369</v>
      </c>
      <c r="I1131" t="s">
        <v>71</v>
      </c>
      <c r="J1131">
        <v>361</v>
      </c>
      <c r="K1131" s="3">
        <v>0</v>
      </c>
      <c r="L1131">
        <v>2851.9</v>
      </c>
    </row>
    <row r="1132" spans="1:12" x14ac:dyDescent="0.3">
      <c r="A1132">
        <v>9</v>
      </c>
      <c r="B1132">
        <v>20</v>
      </c>
      <c r="C1132">
        <v>2</v>
      </c>
      <c r="D1132">
        <v>19</v>
      </c>
      <c r="E1132">
        <v>1</v>
      </c>
      <c r="F1132">
        <v>0</v>
      </c>
      <c r="G1132">
        <v>4</v>
      </c>
      <c r="H1132" t="s">
        <v>20</v>
      </c>
      <c r="I1132" t="s">
        <v>90</v>
      </c>
      <c r="J1132">
        <v>569</v>
      </c>
      <c r="K1132" s="3">
        <v>9.1</v>
      </c>
      <c r="L1132">
        <v>5177.8999999999996</v>
      </c>
    </row>
    <row r="1133" spans="1:12" x14ac:dyDescent="0.3">
      <c r="A1133">
        <v>13</v>
      </c>
      <c r="B1133">
        <v>23</v>
      </c>
      <c r="C1133">
        <v>1</v>
      </c>
      <c r="D1133">
        <v>17</v>
      </c>
      <c r="E1133">
        <v>1</v>
      </c>
      <c r="F1133">
        <v>0</v>
      </c>
      <c r="G1133">
        <v>6</v>
      </c>
      <c r="H1133" t="s">
        <v>33</v>
      </c>
      <c r="I1133" t="s">
        <v>76</v>
      </c>
      <c r="J1133">
        <v>412</v>
      </c>
      <c r="K1133" s="3">
        <v>9.3000000000000007</v>
      </c>
      <c r="L1133">
        <v>3831.6</v>
      </c>
    </row>
    <row r="1134" spans="1:12" x14ac:dyDescent="0.3">
      <c r="A1134">
        <v>20</v>
      </c>
      <c r="B1134">
        <v>22</v>
      </c>
      <c r="C1134">
        <v>3</v>
      </c>
      <c r="D1134">
        <v>3</v>
      </c>
      <c r="E1134">
        <v>1</v>
      </c>
      <c r="F1134">
        <v>0</v>
      </c>
      <c r="G1134">
        <v>5</v>
      </c>
      <c r="H1134" t="s">
        <v>30</v>
      </c>
      <c r="I1134" t="s">
        <v>82</v>
      </c>
      <c r="J1134">
        <v>435</v>
      </c>
      <c r="K1134" s="3">
        <v>9.1999999999999993</v>
      </c>
      <c r="L1134">
        <v>4001.99999999999</v>
      </c>
    </row>
    <row r="1135" spans="1:12" x14ac:dyDescent="0.3">
      <c r="A1135">
        <v>0</v>
      </c>
      <c r="B1135">
        <v>17</v>
      </c>
      <c r="C1135">
        <v>0</v>
      </c>
      <c r="D1135">
        <v>4</v>
      </c>
      <c r="E1135">
        <v>1</v>
      </c>
      <c r="F1135">
        <v>0</v>
      </c>
      <c r="G1135">
        <v>9</v>
      </c>
      <c r="H1135" t="s">
        <v>21</v>
      </c>
      <c r="I1135" t="s">
        <v>95</v>
      </c>
      <c r="J1135">
        <v>306</v>
      </c>
      <c r="K1135" s="3">
        <v>8.6999999999999993</v>
      </c>
      <c r="L1135">
        <v>2662.2</v>
      </c>
    </row>
    <row r="1136" spans="1:12" x14ac:dyDescent="0.3">
      <c r="A1136">
        <v>23</v>
      </c>
      <c r="B1136">
        <v>23</v>
      </c>
      <c r="C1136">
        <v>0</v>
      </c>
      <c r="D1136">
        <v>20</v>
      </c>
      <c r="E1136">
        <v>1</v>
      </c>
      <c r="F1136">
        <v>0</v>
      </c>
      <c r="G1136">
        <v>11</v>
      </c>
      <c r="H1136" t="s">
        <v>38</v>
      </c>
      <c r="I1136" t="s">
        <v>92</v>
      </c>
      <c r="J1136">
        <v>506</v>
      </c>
      <c r="K1136" s="3">
        <v>7.4</v>
      </c>
      <c r="L1136">
        <v>3744.4</v>
      </c>
    </row>
    <row r="1137" spans="1:12" x14ac:dyDescent="0.3">
      <c r="A1137">
        <v>14</v>
      </c>
      <c r="B1137">
        <v>23</v>
      </c>
      <c r="C1137">
        <v>1</v>
      </c>
      <c r="D1137">
        <v>0</v>
      </c>
      <c r="E1137">
        <v>1</v>
      </c>
      <c r="F1137">
        <v>0</v>
      </c>
      <c r="G1137">
        <v>0</v>
      </c>
      <c r="H1137" t="s">
        <v>32</v>
      </c>
      <c r="I1137" t="s">
        <v>73</v>
      </c>
      <c r="J1137">
        <v>545</v>
      </c>
      <c r="K1137" s="3">
        <v>7.6</v>
      </c>
      <c r="L1137">
        <v>4142</v>
      </c>
    </row>
    <row r="1138" spans="1:12" x14ac:dyDescent="0.3">
      <c r="A1138">
        <v>12</v>
      </c>
      <c r="B1138">
        <v>0</v>
      </c>
      <c r="C1138">
        <v>2</v>
      </c>
      <c r="D1138">
        <v>14</v>
      </c>
      <c r="E1138">
        <v>1</v>
      </c>
      <c r="F1138">
        <v>0</v>
      </c>
      <c r="G1138">
        <v>0</v>
      </c>
      <c r="H1138" t="s">
        <v>20</v>
      </c>
      <c r="I1138" t="s">
        <v>106</v>
      </c>
      <c r="J1138">
        <v>471</v>
      </c>
      <c r="K1138" s="3">
        <v>9.1</v>
      </c>
      <c r="L1138">
        <v>4286.0999999999904</v>
      </c>
    </row>
    <row r="1139" spans="1:12" x14ac:dyDescent="0.3">
      <c r="A1139">
        <v>8</v>
      </c>
      <c r="B1139">
        <v>19</v>
      </c>
      <c r="C1139">
        <v>2</v>
      </c>
      <c r="D1139">
        <v>6</v>
      </c>
      <c r="E1139">
        <v>1</v>
      </c>
      <c r="F1139">
        <v>0</v>
      </c>
      <c r="G1139">
        <v>11</v>
      </c>
      <c r="H1139" t="s">
        <v>24</v>
      </c>
      <c r="I1139" t="s">
        <v>107</v>
      </c>
      <c r="J1139">
        <v>501</v>
      </c>
      <c r="K1139" s="3">
        <v>0</v>
      </c>
      <c r="L1139">
        <v>3957.9</v>
      </c>
    </row>
    <row r="1140" spans="1:12" x14ac:dyDescent="0.3">
      <c r="A1140">
        <v>15</v>
      </c>
      <c r="B1140">
        <v>22</v>
      </c>
      <c r="C1140">
        <v>2</v>
      </c>
      <c r="D1140">
        <v>22</v>
      </c>
      <c r="E1140">
        <v>1</v>
      </c>
      <c r="F1140">
        <v>0</v>
      </c>
      <c r="G1140">
        <v>5</v>
      </c>
      <c r="H1140" t="s">
        <v>30</v>
      </c>
      <c r="I1140" t="s">
        <v>368</v>
      </c>
      <c r="J1140">
        <v>634</v>
      </c>
      <c r="K1140" s="3">
        <v>9.1999999999999993</v>
      </c>
      <c r="L1140">
        <v>5832.7999999999902</v>
      </c>
    </row>
    <row r="1141" spans="1:12" x14ac:dyDescent="0.3">
      <c r="A1141">
        <v>7</v>
      </c>
      <c r="B1141">
        <v>23</v>
      </c>
      <c r="C1141">
        <v>3</v>
      </c>
      <c r="D1141">
        <v>11</v>
      </c>
      <c r="E1141">
        <v>1</v>
      </c>
      <c r="F1141">
        <v>0</v>
      </c>
      <c r="G1141">
        <v>4</v>
      </c>
      <c r="H1141" t="s">
        <v>23</v>
      </c>
      <c r="I1141" t="s">
        <v>96</v>
      </c>
      <c r="J1141">
        <v>458</v>
      </c>
      <c r="K1141" s="3">
        <v>8.4</v>
      </c>
      <c r="L1141">
        <v>3847.2</v>
      </c>
    </row>
    <row r="1142" spans="1:12" x14ac:dyDescent="0.3">
      <c r="A1142">
        <v>15</v>
      </c>
      <c r="B1142">
        <v>22</v>
      </c>
      <c r="C1142">
        <v>2</v>
      </c>
      <c r="D1142">
        <v>11</v>
      </c>
      <c r="E1142">
        <v>12</v>
      </c>
      <c r="F1142">
        <v>0</v>
      </c>
      <c r="G1142">
        <v>1</v>
      </c>
      <c r="H1142" t="s">
        <v>33</v>
      </c>
      <c r="I1142" t="s">
        <v>105</v>
      </c>
      <c r="J1142">
        <v>626</v>
      </c>
      <c r="K1142" s="3">
        <v>9.3000000000000007</v>
      </c>
      <c r="L1142">
        <v>5821.8</v>
      </c>
    </row>
    <row r="1143" spans="1:12" x14ac:dyDescent="0.3">
      <c r="A1143">
        <v>20</v>
      </c>
      <c r="B1143">
        <v>23</v>
      </c>
      <c r="C1143">
        <v>3</v>
      </c>
      <c r="D1143">
        <v>11</v>
      </c>
      <c r="E1143">
        <v>1</v>
      </c>
      <c r="F1143">
        <v>0</v>
      </c>
      <c r="G1143">
        <v>7</v>
      </c>
      <c r="H1143" t="s">
        <v>30</v>
      </c>
      <c r="I1143" t="s">
        <v>73</v>
      </c>
      <c r="J1143">
        <v>628</v>
      </c>
      <c r="K1143" s="3">
        <v>9.1999999999999993</v>
      </c>
      <c r="L1143">
        <v>5777.5999999999904</v>
      </c>
    </row>
    <row r="1144" spans="1:12" x14ac:dyDescent="0.3">
      <c r="A1144">
        <v>9</v>
      </c>
      <c r="B1144">
        <v>21</v>
      </c>
      <c r="C1144">
        <v>0</v>
      </c>
      <c r="D1144">
        <v>9</v>
      </c>
      <c r="E1144">
        <v>7</v>
      </c>
      <c r="F1144">
        <v>0</v>
      </c>
      <c r="G1144">
        <v>0</v>
      </c>
      <c r="H1144" t="s">
        <v>25</v>
      </c>
      <c r="I1144" t="s">
        <v>83</v>
      </c>
      <c r="J1144">
        <v>498</v>
      </c>
      <c r="K1144" s="3">
        <v>8.1</v>
      </c>
      <c r="L1144">
        <v>4033.7999999999902</v>
      </c>
    </row>
    <row r="1145" spans="1:12" x14ac:dyDescent="0.3">
      <c r="A1145">
        <v>12</v>
      </c>
      <c r="B1145">
        <v>22</v>
      </c>
      <c r="C1145">
        <v>0</v>
      </c>
      <c r="D1145">
        <v>3</v>
      </c>
      <c r="E1145">
        <v>1</v>
      </c>
      <c r="F1145">
        <v>0</v>
      </c>
      <c r="G1145">
        <v>3</v>
      </c>
      <c r="H1145" t="s">
        <v>15</v>
      </c>
      <c r="I1145" t="s">
        <v>78</v>
      </c>
      <c r="J1145">
        <v>246</v>
      </c>
      <c r="K1145" s="3">
        <v>8.3000000000000007</v>
      </c>
      <c r="L1145">
        <v>2041.8</v>
      </c>
    </row>
    <row r="1146" spans="1:12" x14ac:dyDescent="0.3">
      <c r="A1146">
        <v>14</v>
      </c>
      <c r="B1146">
        <v>22</v>
      </c>
      <c r="C1146">
        <v>0</v>
      </c>
      <c r="D1146">
        <v>15</v>
      </c>
      <c r="E1146">
        <v>12</v>
      </c>
      <c r="F1146">
        <v>0</v>
      </c>
      <c r="G1146">
        <v>1</v>
      </c>
      <c r="H1146" t="s">
        <v>51</v>
      </c>
      <c r="I1146" t="s">
        <v>368</v>
      </c>
      <c r="J1146">
        <v>578</v>
      </c>
      <c r="K1146" s="3">
        <v>8.8000000000000007</v>
      </c>
      <c r="L1146">
        <v>5086.3999999999996</v>
      </c>
    </row>
    <row r="1147" spans="1:12" x14ac:dyDescent="0.3">
      <c r="A1147">
        <v>7</v>
      </c>
      <c r="B1147">
        <v>18</v>
      </c>
      <c r="C1147">
        <v>1</v>
      </c>
      <c r="D1147">
        <v>9</v>
      </c>
      <c r="E1147">
        <v>1</v>
      </c>
      <c r="F1147">
        <v>0</v>
      </c>
      <c r="G1147">
        <v>5</v>
      </c>
      <c r="H1147" t="s">
        <v>22</v>
      </c>
      <c r="I1147" t="s">
        <v>84</v>
      </c>
      <c r="J1147">
        <v>381</v>
      </c>
      <c r="K1147" s="3">
        <v>7.8</v>
      </c>
      <c r="L1147">
        <v>2971.7999999999902</v>
      </c>
    </row>
    <row r="1148" spans="1:12" x14ac:dyDescent="0.3">
      <c r="A1148">
        <v>21</v>
      </c>
      <c r="B1148">
        <v>22</v>
      </c>
      <c r="C1148">
        <v>3</v>
      </c>
      <c r="D1148">
        <v>4</v>
      </c>
      <c r="E1148">
        <v>12</v>
      </c>
      <c r="F1148">
        <v>0</v>
      </c>
      <c r="G1148">
        <v>6</v>
      </c>
      <c r="H1148" t="s">
        <v>38</v>
      </c>
      <c r="I1148" t="s">
        <v>71</v>
      </c>
      <c r="J1148">
        <v>0</v>
      </c>
      <c r="K1148" s="3">
        <v>7.4</v>
      </c>
      <c r="L1148">
        <v>4980.2</v>
      </c>
    </row>
    <row r="1149" spans="1:12" x14ac:dyDescent="0.3">
      <c r="A1149">
        <v>20</v>
      </c>
      <c r="B1149">
        <v>22</v>
      </c>
      <c r="C1149">
        <v>3</v>
      </c>
      <c r="D1149">
        <v>16</v>
      </c>
      <c r="E1149">
        <v>12</v>
      </c>
      <c r="F1149">
        <v>0</v>
      </c>
      <c r="G1149">
        <v>8</v>
      </c>
      <c r="H1149" t="s">
        <v>26</v>
      </c>
      <c r="I1149" t="s">
        <v>97</v>
      </c>
      <c r="J1149">
        <v>704</v>
      </c>
      <c r="K1149" s="3">
        <v>8.5</v>
      </c>
      <c r="L1149">
        <v>5984</v>
      </c>
    </row>
    <row r="1150" spans="1:12" x14ac:dyDescent="0.3">
      <c r="A1150">
        <v>15</v>
      </c>
      <c r="B1150">
        <v>22</v>
      </c>
      <c r="C1150">
        <v>3</v>
      </c>
      <c r="D1150">
        <v>14</v>
      </c>
      <c r="E1150">
        <v>12</v>
      </c>
      <c r="F1150">
        <v>0</v>
      </c>
      <c r="G1150">
        <v>1</v>
      </c>
      <c r="H1150" t="s">
        <v>31</v>
      </c>
      <c r="I1150" t="s">
        <v>79</v>
      </c>
      <c r="J1150">
        <v>805</v>
      </c>
      <c r="K1150" s="3">
        <v>7.9</v>
      </c>
      <c r="L1150">
        <v>6359.5</v>
      </c>
    </row>
    <row r="1151" spans="1:12" x14ac:dyDescent="0.3">
      <c r="A1151">
        <v>8</v>
      </c>
      <c r="B1151">
        <v>17</v>
      </c>
      <c r="C1151">
        <v>3</v>
      </c>
      <c r="D1151">
        <v>4</v>
      </c>
      <c r="E1151">
        <v>1</v>
      </c>
      <c r="F1151">
        <v>0</v>
      </c>
      <c r="G1151">
        <v>9</v>
      </c>
      <c r="H1151" t="s">
        <v>53</v>
      </c>
      <c r="I1151" t="s">
        <v>82</v>
      </c>
      <c r="J1151">
        <v>407</v>
      </c>
      <c r="K1151" s="3">
        <v>7.7</v>
      </c>
      <c r="L1151">
        <v>0</v>
      </c>
    </row>
    <row r="1152" spans="1:12" x14ac:dyDescent="0.3">
      <c r="A1152">
        <v>8</v>
      </c>
      <c r="B1152">
        <v>23</v>
      </c>
      <c r="C1152">
        <v>2</v>
      </c>
      <c r="D1152">
        <v>17</v>
      </c>
      <c r="E1152">
        <v>1</v>
      </c>
      <c r="F1152">
        <v>0</v>
      </c>
      <c r="G1152">
        <v>7</v>
      </c>
      <c r="H1152" t="s">
        <v>30</v>
      </c>
      <c r="I1152" t="s">
        <v>96</v>
      </c>
      <c r="J1152">
        <v>681</v>
      </c>
      <c r="K1152" s="3">
        <v>9.1999999999999993</v>
      </c>
      <c r="L1152">
        <v>6265.2</v>
      </c>
    </row>
    <row r="1153" spans="1:12" x14ac:dyDescent="0.3">
      <c r="A1153">
        <v>9</v>
      </c>
      <c r="B1153">
        <v>22</v>
      </c>
      <c r="C1153">
        <v>0</v>
      </c>
      <c r="D1153">
        <v>10</v>
      </c>
      <c r="E1153">
        <v>7</v>
      </c>
      <c r="F1153">
        <v>0</v>
      </c>
      <c r="G1153">
        <v>12</v>
      </c>
      <c r="H1153" t="s">
        <v>26</v>
      </c>
      <c r="I1153" t="s">
        <v>87</v>
      </c>
      <c r="J1153">
        <v>491</v>
      </c>
      <c r="K1153" s="3">
        <v>8.5</v>
      </c>
      <c r="L1153">
        <v>4173.5</v>
      </c>
    </row>
    <row r="1154" spans="1:12" x14ac:dyDescent="0.3">
      <c r="A1154">
        <v>6</v>
      </c>
      <c r="B1154">
        <v>22</v>
      </c>
      <c r="C1154">
        <v>1</v>
      </c>
      <c r="D1154">
        <v>11</v>
      </c>
      <c r="E1154">
        <v>1</v>
      </c>
      <c r="F1154">
        <v>0</v>
      </c>
      <c r="G1154">
        <v>7</v>
      </c>
      <c r="H1154" t="s">
        <v>35</v>
      </c>
      <c r="I1154" t="s">
        <v>109</v>
      </c>
      <c r="J1154">
        <v>345</v>
      </c>
      <c r="K1154">
        <v>8.1999999999999993</v>
      </c>
      <c r="L1154">
        <v>2828.99999999999</v>
      </c>
    </row>
    <row r="1155" spans="1:12" x14ac:dyDescent="0.3">
      <c r="A1155">
        <v>16</v>
      </c>
      <c r="B1155">
        <v>23</v>
      </c>
      <c r="C1155">
        <v>3</v>
      </c>
      <c r="D1155">
        <v>5</v>
      </c>
      <c r="E1155">
        <v>1</v>
      </c>
      <c r="F1155">
        <v>0</v>
      </c>
      <c r="G1155">
        <v>8</v>
      </c>
      <c r="H1155" t="s">
        <v>21</v>
      </c>
      <c r="I1155" t="s">
        <v>116</v>
      </c>
      <c r="J1155">
        <v>543</v>
      </c>
      <c r="K1155" s="3">
        <v>8.6999999999999993</v>
      </c>
      <c r="L1155">
        <v>4724.0999999999904</v>
      </c>
    </row>
    <row r="1156" spans="1:12" x14ac:dyDescent="0.3">
      <c r="A1156">
        <v>11</v>
      </c>
      <c r="B1156">
        <v>22</v>
      </c>
      <c r="C1156">
        <v>1</v>
      </c>
      <c r="D1156">
        <v>0</v>
      </c>
      <c r="E1156">
        <v>1</v>
      </c>
      <c r="F1156">
        <v>0</v>
      </c>
      <c r="G1156">
        <v>11</v>
      </c>
      <c r="H1156" t="s">
        <v>15</v>
      </c>
      <c r="I1156" t="s">
        <v>106</v>
      </c>
      <c r="J1156">
        <v>398</v>
      </c>
      <c r="K1156" s="3">
        <v>8.3000000000000007</v>
      </c>
      <c r="L1156">
        <v>3303.4</v>
      </c>
    </row>
    <row r="1157" spans="1:12" x14ac:dyDescent="0.3">
      <c r="A1157">
        <v>21</v>
      </c>
      <c r="B1157">
        <v>23</v>
      </c>
      <c r="C1157">
        <v>2</v>
      </c>
      <c r="D1157">
        <v>16</v>
      </c>
      <c r="E1157">
        <v>1</v>
      </c>
      <c r="F1157">
        <v>0</v>
      </c>
      <c r="G1157">
        <v>3</v>
      </c>
      <c r="H1157" t="s">
        <v>21</v>
      </c>
      <c r="I1157" t="s">
        <v>88</v>
      </c>
      <c r="J1157">
        <v>497</v>
      </c>
      <c r="K1157" s="3">
        <v>8.6999999999999993</v>
      </c>
      <c r="L1157">
        <v>4323.8999999999996</v>
      </c>
    </row>
    <row r="1158" spans="1:12" x14ac:dyDescent="0.3">
      <c r="A1158">
        <v>7</v>
      </c>
      <c r="B1158">
        <v>23</v>
      </c>
      <c r="C1158">
        <v>0</v>
      </c>
      <c r="D1158">
        <v>17</v>
      </c>
      <c r="E1158">
        <v>1</v>
      </c>
      <c r="F1158">
        <v>0</v>
      </c>
      <c r="G1158">
        <v>3</v>
      </c>
      <c r="H1158" t="s">
        <v>22</v>
      </c>
      <c r="I1158" t="s">
        <v>368</v>
      </c>
      <c r="J1158">
        <v>0</v>
      </c>
      <c r="K1158" s="3">
        <v>7.8</v>
      </c>
      <c r="L1158">
        <v>4157.3999999999996</v>
      </c>
    </row>
    <row r="1159" spans="1:12" x14ac:dyDescent="0.3">
      <c r="A1159">
        <v>11</v>
      </c>
      <c r="B1159">
        <v>0</v>
      </c>
      <c r="C1159">
        <v>0</v>
      </c>
      <c r="D1159">
        <v>15</v>
      </c>
      <c r="E1159">
        <v>12</v>
      </c>
      <c r="F1159">
        <v>0</v>
      </c>
      <c r="G1159">
        <v>0</v>
      </c>
      <c r="H1159" t="s">
        <v>16</v>
      </c>
      <c r="I1159" t="s">
        <v>130</v>
      </c>
      <c r="J1159">
        <v>624</v>
      </c>
      <c r="K1159" s="3">
        <v>8.9</v>
      </c>
      <c r="L1159">
        <v>5553.6</v>
      </c>
    </row>
    <row r="1160" spans="1:12" x14ac:dyDescent="0.3">
      <c r="A1160">
        <v>7</v>
      </c>
      <c r="B1160">
        <v>17</v>
      </c>
      <c r="C1160">
        <v>0</v>
      </c>
      <c r="D1160">
        <v>15</v>
      </c>
      <c r="E1160">
        <v>1</v>
      </c>
      <c r="F1160">
        <v>0</v>
      </c>
      <c r="G1160">
        <v>9</v>
      </c>
      <c r="H1160" t="s">
        <v>35</v>
      </c>
      <c r="I1160" t="s">
        <v>112</v>
      </c>
      <c r="J1160">
        <v>305</v>
      </c>
      <c r="K1160" s="3">
        <v>8.1999999999999993</v>
      </c>
      <c r="L1160">
        <v>2501</v>
      </c>
    </row>
    <row r="1161" spans="1:12" x14ac:dyDescent="0.3">
      <c r="A1161">
        <v>6</v>
      </c>
      <c r="B1161">
        <v>23</v>
      </c>
      <c r="C1161">
        <v>2</v>
      </c>
      <c r="D1161">
        <v>19</v>
      </c>
      <c r="E1161">
        <v>7</v>
      </c>
      <c r="F1161">
        <v>0</v>
      </c>
      <c r="G1161">
        <v>7</v>
      </c>
      <c r="H1161" t="s">
        <v>23</v>
      </c>
      <c r="I1161" t="s">
        <v>81</v>
      </c>
      <c r="J1161">
        <v>0</v>
      </c>
      <c r="K1161" s="3">
        <v>8.4</v>
      </c>
      <c r="L1161">
        <v>5056.8</v>
      </c>
    </row>
    <row r="1162" spans="1:12" x14ac:dyDescent="0.3">
      <c r="A1162">
        <v>16</v>
      </c>
      <c r="B1162">
        <v>22</v>
      </c>
      <c r="C1162">
        <v>0</v>
      </c>
      <c r="D1162">
        <v>0</v>
      </c>
      <c r="E1162">
        <v>1</v>
      </c>
      <c r="F1162">
        <v>0</v>
      </c>
      <c r="G1162">
        <v>12</v>
      </c>
      <c r="H1162" t="s">
        <v>60</v>
      </c>
      <c r="I1162" t="s">
        <v>73</v>
      </c>
      <c r="J1162">
        <v>373</v>
      </c>
      <c r="K1162" s="3">
        <v>9.1</v>
      </c>
      <c r="L1162">
        <v>3394.2999999999902</v>
      </c>
    </row>
    <row r="1163" spans="1:12" x14ac:dyDescent="0.3">
      <c r="A1163">
        <v>22</v>
      </c>
      <c r="B1163">
        <v>23</v>
      </c>
      <c r="C1163">
        <v>2</v>
      </c>
      <c r="D1163">
        <v>15</v>
      </c>
      <c r="E1163">
        <v>1</v>
      </c>
      <c r="F1163">
        <v>0</v>
      </c>
      <c r="G1163">
        <v>8</v>
      </c>
      <c r="H1163" t="s">
        <v>54</v>
      </c>
      <c r="I1163" t="s">
        <v>92</v>
      </c>
      <c r="J1163">
        <v>695</v>
      </c>
      <c r="K1163" s="3">
        <v>9.1999999999999993</v>
      </c>
      <c r="L1163">
        <v>6393.99999999999</v>
      </c>
    </row>
    <row r="1164" spans="1:12" x14ac:dyDescent="0.3">
      <c r="A1164">
        <v>22</v>
      </c>
      <c r="B1164">
        <v>23</v>
      </c>
      <c r="C1164">
        <v>3</v>
      </c>
      <c r="D1164">
        <v>15</v>
      </c>
      <c r="E1164">
        <v>1</v>
      </c>
      <c r="F1164">
        <v>0</v>
      </c>
      <c r="G1164">
        <v>4</v>
      </c>
      <c r="H1164" t="s">
        <v>20</v>
      </c>
      <c r="I1164" t="s">
        <v>72</v>
      </c>
      <c r="J1164">
        <v>752</v>
      </c>
      <c r="K1164" s="3">
        <v>9.1</v>
      </c>
      <c r="L1164">
        <v>6843.2</v>
      </c>
    </row>
    <row r="1165" spans="1:12" x14ac:dyDescent="0.3">
      <c r="A1165">
        <v>12</v>
      </c>
      <c r="B1165">
        <v>23</v>
      </c>
      <c r="C1165">
        <v>0</v>
      </c>
      <c r="D1165">
        <v>16</v>
      </c>
      <c r="E1165">
        <v>1</v>
      </c>
      <c r="F1165">
        <v>0</v>
      </c>
      <c r="G1165">
        <v>2</v>
      </c>
      <c r="H1165" t="s">
        <v>26</v>
      </c>
      <c r="I1165" t="s">
        <v>368</v>
      </c>
      <c r="J1165">
        <v>582</v>
      </c>
      <c r="K1165" s="3">
        <v>8.5</v>
      </c>
      <c r="L1165">
        <v>4947</v>
      </c>
    </row>
    <row r="1166" spans="1:12" x14ac:dyDescent="0.3">
      <c r="A1166">
        <v>13</v>
      </c>
      <c r="B1166">
        <v>23</v>
      </c>
      <c r="C1166">
        <v>3</v>
      </c>
      <c r="D1166">
        <v>8</v>
      </c>
      <c r="E1166">
        <v>12</v>
      </c>
      <c r="F1166">
        <v>0</v>
      </c>
      <c r="G1166">
        <v>8</v>
      </c>
      <c r="H1166" t="s">
        <v>369</v>
      </c>
      <c r="I1166" t="s">
        <v>73</v>
      </c>
      <c r="J1166">
        <v>589</v>
      </c>
      <c r="K1166" s="3">
        <v>0</v>
      </c>
      <c r="L1166">
        <v>4770.8999999999996</v>
      </c>
    </row>
    <row r="1167" spans="1:12" x14ac:dyDescent="0.3">
      <c r="A1167">
        <v>23</v>
      </c>
      <c r="B1167">
        <v>22</v>
      </c>
      <c r="C1167">
        <v>3</v>
      </c>
      <c r="D1167">
        <v>10</v>
      </c>
      <c r="E1167">
        <v>1</v>
      </c>
      <c r="F1167">
        <v>0</v>
      </c>
      <c r="G1167">
        <v>7</v>
      </c>
      <c r="H1167" t="s">
        <v>22</v>
      </c>
      <c r="I1167" t="s">
        <v>93</v>
      </c>
      <c r="J1167">
        <v>581</v>
      </c>
      <c r="K1167" s="3">
        <v>7.8</v>
      </c>
      <c r="L1167">
        <v>4531.8</v>
      </c>
    </row>
    <row r="1168" spans="1:12" x14ac:dyDescent="0.3">
      <c r="A1168">
        <v>19</v>
      </c>
      <c r="B1168">
        <v>22</v>
      </c>
      <c r="C1168">
        <v>3</v>
      </c>
      <c r="D1168">
        <v>14</v>
      </c>
      <c r="E1168">
        <v>12</v>
      </c>
      <c r="F1168">
        <v>0</v>
      </c>
      <c r="G1168">
        <v>10</v>
      </c>
      <c r="H1168" t="s">
        <v>33</v>
      </c>
      <c r="I1168" t="s">
        <v>72</v>
      </c>
      <c r="J1168">
        <v>692</v>
      </c>
      <c r="K1168" s="3">
        <v>9.3000000000000007</v>
      </c>
      <c r="L1168">
        <v>6435.6</v>
      </c>
    </row>
    <row r="1169" spans="1:12" x14ac:dyDescent="0.3">
      <c r="A1169">
        <v>15</v>
      </c>
      <c r="B1169">
        <v>23</v>
      </c>
      <c r="C1169">
        <v>1</v>
      </c>
      <c r="D1169">
        <v>15</v>
      </c>
      <c r="E1169">
        <v>1</v>
      </c>
      <c r="F1169">
        <v>0</v>
      </c>
      <c r="G1169">
        <v>2</v>
      </c>
      <c r="H1169" t="s">
        <v>21</v>
      </c>
      <c r="I1169" t="s">
        <v>90</v>
      </c>
      <c r="J1169">
        <v>589</v>
      </c>
      <c r="K1169" s="3">
        <v>8.6999999999999993</v>
      </c>
      <c r="L1169">
        <v>5124.2999999999902</v>
      </c>
    </row>
    <row r="1170" spans="1:12" x14ac:dyDescent="0.3">
      <c r="A1170">
        <v>12</v>
      </c>
      <c r="B1170">
        <v>23</v>
      </c>
      <c r="C1170">
        <v>1</v>
      </c>
      <c r="D1170">
        <v>19</v>
      </c>
      <c r="E1170">
        <v>1</v>
      </c>
      <c r="F1170">
        <v>0</v>
      </c>
      <c r="G1170">
        <v>6</v>
      </c>
      <c r="H1170" t="s">
        <v>25</v>
      </c>
      <c r="I1170" t="s">
        <v>109</v>
      </c>
      <c r="J1170">
        <v>482</v>
      </c>
      <c r="K1170" s="3">
        <v>8.1</v>
      </c>
      <c r="L1170">
        <v>3904.2</v>
      </c>
    </row>
    <row r="1171" spans="1:12" x14ac:dyDescent="0.3">
      <c r="A1171">
        <v>13</v>
      </c>
      <c r="B1171">
        <v>23</v>
      </c>
      <c r="C1171">
        <v>1</v>
      </c>
      <c r="D1171">
        <v>9</v>
      </c>
      <c r="E1171">
        <v>1</v>
      </c>
      <c r="F1171">
        <v>0</v>
      </c>
      <c r="G1171">
        <v>9</v>
      </c>
      <c r="H1171" t="s">
        <v>64</v>
      </c>
      <c r="I1171" t="s">
        <v>90</v>
      </c>
      <c r="J1171">
        <v>388</v>
      </c>
      <c r="K1171" s="3">
        <v>0</v>
      </c>
      <c r="L1171">
        <v>3181.6</v>
      </c>
    </row>
    <row r="1172" spans="1:12" x14ac:dyDescent="0.3">
      <c r="A1172">
        <v>16</v>
      </c>
      <c r="B1172">
        <v>22</v>
      </c>
      <c r="C1172">
        <v>3</v>
      </c>
      <c r="D1172">
        <v>8</v>
      </c>
      <c r="E1172">
        <v>12</v>
      </c>
      <c r="F1172">
        <v>0</v>
      </c>
      <c r="G1172">
        <v>2</v>
      </c>
      <c r="H1172" t="s">
        <v>369</v>
      </c>
      <c r="I1172" t="s">
        <v>74</v>
      </c>
      <c r="J1172">
        <v>666</v>
      </c>
      <c r="K1172" s="3">
        <v>8.8000000000000007</v>
      </c>
      <c r="L1172">
        <v>5860.8</v>
      </c>
    </row>
    <row r="1173" spans="1:12" x14ac:dyDescent="0.3">
      <c r="A1173">
        <v>13</v>
      </c>
      <c r="B1173">
        <v>23</v>
      </c>
      <c r="C1173">
        <v>3</v>
      </c>
      <c r="D1173">
        <v>17</v>
      </c>
      <c r="E1173">
        <v>1</v>
      </c>
      <c r="F1173">
        <v>0</v>
      </c>
      <c r="G1173">
        <v>11</v>
      </c>
      <c r="H1173" t="s">
        <v>369</v>
      </c>
      <c r="I1173" t="s">
        <v>85</v>
      </c>
      <c r="J1173">
        <v>522</v>
      </c>
      <c r="K1173" s="3">
        <v>9.1</v>
      </c>
      <c r="L1173">
        <v>4750.2</v>
      </c>
    </row>
    <row r="1174" spans="1:12" x14ac:dyDescent="0.3">
      <c r="A1174">
        <v>14</v>
      </c>
      <c r="B1174">
        <v>22</v>
      </c>
      <c r="C1174">
        <v>0</v>
      </c>
      <c r="D1174">
        <v>11</v>
      </c>
      <c r="E1174">
        <v>1</v>
      </c>
      <c r="F1174">
        <v>0</v>
      </c>
      <c r="G1174">
        <v>8</v>
      </c>
      <c r="H1174" t="s">
        <v>23</v>
      </c>
      <c r="I1174" t="s">
        <v>80</v>
      </c>
      <c r="J1174">
        <v>490</v>
      </c>
      <c r="K1174" s="3">
        <v>8.4</v>
      </c>
      <c r="L1174">
        <v>4116</v>
      </c>
    </row>
    <row r="1175" spans="1:12" x14ac:dyDescent="0.3">
      <c r="A1175">
        <v>5</v>
      </c>
      <c r="B1175">
        <v>18</v>
      </c>
      <c r="C1175">
        <v>0</v>
      </c>
      <c r="D1175">
        <v>20</v>
      </c>
      <c r="E1175">
        <v>1</v>
      </c>
      <c r="F1175">
        <v>0</v>
      </c>
      <c r="G1175">
        <v>5</v>
      </c>
      <c r="H1175" t="s">
        <v>51</v>
      </c>
      <c r="I1175" t="s">
        <v>93</v>
      </c>
      <c r="J1175">
        <v>419</v>
      </c>
      <c r="K1175" s="3">
        <v>8.8000000000000007</v>
      </c>
      <c r="L1175">
        <v>3687.2</v>
      </c>
    </row>
    <row r="1176" spans="1:12" x14ac:dyDescent="0.3">
      <c r="A1176">
        <v>9</v>
      </c>
      <c r="B1176">
        <v>19</v>
      </c>
      <c r="C1176">
        <v>2</v>
      </c>
      <c r="D1176">
        <v>20</v>
      </c>
      <c r="E1176">
        <v>1</v>
      </c>
      <c r="F1176">
        <v>0</v>
      </c>
      <c r="G1176">
        <v>2</v>
      </c>
      <c r="H1176" t="s">
        <v>23</v>
      </c>
      <c r="I1176" t="s">
        <v>82</v>
      </c>
      <c r="J1176">
        <v>488</v>
      </c>
      <c r="K1176" s="3">
        <v>8.4</v>
      </c>
      <c r="L1176">
        <v>4099.2</v>
      </c>
    </row>
    <row r="1177" spans="1:12" x14ac:dyDescent="0.3">
      <c r="A1177">
        <v>21</v>
      </c>
      <c r="B1177">
        <v>22</v>
      </c>
      <c r="C1177">
        <v>3</v>
      </c>
      <c r="D1177">
        <v>4</v>
      </c>
      <c r="E1177">
        <v>1</v>
      </c>
      <c r="F1177">
        <v>0</v>
      </c>
      <c r="G1177">
        <v>1</v>
      </c>
      <c r="H1177" t="s">
        <v>32</v>
      </c>
      <c r="I1177" t="s">
        <v>368</v>
      </c>
      <c r="J1177">
        <v>514</v>
      </c>
      <c r="K1177" s="3">
        <v>7.6</v>
      </c>
      <c r="L1177">
        <v>3906.3999999999901</v>
      </c>
    </row>
    <row r="1178" spans="1:12" x14ac:dyDescent="0.3">
      <c r="A1178">
        <v>15</v>
      </c>
      <c r="B1178">
        <v>23</v>
      </c>
      <c r="C1178">
        <v>1</v>
      </c>
      <c r="D1178">
        <v>13</v>
      </c>
      <c r="E1178">
        <v>1</v>
      </c>
      <c r="F1178">
        <v>0</v>
      </c>
      <c r="G1178">
        <v>11</v>
      </c>
      <c r="H1178" t="s">
        <v>25</v>
      </c>
      <c r="I1178" t="s">
        <v>96</v>
      </c>
      <c r="J1178">
        <v>389</v>
      </c>
      <c r="K1178" s="3">
        <v>8.1</v>
      </c>
      <c r="L1178">
        <v>3150.8999999999901</v>
      </c>
    </row>
    <row r="1179" spans="1:12" x14ac:dyDescent="0.3">
      <c r="A1179">
        <v>17</v>
      </c>
      <c r="B1179">
        <v>22</v>
      </c>
      <c r="C1179">
        <v>0</v>
      </c>
      <c r="D1179">
        <v>16</v>
      </c>
      <c r="E1179">
        <v>12</v>
      </c>
      <c r="F1179">
        <v>0</v>
      </c>
      <c r="G1179">
        <v>4</v>
      </c>
      <c r="H1179" t="s">
        <v>32</v>
      </c>
      <c r="I1179" t="s">
        <v>106</v>
      </c>
      <c r="J1179">
        <v>569</v>
      </c>
      <c r="K1179" s="3">
        <v>7.6</v>
      </c>
      <c r="L1179">
        <v>4324.3999999999996</v>
      </c>
    </row>
    <row r="1180" spans="1:12" x14ac:dyDescent="0.3">
      <c r="A1180">
        <v>23</v>
      </c>
      <c r="B1180">
        <v>22</v>
      </c>
      <c r="C1180">
        <v>3</v>
      </c>
      <c r="D1180">
        <v>3</v>
      </c>
      <c r="E1180">
        <v>12</v>
      </c>
      <c r="F1180">
        <v>0</v>
      </c>
      <c r="G1180">
        <v>9</v>
      </c>
      <c r="H1180" t="s">
        <v>21</v>
      </c>
      <c r="I1180" t="s">
        <v>74</v>
      </c>
      <c r="J1180">
        <v>726</v>
      </c>
      <c r="K1180" s="3">
        <v>8.6999999999999993</v>
      </c>
      <c r="L1180">
        <v>6316.2</v>
      </c>
    </row>
    <row r="1181" spans="1:12" x14ac:dyDescent="0.3">
      <c r="A1181">
        <v>14</v>
      </c>
      <c r="B1181">
        <v>22</v>
      </c>
      <c r="C1181">
        <v>1</v>
      </c>
      <c r="D1181">
        <v>14</v>
      </c>
      <c r="E1181">
        <v>1</v>
      </c>
      <c r="F1181">
        <v>0</v>
      </c>
      <c r="G1181">
        <v>4</v>
      </c>
      <c r="H1181" t="s">
        <v>25</v>
      </c>
      <c r="I1181" t="s">
        <v>92</v>
      </c>
      <c r="J1181">
        <v>442</v>
      </c>
      <c r="K1181" s="3">
        <v>8.1</v>
      </c>
      <c r="L1181">
        <v>3580.2</v>
      </c>
    </row>
    <row r="1182" spans="1:12" x14ac:dyDescent="0.3">
      <c r="A1182">
        <v>22</v>
      </c>
      <c r="B1182">
        <v>23</v>
      </c>
      <c r="C1182">
        <v>1</v>
      </c>
      <c r="D1182">
        <v>6</v>
      </c>
      <c r="E1182">
        <v>0</v>
      </c>
      <c r="F1182">
        <v>0</v>
      </c>
      <c r="G1182">
        <v>12</v>
      </c>
      <c r="H1182" t="s">
        <v>49</v>
      </c>
      <c r="I1182" t="s">
        <v>76</v>
      </c>
      <c r="J1182">
        <v>561</v>
      </c>
      <c r="K1182" s="3">
        <v>8.5</v>
      </c>
      <c r="L1182">
        <v>4768.5</v>
      </c>
    </row>
    <row r="1183" spans="1:12" x14ac:dyDescent="0.3">
      <c r="A1183">
        <v>6</v>
      </c>
      <c r="B1183">
        <v>18</v>
      </c>
      <c r="C1183">
        <v>1</v>
      </c>
      <c r="D1183">
        <v>22</v>
      </c>
      <c r="E1183">
        <v>1</v>
      </c>
      <c r="F1183">
        <v>0</v>
      </c>
      <c r="G1183">
        <v>1</v>
      </c>
      <c r="H1183" t="s">
        <v>21</v>
      </c>
      <c r="I1183" t="s">
        <v>95</v>
      </c>
      <c r="J1183">
        <v>419</v>
      </c>
      <c r="K1183" s="3">
        <v>8.6999999999999993</v>
      </c>
      <c r="L1183">
        <v>0</v>
      </c>
    </row>
    <row r="1184" spans="1:12" x14ac:dyDescent="0.3">
      <c r="A1184">
        <v>7</v>
      </c>
      <c r="B1184">
        <v>22</v>
      </c>
      <c r="C1184">
        <v>2</v>
      </c>
      <c r="D1184">
        <v>11</v>
      </c>
      <c r="E1184">
        <v>7</v>
      </c>
      <c r="F1184">
        <v>0</v>
      </c>
      <c r="G1184">
        <v>8</v>
      </c>
      <c r="H1184" t="s">
        <v>35</v>
      </c>
      <c r="I1184" t="s">
        <v>75</v>
      </c>
      <c r="J1184">
        <v>468</v>
      </c>
      <c r="K1184" s="3">
        <v>8.1999999999999993</v>
      </c>
      <c r="L1184">
        <v>3837.5999999999899</v>
      </c>
    </row>
    <row r="1185" spans="1:12" x14ac:dyDescent="0.3">
      <c r="A1185">
        <v>9</v>
      </c>
      <c r="B1185">
        <v>22</v>
      </c>
      <c r="C1185">
        <v>1</v>
      </c>
      <c r="D1185">
        <v>6</v>
      </c>
      <c r="E1185">
        <v>7</v>
      </c>
      <c r="F1185">
        <v>0</v>
      </c>
      <c r="G1185">
        <v>12</v>
      </c>
      <c r="H1185" t="s">
        <v>49</v>
      </c>
      <c r="I1185" t="s">
        <v>72</v>
      </c>
      <c r="J1185">
        <v>483</v>
      </c>
      <c r="K1185" s="3">
        <v>8.5</v>
      </c>
      <c r="L1185" t="s">
        <v>143</v>
      </c>
    </row>
    <row r="1186" spans="1:12" x14ac:dyDescent="0.3">
      <c r="A1186">
        <v>6</v>
      </c>
      <c r="B1186">
        <v>19</v>
      </c>
      <c r="C1186">
        <v>2</v>
      </c>
      <c r="D1186">
        <v>9</v>
      </c>
      <c r="E1186">
        <v>1</v>
      </c>
      <c r="F1186">
        <v>0</v>
      </c>
      <c r="G1186">
        <v>2</v>
      </c>
      <c r="H1186" t="s">
        <v>24</v>
      </c>
      <c r="I1186" t="s">
        <v>368</v>
      </c>
      <c r="J1186">
        <v>301</v>
      </c>
      <c r="K1186" s="3">
        <v>7.9</v>
      </c>
      <c r="L1186">
        <v>2377.9</v>
      </c>
    </row>
    <row r="1187" spans="1:12" x14ac:dyDescent="0.3">
      <c r="A1187">
        <v>22</v>
      </c>
      <c r="B1187">
        <v>22</v>
      </c>
      <c r="C1187">
        <v>2</v>
      </c>
      <c r="D1187">
        <v>20</v>
      </c>
      <c r="E1187">
        <v>1</v>
      </c>
      <c r="F1187">
        <v>0</v>
      </c>
      <c r="G1187">
        <v>5</v>
      </c>
      <c r="H1187" t="s">
        <v>13</v>
      </c>
      <c r="I1187" t="s">
        <v>104</v>
      </c>
      <c r="J1187">
        <v>569</v>
      </c>
      <c r="K1187" s="3">
        <v>8.3000000000000007</v>
      </c>
      <c r="L1187">
        <v>4722.7</v>
      </c>
    </row>
    <row r="1188" spans="1:12" x14ac:dyDescent="0.3">
      <c r="A1188">
        <v>10</v>
      </c>
      <c r="B1188">
        <v>19</v>
      </c>
      <c r="C1188">
        <v>0</v>
      </c>
      <c r="D1188">
        <v>22</v>
      </c>
      <c r="E1188">
        <v>7</v>
      </c>
      <c r="F1188">
        <v>0</v>
      </c>
      <c r="G1188">
        <v>12</v>
      </c>
      <c r="H1188" t="s">
        <v>38</v>
      </c>
      <c r="I1188" t="s">
        <v>97</v>
      </c>
      <c r="J1188">
        <v>546</v>
      </c>
      <c r="K1188" s="3">
        <v>7.4</v>
      </c>
      <c r="L1188">
        <v>4040.4</v>
      </c>
    </row>
    <row r="1189" spans="1:12" x14ac:dyDescent="0.3">
      <c r="A1189">
        <v>0</v>
      </c>
      <c r="B1189">
        <v>22</v>
      </c>
      <c r="C1189">
        <v>3</v>
      </c>
      <c r="D1189">
        <v>8</v>
      </c>
      <c r="E1189">
        <v>1</v>
      </c>
      <c r="F1189">
        <v>0</v>
      </c>
      <c r="G1189">
        <v>3</v>
      </c>
      <c r="H1189" t="s">
        <v>16</v>
      </c>
      <c r="I1189" t="s">
        <v>87</v>
      </c>
      <c r="J1189">
        <v>553</v>
      </c>
      <c r="K1189" s="3">
        <v>8.9</v>
      </c>
      <c r="L1189">
        <v>4921.7</v>
      </c>
    </row>
    <row r="1190" spans="1:12" x14ac:dyDescent="0.3">
      <c r="A1190">
        <v>13</v>
      </c>
      <c r="B1190">
        <v>23</v>
      </c>
      <c r="C1190">
        <v>0</v>
      </c>
      <c r="D1190">
        <v>3</v>
      </c>
      <c r="E1190">
        <v>1</v>
      </c>
      <c r="F1190">
        <v>0</v>
      </c>
      <c r="G1190">
        <v>2</v>
      </c>
      <c r="H1190" t="s">
        <v>30</v>
      </c>
      <c r="I1190" t="s">
        <v>106</v>
      </c>
      <c r="J1190">
        <v>246</v>
      </c>
      <c r="K1190" s="3">
        <v>9.1999999999999993</v>
      </c>
      <c r="L1190">
        <v>2263.1999999999998</v>
      </c>
    </row>
    <row r="1191" spans="1:12" x14ac:dyDescent="0.3">
      <c r="A1191">
        <v>8</v>
      </c>
      <c r="B1191">
        <v>21</v>
      </c>
      <c r="C1191">
        <v>0</v>
      </c>
      <c r="D1191">
        <v>15</v>
      </c>
      <c r="E1191">
        <v>0</v>
      </c>
      <c r="F1191">
        <v>0</v>
      </c>
      <c r="G1191">
        <v>2</v>
      </c>
      <c r="H1191" t="s">
        <v>36</v>
      </c>
      <c r="I1191" t="s">
        <v>107</v>
      </c>
      <c r="J1191">
        <v>522</v>
      </c>
      <c r="K1191" s="3">
        <v>8.8000000000000007</v>
      </c>
      <c r="L1191">
        <v>4593.6000000000004</v>
      </c>
    </row>
    <row r="1192" spans="1:12" x14ac:dyDescent="0.3">
      <c r="A1192">
        <v>11</v>
      </c>
      <c r="B1192">
        <v>23</v>
      </c>
      <c r="C1192">
        <v>0</v>
      </c>
      <c r="D1192">
        <v>3</v>
      </c>
      <c r="E1192">
        <v>1</v>
      </c>
      <c r="F1192">
        <v>0</v>
      </c>
      <c r="G1192">
        <v>11</v>
      </c>
      <c r="H1192" t="s">
        <v>35</v>
      </c>
      <c r="I1192" t="s">
        <v>82</v>
      </c>
      <c r="J1192">
        <v>284</v>
      </c>
      <c r="K1192" s="3">
        <v>0</v>
      </c>
      <c r="L1192">
        <v>2328.7999999999902</v>
      </c>
    </row>
    <row r="1193" spans="1:12" x14ac:dyDescent="0.3">
      <c r="A1193">
        <v>16</v>
      </c>
      <c r="B1193">
        <v>23</v>
      </c>
      <c r="C1193">
        <v>1</v>
      </c>
      <c r="D1193">
        <v>21</v>
      </c>
      <c r="E1193">
        <v>1</v>
      </c>
      <c r="F1193">
        <v>0</v>
      </c>
      <c r="G1193">
        <v>6</v>
      </c>
      <c r="H1193" t="s">
        <v>32</v>
      </c>
      <c r="I1193" t="s">
        <v>82</v>
      </c>
      <c r="J1193">
        <v>712</v>
      </c>
      <c r="K1193" s="3">
        <v>7.6</v>
      </c>
      <c r="L1193">
        <v>5411.2</v>
      </c>
    </row>
    <row r="1194" spans="1:12" x14ac:dyDescent="0.3">
      <c r="A1194">
        <v>6</v>
      </c>
      <c r="B1194">
        <v>23</v>
      </c>
      <c r="C1194">
        <v>0</v>
      </c>
      <c r="D1194">
        <v>12</v>
      </c>
      <c r="E1194">
        <v>1</v>
      </c>
      <c r="F1194">
        <v>0</v>
      </c>
      <c r="G1194">
        <v>1</v>
      </c>
      <c r="H1194" t="s">
        <v>30</v>
      </c>
      <c r="I1194" t="s">
        <v>109</v>
      </c>
      <c r="J1194">
        <v>321</v>
      </c>
      <c r="K1194" s="3">
        <v>9.1999999999999993</v>
      </c>
      <c r="L1194">
        <v>2953.2</v>
      </c>
    </row>
    <row r="1195" spans="1:12" x14ac:dyDescent="0.3">
      <c r="A1195">
        <v>21</v>
      </c>
      <c r="B1195">
        <v>23</v>
      </c>
      <c r="C1195">
        <v>3</v>
      </c>
      <c r="D1195">
        <v>19</v>
      </c>
      <c r="E1195">
        <v>1</v>
      </c>
      <c r="F1195">
        <v>0</v>
      </c>
      <c r="G1195">
        <v>11</v>
      </c>
      <c r="H1195" t="s">
        <v>15</v>
      </c>
      <c r="I1195" t="s">
        <v>104</v>
      </c>
      <c r="J1195">
        <v>743</v>
      </c>
      <c r="K1195" s="3">
        <v>8.3000000000000007</v>
      </c>
      <c r="L1195">
        <v>6166.9</v>
      </c>
    </row>
    <row r="1196" spans="1:12" x14ac:dyDescent="0.3">
      <c r="A1196">
        <v>13</v>
      </c>
      <c r="B1196">
        <v>22</v>
      </c>
      <c r="C1196">
        <v>0</v>
      </c>
      <c r="D1196">
        <v>22</v>
      </c>
      <c r="E1196">
        <v>1</v>
      </c>
      <c r="F1196">
        <v>0</v>
      </c>
      <c r="G1196">
        <v>5</v>
      </c>
      <c r="H1196" t="s">
        <v>38</v>
      </c>
      <c r="I1196" t="s">
        <v>96</v>
      </c>
      <c r="J1196">
        <v>582</v>
      </c>
      <c r="K1196" s="3">
        <v>7.4</v>
      </c>
      <c r="L1196">
        <v>4306.8</v>
      </c>
    </row>
    <row r="1197" spans="1:12" x14ac:dyDescent="0.3">
      <c r="A1197">
        <v>20</v>
      </c>
      <c r="B1197">
        <v>23</v>
      </c>
      <c r="C1197">
        <v>1</v>
      </c>
      <c r="D1197">
        <v>18</v>
      </c>
      <c r="E1197">
        <v>0</v>
      </c>
      <c r="F1197">
        <v>0</v>
      </c>
      <c r="G1197">
        <v>6</v>
      </c>
      <c r="H1197" t="s">
        <v>23</v>
      </c>
      <c r="I1197" t="s">
        <v>88</v>
      </c>
      <c r="J1197">
        <v>665</v>
      </c>
      <c r="K1197" s="3">
        <v>8.4</v>
      </c>
      <c r="L1197">
        <v>5586</v>
      </c>
    </row>
    <row r="1198" spans="1:12" x14ac:dyDescent="0.3">
      <c r="A1198">
        <v>23</v>
      </c>
      <c r="B1198">
        <v>23</v>
      </c>
      <c r="C1198">
        <v>3</v>
      </c>
      <c r="D1198">
        <v>11</v>
      </c>
      <c r="E1198">
        <v>1</v>
      </c>
      <c r="F1198">
        <v>0</v>
      </c>
      <c r="G1198">
        <v>5</v>
      </c>
      <c r="H1198" t="s">
        <v>20</v>
      </c>
      <c r="I1198" t="s">
        <v>80</v>
      </c>
      <c r="J1198">
        <v>533</v>
      </c>
      <c r="K1198" s="3">
        <v>9.1</v>
      </c>
      <c r="L1198">
        <v>4850.3</v>
      </c>
    </row>
    <row r="1199" spans="1:12" x14ac:dyDescent="0.3">
      <c r="A1199">
        <v>23</v>
      </c>
      <c r="B1199">
        <v>23</v>
      </c>
      <c r="C1199">
        <v>2</v>
      </c>
      <c r="D1199">
        <v>4</v>
      </c>
      <c r="E1199">
        <v>12</v>
      </c>
      <c r="F1199">
        <v>0</v>
      </c>
      <c r="G1199">
        <v>3</v>
      </c>
      <c r="H1199" t="s">
        <v>24</v>
      </c>
      <c r="I1199" t="s">
        <v>94</v>
      </c>
      <c r="J1199">
        <v>677</v>
      </c>
      <c r="K1199" s="3">
        <v>0</v>
      </c>
      <c r="L1199">
        <v>5348.3</v>
      </c>
    </row>
    <row r="1200" spans="1:12" x14ac:dyDescent="0.3">
      <c r="A1200">
        <v>18</v>
      </c>
      <c r="B1200">
        <v>22</v>
      </c>
      <c r="C1200">
        <v>2</v>
      </c>
      <c r="D1200">
        <v>14</v>
      </c>
      <c r="E1200">
        <v>1</v>
      </c>
      <c r="F1200">
        <v>0</v>
      </c>
      <c r="G1200">
        <v>10</v>
      </c>
      <c r="H1200" t="s">
        <v>32</v>
      </c>
      <c r="I1200" t="s">
        <v>84</v>
      </c>
      <c r="J1200">
        <v>0</v>
      </c>
      <c r="K1200" s="3">
        <v>7.6</v>
      </c>
      <c r="L1200">
        <v>3845.6</v>
      </c>
    </row>
    <row r="1201" spans="1:12" x14ac:dyDescent="0.3">
      <c r="A1201">
        <v>13</v>
      </c>
      <c r="B1201">
        <v>22</v>
      </c>
      <c r="C1201">
        <v>0</v>
      </c>
      <c r="D1201">
        <v>7</v>
      </c>
      <c r="E1201">
        <v>1</v>
      </c>
      <c r="F1201">
        <v>0</v>
      </c>
      <c r="G1201">
        <v>8</v>
      </c>
      <c r="H1201" t="s">
        <v>23</v>
      </c>
      <c r="I1201" t="s">
        <v>77</v>
      </c>
      <c r="J1201">
        <v>425</v>
      </c>
      <c r="K1201" s="3">
        <v>8.4</v>
      </c>
      <c r="L1201">
        <v>3570</v>
      </c>
    </row>
    <row r="1202" spans="1:12" x14ac:dyDescent="0.3">
      <c r="A1202">
        <v>11</v>
      </c>
      <c r="B1202">
        <v>23</v>
      </c>
      <c r="C1202">
        <v>0</v>
      </c>
      <c r="D1202">
        <v>20</v>
      </c>
      <c r="E1202">
        <v>1</v>
      </c>
      <c r="F1202">
        <v>0</v>
      </c>
      <c r="G1202">
        <v>8</v>
      </c>
      <c r="H1202" t="s">
        <v>48</v>
      </c>
      <c r="I1202" t="s">
        <v>84</v>
      </c>
      <c r="J1202">
        <v>452</v>
      </c>
      <c r="K1202" s="3">
        <v>8.6999999999999993</v>
      </c>
      <c r="L1202">
        <v>3932.3999999999901</v>
      </c>
    </row>
    <row r="1203" spans="1:12" x14ac:dyDescent="0.3">
      <c r="A1203">
        <v>11</v>
      </c>
      <c r="B1203">
        <v>23</v>
      </c>
      <c r="C1203">
        <v>3</v>
      </c>
      <c r="D1203">
        <v>6</v>
      </c>
      <c r="E1203">
        <v>1</v>
      </c>
      <c r="F1203">
        <v>0</v>
      </c>
      <c r="G1203">
        <v>11</v>
      </c>
      <c r="H1203" t="s">
        <v>25</v>
      </c>
      <c r="I1203" t="s">
        <v>80</v>
      </c>
      <c r="J1203">
        <v>554</v>
      </c>
      <c r="K1203" s="3">
        <v>8.1</v>
      </c>
      <c r="L1203">
        <v>4487.3999999999996</v>
      </c>
    </row>
    <row r="1204" spans="1:12" x14ac:dyDescent="0.3">
      <c r="A1204">
        <v>17</v>
      </c>
      <c r="B1204">
        <v>23</v>
      </c>
      <c r="C1204">
        <v>1</v>
      </c>
      <c r="D1204">
        <v>13</v>
      </c>
      <c r="E1204">
        <v>1</v>
      </c>
      <c r="F1204">
        <v>0</v>
      </c>
      <c r="G1204">
        <v>2</v>
      </c>
      <c r="H1204" t="s">
        <v>52</v>
      </c>
      <c r="I1204" t="s">
        <v>91</v>
      </c>
      <c r="J1204">
        <v>354</v>
      </c>
      <c r="K1204" s="3">
        <v>9.3000000000000007</v>
      </c>
      <c r="L1204">
        <v>3292.2</v>
      </c>
    </row>
    <row r="1205" spans="1:12" x14ac:dyDescent="0.3">
      <c r="A1205">
        <v>17</v>
      </c>
      <c r="B1205">
        <v>0</v>
      </c>
      <c r="C1205">
        <v>1</v>
      </c>
      <c r="D1205">
        <v>21</v>
      </c>
      <c r="E1205">
        <v>12</v>
      </c>
      <c r="F1205">
        <v>0</v>
      </c>
      <c r="G1205">
        <v>3</v>
      </c>
      <c r="H1205" t="s">
        <v>15</v>
      </c>
      <c r="I1205" t="s">
        <v>79</v>
      </c>
      <c r="J1205">
        <v>722</v>
      </c>
      <c r="K1205" s="3">
        <v>8.3000000000000007</v>
      </c>
      <c r="L1205">
        <v>5992.6</v>
      </c>
    </row>
    <row r="1206" spans="1:12" x14ac:dyDescent="0.3">
      <c r="A1206">
        <v>6</v>
      </c>
      <c r="B1206">
        <v>20</v>
      </c>
      <c r="C1206">
        <v>0</v>
      </c>
      <c r="D1206">
        <v>9</v>
      </c>
      <c r="E1206">
        <v>1</v>
      </c>
      <c r="F1206">
        <v>0</v>
      </c>
      <c r="G1206">
        <v>5</v>
      </c>
      <c r="H1206" t="s">
        <v>15</v>
      </c>
      <c r="I1206" t="s">
        <v>71</v>
      </c>
      <c r="J1206">
        <v>311</v>
      </c>
      <c r="K1206" s="3">
        <v>8.3000000000000007</v>
      </c>
      <c r="L1206">
        <v>2581.3000000000002</v>
      </c>
    </row>
    <row r="1207" spans="1:12" x14ac:dyDescent="0.3">
      <c r="A1207">
        <v>0</v>
      </c>
      <c r="B1207">
        <v>20</v>
      </c>
      <c r="C1207">
        <v>2</v>
      </c>
      <c r="D1207">
        <v>12</v>
      </c>
      <c r="E1207">
        <v>7</v>
      </c>
      <c r="F1207">
        <v>0</v>
      </c>
      <c r="G1207">
        <v>9</v>
      </c>
      <c r="H1207" t="s">
        <v>58</v>
      </c>
      <c r="I1207" t="s">
        <v>109</v>
      </c>
      <c r="J1207">
        <v>605</v>
      </c>
      <c r="K1207" s="3">
        <v>8.4</v>
      </c>
      <c r="L1207">
        <v>5082</v>
      </c>
    </row>
    <row r="1208" spans="1:12" x14ac:dyDescent="0.3">
      <c r="A1208">
        <v>14</v>
      </c>
      <c r="B1208">
        <v>22</v>
      </c>
      <c r="C1208">
        <v>0</v>
      </c>
      <c r="D1208">
        <v>7</v>
      </c>
      <c r="E1208">
        <v>12</v>
      </c>
      <c r="F1208">
        <v>0</v>
      </c>
      <c r="G1208">
        <v>5</v>
      </c>
      <c r="H1208" t="s">
        <v>59</v>
      </c>
      <c r="I1208" t="s">
        <v>105</v>
      </c>
      <c r="J1208">
        <v>0</v>
      </c>
      <c r="K1208" s="3">
        <v>0</v>
      </c>
      <c r="L1208">
        <v>3839.3999999999901</v>
      </c>
    </row>
    <row r="1209" spans="1:12" x14ac:dyDescent="0.3">
      <c r="A1209">
        <v>16</v>
      </c>
      <c r="B1209">
        <v>23</v>
      </c>
      <c r="C1209">
        <v>2</v>
      </c>
      <c r="D1209">
        <v>6</v>
      </c>
      <c r="E1209">
        <v>1</v>
      </c>
      <c r="F1209">
        <v>0</v>
      </c>
      <c r="G1209">
        <v>10</v>
      </c>
      <c r="H1209" t="s">
        <v>23</v>
      </c>
      <c r="I1209" t="s">
        <v>76</v>
      </c>
      <c r="J1209">
        <v>384</v>
      </c>
      <c r="K1209" s="3">
        <v>8.4</v>
      </c>
      <c r="L1209">
        <v>0</v>
      </c>
    </row>
    <row r="1210" spans="1:12" x14ac:dyDescent="0.3">
      <c r="A1210">
        <v>18</v>
      </c>
      <c r="B1210">
        <v>22</v>
      </c>
      <c r="C1210">
        <v>1</v>
      </c>
      <c r="D1210">
        <v>11</v>
      </c>
      <c r="E1210">
        <v>1</v>
      </c>
      <c r="F1210">
        <v>0</v>
      </c>
      <c r="G1210">
        <v>4</v>
      </c>
      <c r="H1210" t="s">
        <v>23</v>
      </c>
      <c r="I1210" t="s">
        <v>71</v>
      </c>
      <c r="J1210">
        <v>489</v>
      </c>
      <c r="K1210">
        <v>8.4</v>
      </c>
      <c r="L1210">
        <v>4107.6000000000004</v>
      </c>
    </row>
    <row r="1211" spans="1:12" x14ac:dyDescent="0.3">
      <c r="A1211">
        <v>21</v>
      </c>
      <c r="B1211">
        <v>22</v>
      </c>
      <c r="C1211">
        <v>1</v>
      </c>
      <c r="D1211">
        <v>3</v>
      </c>
      <c r="E1211">
        <v>1</v>
      </c>
      <c r="F1211">
        <v>0</v>
      </c>
      <c r="G1211">
        <v>11</v>
      </c>
      <c r="H1211" t="s">
        <v>37</v>
      </c>
      <c r="I1211" t="s">
        <v>77</v>
      </c>
      <c r="J1211">
        <v>511</v>
      </c>
      <c r="K1211" s="3">
        <v>8.3000000000000007</v>
      </c>
      <c r="L1211">
        <v>4241.3</v>
      </c>
    </row>
    <row r="1212" spans="1:12" x14ac:dyDescent="0.3">
      <c r="A1212">
        <v>12</v>
      </c>
      <c r="B1212">
        <v>23</v>
      </c>
      <c r="C1212">
        <v>1</v>
      </c>
      <c r="D1212">
        <v>8</v>
      </c>
      <c r="E1212">
        <v>1</v>
      </c>
      <c r="F1212">
        <v>0</v>
      </c>
      <c r="G1212">
        <v>11</v>
      </c>
      <c r="H1212" t="s">
        <v>19</v>
      </c>
      <c r="I1212" t="s">
        <v>106</v>
      </c>
      <c r="J1212">
        <v>368</v>
      </c>
      <c r="K1212">
        <v>8.9</v>
      </c>
      <c r="L1212">
        <v>3275.2</v>
      </c>
    </row>
    <row r="1213" spans="1:12" x14ac:dyDescent="0.3">
      <c r="A1213">
        <v>8</v>
      </c>
      <c r="B1213">
        <v>17</v>
      </c>
      <c r="C1213">
        <v>3</v>
      </c>
      <c r="D1213">
        <v>21</v>
      </c>
      <c r="E1213">
        <v>1</v>
      </c>
      <c r="F1213">
        <v>0</v>
      </c>
      <c r="G1213">
        <v>1</v>
      </c>
      <c r="H1213" t="s">
        <v>26</v>
      </c>
      <c r="I1213" t="s">
        <v>108</v>
      </c>
      <c r="J1213">
        <v>386</v>
      </c>
      <c r="K1213" s="3">
        <v>8.5</v>
      </c>
      <c r="L1213">
        <v>3281</v>
      </c>
    </row>
    <row r="1214" spans="1:12" x14ac:dyDescent="0.3">
      <c r="A1214">
        <v>9</v>
      </c>
      <c r="B1214">
        <v>23</v>
      </c>
      <c r="C1214">
        <v>0</v>
      </c>
      <c r="D1214">
        <v>17</v>
      </c>
      <c r="E1214">
        <v>7</v>
      </c>
      <c r="F1214">
        <v>0</v>
      </c>
      <c r="G1214">
        <v>9</v>
      </c>
      <c r="H1214" t="s">
        <v>24</v>
      </c>
      <c r="I1214" t="s">
        <v>72</v>
      </c>
      <c r="J1214">
        <v>487</v>
      </c>
      <c r="K1214" s="3">
        <v>7.9</v>
      </c>
      <c r="L1214">
        <v>3847.3</v>
      </c>
    </row>
    <row r="1215" spans="1:12" x14ac:dyDescent="0.3">
      <c r="A1215">
        <v>21</v>
      </c>
      <c r="B1215">
        <v>22</v>
      </c>
      <c r="C1215">
        <v>0</v>
      </c>
      <c r="D1215">
        <v>5</v>
      </c>
      <c r="E1215">
        <v>1</v>
      </c>
      <c r="F1215">
        <v>0</v>
      </c>
      <c r="G1215">
        <v>10</v>
      </c>
      <c r="H1215" t="s">
        <v>22</v>
      </c>
      <c r="I1215" t="s">
        <v>93</v>
      </c>
      <c r="J1215">
        <v>545</v>
      </c>
      <c r="K1215" s="3">
        <v>7.8</v>
      </c>
      <c r="L1215">
        <v>4251</v>
      </c>
    </row>
    <row r="1216" spans="1:12" x14ac:dyDescent="0.3">
      <c r="A1216">
        <v>23</v>
      </c>
      <c r="B1216">
        <v>22</v>
      </c>
      <c r="C1216">
        <v>1</v>
      </c>
      <c r="D1216">
        <v>11</v>
      </c>
      <c r="E1216">
        <v>12</v>
      </c>
      <c r="F1216">
        <v>0</v>
      </c>
      <c r="G1216">
        <v>2</v>
      </c>
      <c r="H1216" t="s">
        <v>25</v>
      </c>
      <c r="I1216" t="s">
        <v>88</v>
      </c>
      <c r="J1216">
        <v>502</v>
      </c>
      <c r="K1216">
        <v>8.1</v>
      </c>
      <c r="L1216">
        <v>4066.2</v>
      </c>
    </row>
    <row r="1217" spans="1:12" x14ac:dyDescent="0.3">
      <c r="A1217">
        <v>11</v>
      </c>
      <c r="B1217">
        <v>23</v>
      </c>
      <c r="C1217">
        <v>1</v>
      </c>
      <c r="D1217">
        <v>0</v>
      </c>
      <c r="E1217">
        <v>1</v>
      </c>
      <c r="F1217">
        <v>0</v>
      </c>
      <c r="G1217">
        <v>12</v>
      </c>
      <c r="H1217" t="s">
        <v>38</v>
      </c>
      <c r="I1217" t="s">
        <v>72</v>
      </c>
      <c r="J1217">
        <v>384</v>
      </c>
      <c r="K1217" s="3">
        <v>7.4</v>
      </c>
      <c r="L1217">
        <v>2841.6</v>
      </c>
    </row>
    <row r="1218" spans="1:12" x14ac:dyDescent="0.3">
      <c r="A1218">
        <v>23</v>
      </c>
      <c r="B1218">
        <v>22</v>
      </c>
      <c r="C1218">
        <v>2</v>
      </c>
      <c r="D1218">
        <v>21</v>
      </c>
      <c r="E1218">
        <v>12</v>
      </c>
      <c r="F1218">
        <v>0</v>
      </c>
      <c r="G1218">
        <v>2</v>
      </c>
      <c r="H1218" t="s">
        <v>15</v>
      </c>
      <c r="I1218" t="s">
        <v>74</v>
      </c>
      <c r="J1218">
        <v>625</v>
      </c>
      <c r="K1218" s="3">
        <v>8.3000000000000007</v>
      </c>
      <c r="L1218">
        <v>5187.5</v>
      </c>
    </row>
    <row r="1219" spans="1:12" x14ac:dyDescent="0.3">
      <c r="A1219">
        <v>19</v>
      </c>
      <c r="B1219">
        <v>22</v>
      </c>
      <c r="C1219">
        <v>2</v>
      </c>
      <c r="D1219">
        <v>13</v>
      </c>
      <c r="E1219">
        <v>1</v>
      </c>
      <c r="F1219">
        <v>0</v>
      </c>
      <c r="G1219">
        <v>10</v>
      </c>
      <c r="H1219" t="s">
        <v>32</v>
      </c>
      <c r="I1219" t="s">
        <v>82</v>
      </c>
      <c r="J1219">
        <v>506</v>
      </c>
      <c r="K1219">
        <v>7.6</v>
      </c>
      <c r="L1219">
        <v>3845.6</v>
      </c>
    </row>
    <row r="1220" spans="1:12" x14ac:dyDescent="0.3">
      <c r="A1220">
        <v>10</v>
      </c>
      <c r="B1220">
        <v>21</v>
      </c>
      <c r="C1220">
        <v>2</v>
      </c>
      <c r="D1220">
        <v>6</v>
      </c>
      <c r="E1220">
        <v>1</v>
      </c>
      <c r="F1220">
        <v>0</v>
      </c>
      <c r="G1220">
        <v>3</v>
      </c>
      <c r="H1220" t="s">
        <v>55</v>
      </c>
      <c r="I1220" t="s">
        <v>82</v>
      </c>
      <c r="J1220">
        <v>374</v>
      </c>
      <c r="K1220" s="3">
        <v>7.8</v>
      </c>
      <c r="L1220">
        <v>2917.2</v>
      </c>
    </row>
    <row r="1221" spans="1:12" x14ac:dyDescent="0.3">
      <c r="A1221">
        <v>14</v>
      </c>
      <c r="B1221">
        <v>22</v>
      </c>
      <c r="C1221">
        <v>0</v>
      </c>
      <c r="D1221">
        <v>0</v>
      </c>
      <c r="E1221">
        <v>12</v>
      </c>
      <c r="F1221">
        <v>0</v>
      </c>
      <c r="G1221">
        <v>2</v>
      </c>
      <c r="H1221" t="s">
        <v>51</v>
      </c>
      <c r="I1221" t="s">
        <v>83</v>
      </c>
      <c r="J1221">
        <v>468</v>
      </c>
      <c r="K1221" s="3">
        <v>8.8000000000000007</v>
      </c>
      <c r="L1221">
        <v>4118.3999999999996</v>
      </c>
    </row>
    <row r="1222" spans="1:12" x14ac:dyDescent="0.3">
      <c r="A1222">
        <v>16</v>
      </c>
      <c r="B1222">
        <v>23</v>
      </c>
      <c r="C1222">
        <v>1</v>
      </c>
      <c r="D1222">
        <v>16</v>
      </c>
      <c r="E1222">
        <v>1</v>
      </c>
      <c r="F1222">
        <v>0</v>
      </c>
      <c r="G1222">
        <v>4</v>
      </c>
      <c r="H1222" t="s">
        <v>24</v>
      </c>
      <c r="I1222" t="s">
        <v>97</v>
      </c>
      <c r="J1222">
        <v>663</v>
      </c>
      <c r="K1222" s="3">
        <v>7.9</v>
      </c>
      <c r="L1222">
        <v>5237.7</v>
      </c>
    </row>
    <row r="1223" spans="1:12" x14ac:dyDescent="0.3">
      <c r="A1223">
        <v>10</v>
      </c>
      <c r="B1223">
        <v>21</v>
      </c>
      <c r="C1223">
        <v>3</v>
      </c>
      <c r="D1223">
        <v>11</v>
      </c>
      <c r="E1223">
        <v>1</v>
      </c>
      <c r="F1223">
        <v>0</v>
      </c>
      <c r="G1223">
        <v>6</v>
      </c>
      <c r="H1223" t="s">
        <v>43</v>
      </c>
      <c r="I1223" t="s">
        <v>73</v>
      </c>
      <c r="J1223">
        <v>515</v>
      </c>
      <c r="K1223">
        <v>7.6</v>
      </c>
      <c r="L1223">
        <v>3914</v>
      </c>
    </row>
    <row r="1224" spans="1:12" x14ac:dyDescent="0.3">
      <c r="A1224">
        <v>15</v>
      </c>
      <c r="B1224">
        <v>23</v>
      </c>
      <c r="C1224">
        <v>0</v>
      </c>
      <c r="D1224">
        <v>12</v>
      </c>
      <c r="E1224">
        <v>1</v>
      </c>
      <c r="F1224">
        <v>0</v>
      </c>
      <c r="G1224">
        <v>12</v>
      </c>
      <c r="H1224" t="s">
        <v>51</v>
      </c>
      <c r="I1224" t="s">
        <v>88</v>
      </c>
      <c r="J1224">
        <v>529</v>
      </c>
      <c r="K1224" s="3">
        <v>8.8000000000000007</v>
      </c>
      <c r="L1224">
        <v>4655.2</v>
      </c>
    </row>
    <row r="1225" spans="1:12" x14ac:dyDescent="0.3">
      <c r="A1225">
        <v>10</v>
      </c>
      <c r="B1225">
        <v>0</v>
      </c>
      <c r="C1225">
        <v>2</v>
      </c>
      <c r="D1225">
        <v>12</v>
      </c>
      <c r="E1225">
        <v>1</v>
      </c>
      <c r="F1225">
        <v>0</v>
      </c>
      <c r="G1225">
        <v>6</v>
      </c>
      <c r="H1225" t="s">
        <v>20</v>
      </c>
      <c r="I1225" t="s">
        <v>80</v>
      </c>
      <c r="J1225">
        <v>301</v>
      </c>
      <c r="K1225" s="3">
        <v>9.1</v>
      </c>
      <c r="L1225">
        <v>2739.1</v>
      </c>
    </row>
    <row r="1226" spans="1:12" x14ac:dyDescent="0.3">
      <c r="A1226">
        <v>21</v>
      </c>
      <c r="B1226">
        <v>23</v>
      </c>
      <c r="C1226">
        <v>0</v>
      </c>
      <c r="D1226">
        <v>12</v>
      </c>
      <c r="E1226">
        <v>1</v>
      </c>
      <c r="F1226">
        <v>0</v>
      </c>
      <c r="G1226">
        <v>1</v>
      </c>
      <c r="H1226" t="s">
        <v>16</v>
      </c>
      <c r="I1226" t="s">
        <v>131</v>
      </c>
      <c r="J1226">
        <v>463</v>
      </c>
      <c r="K1226" s="3">
        <v>8.9</v>
      </c>
      <c r="L1226">
        <v>4120.7</v>
      </c>
    </row>
    <row r="1227" spans="1:12" x14ac:dyDescent="0.3">
      <c r="A1227">
        <v>9</v>
      </c>
      <c r="B1227">
        <v>20</v>
      </c>
      <c r="C1227">
        <v>3</v>
      </c>
      <c r="D1227">
        <v>8</v>
      </c>
      <c r="E1227">
        <v>1</v>
      </c>
      <c r="F1227">
        <v>0</v>
      </c>
      <c r="G1227">
        <v>12</v>
      </c>
      <c r="H1227" t="s">
        <v>18</v>
      </c>
      <c r="I1227" t="s">
        <v>72</v>
      </c>
      <c r="J1227">
        <v>418</v>
      </c>
      <c r="K1227" s="3">
        <v>7.7</v>
      </c>
      <c r="L1227">
        <v>3218.6</v>
      </c>
    </row>
    <row r="1228" spans="1:12" x14ac:dyDescent="0.3">
      <c r="A1228">
        <v>7</v>
      </c>
      <c r="B1228">
        <v>21</v>
      </c>
      <c r="C1228">
        <v>3</v>
      </c>
      <c r="D1228">
        <v>11</v>
      </c>
      <c r="E1228">
        <v>1</v>
      </c>
      <c r="F1228">
        <v>0</v>
      </c>
      <c r="G1228">
        <v>10</v>
      </c>
      <c r="H1228" t="s">
        <v>25</v>
      </c>
      <c r="I1228" t="s">
        <v>105</v>
      </c>
      <c r="J1228">
        <v>584</v>
      </c>
      <c r="K1228" s="3">
        <v>8.1</v>
      </c>
      <c r="L1228">
        <v>4730.3999999999996</v>
      </c>
    </row>
    <row r="1229" spans="1:12" x14ac:dyDescent="0.3">
      <c r="A1229">
        <v>7</v>
      </c>
      <c r="B1229">
        <v>19</v>
      </c>
      <c r="C1229">
        <v>0</v>
      </c>
      <c r="D1229">
        <v>21</v>
      </c>
      <c r="E1229">
        <v>1</v>
      </c>
      <c r="F1229">
        <v>0</v>
      </c>
      <c r="G1229">
        <v>2</v>
      </c>
      <c r="H1229" t="s">
        <v>369</v>
      </c>
      <c r="I1229" t="s">
        <v>77</v>
      </c>
      <c r="J1229">
        <v>398</v>
      </c>
      <c r="K1229" s="3">
        <v>9.1</v>
      </c>
      <c r="L1229">
        <v>3621.7999999999902</v>
      </c>
    </row>
    <row r="1230" spans="1:12" x14ac:dyDescent="0.3">
      <c r="A1230">
        <v>12</v>
      </c>
      <c r="B1230">
        <v>22</v>
      </c>
      <c r="C1230">
        <v>0</v>
      </c>
      <c r="D1230">
        <v>21</v>
      </c>
      <c r="E1230">
        <v>1</v>
      </c>
      <c r="F1230">
        <v>0</v>
      </c>
      <c r="G1230">
        <v>5</v>
      </c>
      <c r="H1230" t="s">
        <v>12</v>
      </c>
      <c r="I1230" t="s">
        <v>96</v>
      </c>
      <c r="J1230">
        <v>536</v>
      </c>
      <c r="K1230" s="3">
        <v>8.1</v>
      </c>
      <c r="L1230">
        <v>0</v>
      </c>
    </row>
    <row r="1231" spans="1:12" x14ac:dyDescent="0.3">
      <c r="A1231">
        <v>5</v>
      </c>
      <c r="B1231">
        <v>0</v>
      </c>
      <c r="C1231">
        <v>0</v>
      </c>
      <c r="D1231">
        <v>15</v>
      </c>
      <c r="E1231">
        <v>1</v>
      </c>
      <c r="F1231">
        <v>0</v>
      </c>
      <c r="G1231">
        <v>11</v>
      </c>
      <c r="H1231" t="s">
        <v>36</v>
      </c>
      <c r="I1231" t="s">
        <v>106</v>
      </c>
      <c r="J1231">
        <v>395</v>
      </c>
      <c r="K1231" s="3">
        <v>8.8000000000000007</v>
      </c>
      <c r="L1231">
        <v>3476</v>
      </c>
    </row>
    <row r="1232" spans="1:12" x14ac:dyDescent="0.3">
      <c r="A1232">
        <v>5</v>
      </c>
      <c r="B1232">
        <v>23</v>
      </c>
      <c r="C1232">
        <v>3</v>
      </c>
      <c r="D1232">
        <v>22</v>
      </c>
      <c r="E1232">
        <v>1</v>
      </c>
      <c r="F1232">
        <v>0</v>
      </c>
      <c r="G1232">
        <v>0</v>
      </c>
      <c r="H1232" t="s">
        <v>38</v>
      </c>
      <c r="I1232" t="s">
        <v>118</v>
      </c>
      <c r="J1232">
        <v>522</v>
      </c>
      <c r="K1232">
        <v>7.4</v>
      </c>
      <c r="L1232">
        <v>3862.8</v>
      </c>
    </row>
    <row r="1233" spans="1:12" x14ac:dyDescent="0.3">
      <c r="A1233">
        <v>14</v>
      </c>
      <c r="B1233">
        <v>23</v>
      </c>
      <c r="C1233">
        <v>1</v>
      </c>
      <c r="D1233">
        <v>13</v>
      </c>
      <c r="E1233">
        <v>1</v>
      </c>
      <c r="F1233">
        <v>0</v>
      </c>
      <c r="G1233">
        <v>8</v>
      </c>
      <c r="H1233" t="s">
        <v>23</v>
      </c>
      <c r="I1233" t="s">
        <v>104</v>
      </c>
      <c r="J1233">
        <v>456</v>
      </c>
      <c r="K1233" s="3">
        <v>8.4</v>
      </c>
      <c r="L1233">
        <v>3830.4</v>
      </c>
    </row>
    <row r="1234" spans="1:12" x14ac:dyDescent="0.3">
      <c r="A1234">
        <v>10</v>
      </c>
      <c r="B1234">
        <v>22</v>
      </c>
      <c r="C1234">
        <v>0</v>
      </c>
      <c r="D1234">
        <v>17</v>
      </c>
      <c r="E1234">
        <v>1</v>
      </c>
      <c r="F1234">
        <v>0</v>
      </c>
      <c r="G1234">
        <v>11</v>
      </c>
      <c r="H1234" t="s">
        <v>24</v>
      </c>
      <c r="I1234" t="s">
        <v>72</v>
      </c>
      <c r="J1234">
        <v>465</v>
      </c>
      <c r="K1234" s="3">
        <v>7.9</v>
      </c>
      <c r="L1234">
        <v>3673.5</v>
      </c>
    </row>
    <row r="1235" spans="1:12" x14ac:dyDescent="0.3">
      <c r="A1235">
        <v>21</v>
      </c>
      <c r="B1235">
        <v>23</v>
      </c>
      <c r="C1235">
        <v>3</v>
      </c>
      <c r="D1235">
        <v>12</v>
      </c>
      <c r="E1235">
        <v>1</v>
      </c>
      <c r="F1235">
        <v>0</v>
      </c>
      <c r="G1235">
        <v>0</v>
      </c>
      <c r="H1235" t="s">
        <v>35</v>
      </c>
      <c r="I1235" t="s">
        <v>92</v>
      </c>
      <c r="J1235">
        <v>683</v>
      </c>
      <c r="K1235" s="3">
        <v>8.1999999999999993</v>
      </c>
      <c r="L1235">
        <v>5600.5999999999904</v>
      </c>
    </row>
    <row r="1236" spans="1:12" x14ac:dyDescent="0.3">
      <c r="A1236">
        <v>7</v>
      </c>
      <c r="B1236">
        <v>17</v>
      </c>
      <c r="C1236">
        <v>2</v>
      </c>
      <c r="D1236">
        <v>10</v>
      </c>
      <c r="E1236">
        <v>1</v>
      </c>
      <c r="F1236">
        <v>0</v>
      </c>
      <c r="G1236">
        <v>7</v>
      </c>
      <c r="H1236" t="s">
        <v>58</v>
      </c>
      <c r="I1236" t="s">
        <v>368</v>
      </c>
      <c r="J1236">
        <v>370</v>
      </c>
      <c r="K1236" s="3" t="s">
        <v>143</v>
      </c>
      <c r="L1236">
        <v>3108</v>
      </c>
    </row>
    <row r="1237" spans="1:12" x14ac:dyDescent="0.3">
      <c r="A1237">
        <v>0</v>
      </c>
      <c r="B1237">
        <v>22</v>
      </c>
      <c r="C1237">
        <v>2</v>
      </c>
      <c r="D1237">
        <v>6</v>
      </c>
      <c r="E1237">
        <v>12</v>
      </c>
      <c r="F1237">
        <v>0</v>
      </c>
      <c r="G1237">
        <v>3</v>
      </c>
      <c r="H1237" t="s">
        <v>27</v>
      </c>
      <c r="I1237" t="s">
        <v>81</v>
      </c>
      <c r="J1237">
        <v>696</v>
      </c>
      <c r="K1237" s="3">
        <v>8.4</v>
      </c>
      <c r="L1237">
        <v>5846.4</v>
      </c>
    </row>
    <row r="1238" spans="1:12" x14ac:dyDescent="0.3">
      <c r="A1238">
        <v>0</v>
      </c>
      <c r="B1238">
        <v>0</v>
      </c>
      <c r="C1238">
        <v>3</v>
      </c>
      <c r="D1238">
        <v>11</v>
      </c>
      <c r="E1238">
        <v>1</v>
      </c>
      <c r="F1238">
        <v>0</v>
      </c>
      <c r="G1238">
        <v>5</v>
      </c>
      <c r="H1238" t="s">
        <v>35</v>
      </c>
      <c r="I1238" t="s">
        <v>96</v>
      </c>
      <c r="J1238">
        <v>483</v>
      </c>
      <c r="K1238" s="3">
        <v>8.1999999999999993</v>
      </c>
      <c r="L1238">
        <v>3960.5999999999899</v>
      </c>
    </row>
    <row r="1239" spans="1:12" x14ac:dyDescent="0.3">
      <c r="A1239">
        <v>11</v>
      </c>
      <c r="B1239">
        <v>23</v>
      </c>
      <c r="C1239">
        <v>1</v>
      </c>
      <c r="D1239">
        <v>21</v>
      </c>
      <c r="E1239">
        <v>1</v>
      </c>
      <c r="F1239">
        <v>0</v>
      </c>
      <c r="G1239">
        <v>6</v>
      </c>
      <c r="H1239" t="s">
        <v>26</v>
      </c>
      <c r="I1239" t="s">
        <v>84</v>
      </c>
      <c r="J1239">
        <v>432</v>
      </c>
      <c r="K1239" s="3">
        <v>8.5</v>
      </c>
      <c r="L1239">
        <v>3672</v>
      </c>
    </row>
    <row r="1240" spans="1:12" x14ac:dyDescent="0.3">
      <c r="A1240">
        <v>7</v>
      </c>
      <c r="B1240">
        <v>17</v>
      </c>
      <c r="C1240">
        <v>1</v>
      </c>
      <c r="D1240">
        <v>21</v>
      </c>
      <c r="E1240">
        <v>1</v>
      </c>
      <c r="F1240">
        <v>0</v>
      </c>
      <c r="G1240">
        <v>2</v>
      </c>
      <c r="H1240" t="s">
        <v>68</v>
      </c>
      <c r="I1240" t="s">
        <v>107</v>
      </c>
      <c r="J1240">
        <v>432</v>
      </c>
      <c r="K1240" s="3">
        <v>8.1</v>
      </c>
      <c r="L1240">
        <v>3499.2</v>
      </c>
    </row>
    <row r="1241" spans="1:12" x14ac:dyDescent="0.3">
      <c r="A1241">
        <v>0</v>
      </c>
      <c r="B1241">
        <v>0</v>
      </c>
      <c r="C1241">
        <v>2</v>
      </c>
      <c r="D1241">
        <v>8</v>
      </c>
      <c r="E1241">
        <v>1</v>
      </c>
      <c r="F1241">
        <v>0</v>
      </c>
      <c r="G1241">
        <v>2</v>
      </c>
      <c r="H1241" t="s">
        <v>22</v>
      </c>
      <c r="I1241" t="s">
        <v>84</v>
      </c>
      <c r="J1241">
        <v>362</v>
      </c>
      <c r="K1241" s="3">
        <v>7.8</v>
      </c>
      <c r="L1241">
        <v>2823.6</v>
      </c>
    </row>
    <row r="1242" spans="1:12" x14ac:dyDescent="0.3">
      <c r="A1242">
        <v>10</v>
      </c>
      <c r="B1242">
        <v>19</v>
      </c>
      <c r="C1242">
        <v>2</v>
      </c>
      <c r="D1242">
        <v>3</v>
      </c>
      <c r="E1242">
        <v>7</v>
      </c>
      <c r="F1242">
        <v>0</v>
      </c>
      <c r="G1242">
        <v>11</v>
      </c>
      <c r="H1242" t="s">
        <v>30</v>
      </c>
      <c r="I1242" t="s">
        <v>105</v>
      </c>
      <c r="J1242">
        <v>326</v>
      </c>
      <c r="K1242" s="3">
        <v>9.1999999999999993</v>
      </c>
      <c r="L1242">
        <v>2999.2</v>
      </c>
    </row>
    <row r="1243" spans="1:12" x14ac:dyDescent="0.3">
      <c r="A1243">
        <v>13</v>
      </c>
      <c r="B1243">
        <v>22</v>
      </c>
      <c r="C1243">
        <v>3</v>
      </c>
      <c r="D1243">
        <v>0</v>
      </c>
      <c r="E1243">
        <v>1</v>
      </c>
      <c r="F1243">
        <v>0</v>
      </c>
      <c r="G1243">
        <v>11</v>
      </c>
      <c r="H1243" t="s">
        <v>20</v>
      </c>
      <c r="I1243" t="s">
        <v>78</v>
      </c>
      <c r="J1243">
        <v>490</v>
      </c>
      <c r="K1243" s="3">
        <v>9.1</v>
      </c>
      <c r="L1243">
        <v>4459</v>
      </c>
    </row>
    <row r="1244" spans="1:12" x14ac:dyDescent="0.3">
      <c r="A1244">
        <v>22</v>
      </c>
      <c r="B1244">
        <v>22</v>
      </c>
      <c r="C1244">
        <v>0</v>
      </c>
      <c r="D1244">
        <v>15</v>
      </c>
      <c r="E1244">
        <v>1</v>
      </c>
      <c r="F1244">
        <v>0</v>
      </c>
      <c r="G1244">
        <v>8</v>
      </c>
      <c r="H1244" t="s">
        <v>40</v>
      </c>
      <c r="I1244" t="s">
        <v>368</v>
      </c>
      <c r="J1244">
        <v>444</v>
      </c>
      <c r="K1244" s="3">
        <v>7.4</v>
      </c>
      <c r="L1244">
        <v>3285.6</v>
      </c>
    </row>
    <row r="1245" spans="1:12" x14ac:dyDescent="0.3">
      <c r="A1245">
        <v>10</v>
      </c>
      <c r="B1245">
        <v>17</v>
      </c>
      <c r="C1245">
        <v>3</v>
      </c>
      <c r="D1245">
        <v>20</v>
      </c>
      <c r="E1245">
        <v>1</v>
      </c>
      <c r="F1245">
        <v>0</v>
      </c>
      <c r="G1245">
        <v>8</v>
      </c>
      <c r="H1245" t="s">
        <v>26</v>
      </c>
      <c r="I1245" t="s">
        <v>106</v>
      </c>
      <c r="J1245">
        <v>424</v>
      </c>
      <c r="K1245" s="3">
        <v>8.5</v>
      </c>
      <c r="L1245">
        <v>3604</v>
      </c>
    </row>
    <row r="1246" spans="1:12" x14ac:dyDescent="0.3">
      <c r="A1246">
        <v>18</v>
      </c>
      <c r="B1246">
        <v>23</v>
      </c>
      <c r="C1246">
        <v>2</v>
      </c>
      <c r="D1246">
        <v>13</v>
      </c>
      <c r="E1246">
        <v>12</v>
      </c>
      <c r="F1246">
        <v>0</v>
      </c>
      <c r="G1246">
        <v>3</v>
      </c>
      <c r="H1246" t="s">
        <v>64</v>
      </c>
      <c r="I1246" t="s">
        <v>80</v>
      </c>
      <c r="J1246">
        <v>704</v>
      </c>
      <c r="K1246" s="3">
        <v>8.1999999999999993</v>
      </c>
      <c r="L1246">
        <v>5772.7999999999902</v>
      </c>
    </row>
    <row r="1247" spans="1:12" x14ac:dyDescent="0.3">
      <c r="A1247">
        <v>10</v>
      </c>
      <c r="B1247">
        <v>23</v>
      </c>
      <c r="C1247">
        <v>0</v>
      </c>
      <c r="D1247">
        <v>18</v>
      </c>
      <c r="E1247">
        <v>7</v>
      </c>
      <c r="F1247">
        <v>0</v>
      </c>
      <c r="G1247">
        <v>1</v>
      </c>
      <c r="H1247" t="s">
        <v>32</v>
      </c>
      <c r="I1247" t="s">
        <v>85</v>
      </c>
      <c r="J1247">
        <v>578</v>
      </c>
      <c r="K1247">
        <v>7.6</v>
      </c>
      <c r="L1247">
        <v>4392.8</v>
      </c>
    </row>
    <row r="1248" spans="1:12" x14ac:dyDescent="0.3">
      <c r="A1248">
        <v>11</v>
      </c>
      <c r="B1248">
        <v>23</v>
      </c>
      <c r="C1248">
        <v>0</v>
      </c>
      <c r="D1248">
        <v>22</v>
      </c>
      <c r="E1248">
        <v>1</v>
      </c>
      <c r="F1248">
        <v>0</v>
      </c>
      <c r="G1248">
        <v>4</v>
      </c>
      <c r="H1248" t="s">
        <v>35</v>
      </c>
      <c r="I1248" t="s">
        <v>105</v>
      </c>
      <c r="J1248">
        <v>440</v>
      </c>
      <c r="K1248">
        <v>8.1999999999999993</v>
      </c>
      <c r="L1248">
        <v>3607.99999999999</v>
      </c>
    </row>
    <row r="1249" spans="1:12" x14ac:dyDescent="0.3">
      <c r="A1249">
        <v>6</v>
      </c>
      <c r="B1249">
        <v>22</v>
      </c>
      <c r="C1249">
        <v>0</v>
      </c>
      <c r="D1249">
        <v>11</v>
      </c>
      <c r="E1249">
        <v>1</v>
      </c>
      <c r="F1249">
        <v>0</v>
      </c>
      <c r="G1249">
        <v>8</v>
      </c>
      <c r="H1249" t="s">
        <v>22</v>
      </c>
      <c r="I1249" t="s">
        <v>73</v>
      </c>
      <c r="J1249">
        <v>434</v>
      </c>
      <c r="K1249" s="3">
        <v>7.8</v>
      </c>
      <c r="L1249">
        <v>3385.2</v>
      </c>
    </row>
    <row r="1250" spans="1:12" x14ac:dyDescent="0.3">
      <c r="A1250">
        <v>13</v>
      </c>
      <c r="B1250">
        <v>23</v>
      </c>
      <c r="C1250">
        <v>2</v>
      </c>
      <c r="D1250">
        <v>9</v>
      </c>
      <c r="E1250">
        <v>1</v>
      </c>
      <c r="F1250">
        <v>0</v>
      </c>
      <c r="G1250">
        <v>4</v>
      </c>
      <c r="H1250" t="s">
        <v>16</v>
      </c>
      <c r="I1250" t="s">
        <v>70</v>
      </c>
      <c r="J1250">
        <v>395</v>
      </c>
      <c r="K1250" s="3">
        <v>8.9</v>
      </c>
      <c r="L1250">
        <v>3515.5</v>
      </c>
    </row>
    <row r="1251" spans="1:12" x14ac:dyDescent="0.3">
      <c r="A1251">
        <v>11</v>
      </c>
      <c r="B1251">
        <v>23</v>
      </c>
      <c r="C1251">
        <v>3</v>
      </c>
      <c r="D1251">
        <v>21</v>
      </c>
      <c r="E1251">
        <v>1</v>
      </c>
      <c r="F1251">
        <v>0</v>
      </c>
      <c r="G1251">
        <v>10</v>
      </c>
      <c r="H1251" t="s">
        <v>20</v>
      </c>
      <c r="I1251" t="s">
        <v>104</v>
      </c>
      <c r="J1251">
        <v>573</v>
      </c>
      <c r="K1251" s="3">
        <v>9.1</v>
      </c>
      <c r="L1251">
        <v>5214.3</v>
      </c>
    </row>
    <row r="1252" spans="1:12" x14ac:dyDescent="0.3">
      <c r="A1252">
        <v>12</v>
      </c>
      <c r="B1252">
        <v>22</v>
      </c>
      <c r="C1252">
        <v>0</v>
      </c>
      <c r="D1252">
        <v>13</v>
      </c>
      <c r="E1252">
        <v>1</v>
      </c>
      <c r="F1252">
        <v>0</v>
      </c>
      <c r="G1252">
        <v>1</v>
      </c>
      <c r="H1252" t="s">
        <v>22</v>
      </c>
      <c r="I1252" t="s">
        <v>107</v>
      </c>
      <c r="J1252">
        <v>0</v>
      </c>
      <c r="K1252">
        <v>7.8</v>
      </c>
      <c r="L1252">
        <v>0</v>
      </c>
    </row>
    <row r="1253" spans="1:12" x14ac:dyDescent="0.3">
      <c r="A1253">
        <v>14</v>
      </c>
      <c r="B1253">
        <v>23</v>
      </c>
      <c r="C1253">
        <v>3</v>
      </c>
      <c r="D1253">
        <v>16</v>
      </c>
      <c r="E1253">
        <v>0</v>
      </c>
      <c r="F1253">
        <v>0</v>
      </c>
      <c r="G1253">
        <v>2</v>
      </c>
      <c r="H1253" t="s">
        <v>21</v>
      </c>
      <c r="I1253" t="s">
        <v>368</v>
      </c>
      <c r="J1253">
        <v>534</v>
      </c>
      <c r="K1253" s="3">
        <v>8.6999999999999993</v>
      </c>
      <c r="L1253">
        <v>4645.7999999999902</v>
      </c>
    </row>
    <row r="1254" spans="1:12" x14ac:dyDescent="0.3">
      <c r="A1254">
        <v>14</v>
      </c>
      <c r="B1254">
        <v>23</v>
      </c>
      <c r="C1254">
        <v>2</v>
      </c>
      <c r="D1254">
        <v>9</v>
      </c>
      <c r="E1254">
        <v>12</v>
      </c>
      <c r="F1254">
        <v>0</v>
      </c>
      <c r="G1254">
        <v>8</v>
      </c>
      <c r="H1254" t="s">
        <v>30</v>
      </c>
      <c r="I1254" t="s">
        <v>97</v>
      </c>
      <c r="J1254">
        <v>750</v>
      </c>
      <c r="K1254" s="3">
        <v>9.1999999999999993</v>
      </c>
      <c r="L1254">
        <v>6899.99999999999</v>
      </c>
    </row>
    <row r="1255" spans="1:12" x14ac:dyDescent="0.3">
      <c r="A1255">
        <v>22</v>
      </c>
      <c r="B1255">
        <v>22</v>
      </c>
      <c r="C1255">
        <v>0</v>
      </c>
      <c r="D1255">
        <v>8</v>
      </c>
      <c r="E1255">
        <v>1</v>
      </c>
      <c r="F1255">
        <v>0</v>
      </c>
      <c r="G1255">
        <v>0</v>
      </c>
      <c r="H1255" t="s">
        <v>20</v>
      </c>
      <c r="I1255" t="s">
        <v>78</v>
      </c>
      <c r="J1255">
        <v>494</v>
      </c>
      <c r="K1255" s="3">
        <v>9.1</v>
      </c>
      <c r="L1255">
        <v>4495.3999999999996</v>
      </c>
    </row>
    <row r="1256" spans="1:12" x14ac:dyDescent="0.3">
      <c r="A1256">
        <v>15</v>
      </c>
      <c r="B1256">
        <v>23</v>
      </c>
      <c r="C1256">
        <v>2</v>
      </c>
      <c r="D1256">
        <v>6</v>
      </c>
      <c r="E1256">
        <v>1</v>
      </c>
      <c r="F1256">
        <v>0</v>
      </c>
      <c r="G1256">
        <v>5</v>
      </c>
      <c r="H1256" t="s">
        <v>30</v>
      </c>
      <c r="I1256" t="s">
        <v>75</v>
      </c>
      <c r="J1256">
        <v>506</v>
      </c>
      <c r="K1256" s="3">
        <v>9.1999999999999993</v>
      </c>
      <c r="L1256">
        <v>4655.2</v>
      </c>
    </row>
    <row r="1257" spans="1:12" x14ac:dyDescent="0.3">
      <c r="A1257">
        <v>23</v>
      </c>
      <c r="B1257">
        <v>23</v>
      </c>
      <c r="C1257">
        <v>1</v>
      </c>
      <c r="D1257">
        <v>20</v>
      </c>
      <c r="E1257">
        <v>1</v>
      </c>
      <c r="F1257">
        <v>0</v>
      </c>
      <c r="G1257">
        <v>2</v>
      </c>
      <c r="H1257" t="s">
        <v>30</v>
      </c>
      <c r="I1257" t="s">
        <v>78</v>
      </c>
      <c r="J1257">
        <v>590</v>
      </c>
      <c r="K1257" s="3">
        <v>9.1999999999999993</v>
      </c>
      <c r="L1257">
        <v>5428</v>
      </c>
    </row>
    <row r="1258" spans="1:12" x14ac:dyDescent="0.3">
      <c r="A1258">
        <v>6</v>
      </c>
      <c r="B1258">
        <v>21</v>
      </c>
      <c r="C1258">
        <v>2</v>
      </c>
      <c r="D1258">
        <v>3</v>
      </c>
      <c r="E1258">
        <v>7</v>
      </c>
      <c r="F1258">
        <v>0</v>
      </c>
      <c r="G1258">
        <v>5</v>
      </c>
      <c r="H1258" t="s">
        <v>24</v>
      </c>
      <c r="I1258" t="s">
        <v>104</v>
      </c>
      <c r="J1258">
        <v>398</v>
      </c>
      <c r="K1258" s="3">
        <v>7.9</v>
      </c>
      <c r="L1258">
        <v>3144.2</v>
      </c>
    </row>
    <row r="1259" spans="1:12" x14ac:dyDescent="0.3">
      <c r="A1259">
        <v>22</v>
      </c>
      <c r="B1259">
        <v>23</v>
      </c>
      <c r="C1259">
        <v>3</v>
      </c>
      <c r="D1259">
        <v>8</v>
      </c>
      <c r="E1259">
        <v>1</v>
      </c>
      <c r="F1259">
        <v>0</v>
      </c>
      <c r="G1259">
        <v>6</v>
      </c>
      <c r="H1259" t="s">
        <v>22</v>
      </c>
      <c r="I1259" t="s">
        <v>78</v>
      </c>
      <c r="J1259">
        <v>433</v>
      </c>
      <c r="K1259" s="3">
        <v>7.8</v>
      </c>
      <c r="L1259">
        <v>3377.4</v>
      </c>
    </row>
    <row r="1260" spans="1:12" x14ac:dyDescent="0.3">
      <c r="A1260">
        <v>22</v>
      </c>
      <c r="B1260">
        <v>23</v>
      </c>
      <c r="C1260">
        <v>2</v>
      </c>
      <c r="D1260">
        <v>15</v>
      </c>
      <c r="E1260">
        <v>1</v>
      </c>
      <c r="F1260">
        <v>0</v>
      </c>
      <c r="G1260">
        <v>3</v>
      </c>
      <c r="H1260" t="s">
        <v>24</v>
      </c>
      <c r="I1260" t="s">
        <v>95</v>
      </c>
      <c r="J1260">
        <v>595</v>
      </c>
      <c r="K1260" s="3">
        <v>7.9</v>
      </c>
      <c r="L1260">
        <v>4700.5</v>
      </c>
    </row>
    <row r="1261" spans="1:12" x14ac:dyDescent="0.3">
      <c r="A1261">
        <v>15</v>
      </c>
      <c r="B1261">
        <v>22</v>
      </c>
      <c r="C1261">
        <v>3</v>
      </c>
      <c r="D1261">
        <v>0</v>
      </c>
      <c r="E1261">
        <v>1</v>
      </c>
      <c r="F1261">
        <v>0</v>
      </c>
      <c r="G1261">
        <v>11</v>
      </c>
      <c r="H1261" t="s">
        <v>18</v>
      </c>
      <c r="I1261" t="s">
        <v>73</v>
      </c>
      <c r="J1261">
        <v>553</v>
      </c>
      <c r="K1261" s="3">
        <v>7.7</v>
      </c>
      <c r="L1261">
        <v>4258.1000000000004</v>
      </c>
    </row>
    <row r="1262" spans="1:12" x14ac:dyDescent="0.3">
      <c r="A1262">
        <v>13</v>
      </c>
      <c r="B1262">
        <v>0</v>
      </c>
      <c r="C1262">
        <v>0</v>
      </c>
      <c r="D1262">
        <v>4</v>
      </c>
      <c r="E1262">
        <v>1</v>
      </c>
      <c r="F1262">
        <v>0</v>
      </c>
      <c r="G1262">
        <v>8</v>
      </c>
      <c r="H1262" t="s">
        <v>32</v>
      </c>
      <c r="I1262" t="s">
        <v>368</v>
      </c>
      <c r="J1262">
        <v>527</v>
      </c>
      <c r="K1262" s="3">
        <v>7.6</v>
      </c>
      <c r="L1262">
        <v>4005.2</v>
      </c>
    </row>
    <row r="1263" spans="1:12" x14ac:dyDescent="0.3">
      <c r="A1263">
        <v>23</v>
      </c>
      <c r="B1263">
        <v>22</v>
      </c>
      <c r="C1263">
        <v>3</v>
      </c>
      <c r="D1263">
        <v>14</v>
      </c>
      <c r="E1263">
        <v>1</v>
      </c>
      <c r="F1263">
        <v>0</v>
      </c>
      <c r="G1263">
        <v>11</v>
      </c>
      <c r="H1263" t="s">
        <v>51</v>
      </c>
      <c r="I1263" t="s">
        <v>74</v>
      </c>
      <c r="J1263">
        <v>567</v>
      </c>
      <c r="K1263" s="3">
        <v>8.8000000000000007</v>
      </c>
      <c r="L1263">
        <v>4989.6000000000004</v>
      </c>
    </row>
    <row r="1264" spans="1:12" x14ac:dyDescent="0.3">
      <c r="A1264">
        <v>14</v>
      </c>
      <c r="B1264">
        <v>23</v>
      </c>
      <c r="C1264">
        <v>2</v>
      </c>
      <c r="D1264">
        <v>10</v>
      </c>
      <c r="E1264">
        <v>1</v>
      </c>
      <c r="F1264">
        <v>0</v>
      </c>
      <c r="G1264">
        <v>8</v>
      </c>
      <c r="H1264" t="s">
        <v>36</v>
      </c>
      <c r="I1264" t="s">
        <v>87</v>
      </c>
      <c r="J1264">
        <v>432</v>
      </c>
      <c r="K1264" s="3">
        <v>8.8000000000000007</v>
      </c>
      <c r="L1264">
        <v>3801.6</v>
      </c>
    </row>
    <row r="1265" spans="1:12" x14ac:dyDescent="0.3">
      <c r="A1265">
        <v>8</v>
      </c>
      <c r="B1265">
        <v>23</v>
      </c>
      <c r="C1265">
        <v>2</v>
      </c>
      <c r="D1265">
        <v>5</v>
      </c>
      <c r="E1265">
        <v>1</v>
      </c>
      <c r="F1265">
        <v>0</v>
      </c>
      <c r="G1265">
        <v>9</v>
      </c>
      <c r="H1265" t="s">
        <v>20</v>
      </c>
      <c r="I1265" t="s">
        <v>94</v>
      </c>
      <c r="J1265">
        <v>479</v>
      </c>
      <c r="K1265" s="3">
        <v>9.1</v>
      </c>
      <c r="L1265">
        <v>4358.8999999999996</v>
      </c>
    </row>
    <row r="1266" spans="1:12" x14ac:dyDescent="0.3">
      <c r="A1266">
        <v>13</v>
      </c>
      <c r="B1266">
        <v>23</v>
      </c>
      <c r="C1266">
        <v>2</v>
      </c>
      <c r="D1266">
        <v>8</v>
      </c>
      <c r="E1266">
        <v>1</v>
      </c>
      <c r="F1266">
        <v>0</v>
      </c>
      <c r="G1266">
        <v>10</v>
      </c>
      <c r="H1266" t="s">
        <v>21</v>
      </c>
      <c r="I1266" t="s">
        <v>73</v>
      </c>
      <c r="J1266">
        <v>633</v>
      </c>
      <c r="K1266" s="3">
        <v>0</v>
      </c>
      <c r="L1266">
        <v>5507.0999999999904</v>
      </c>
    </row>
    <row r="1267" spans="1:12" x14ac:dyDescent="0.3">
      <c r="A1267">
        <v>8</v>
      </c>
      <c r="B1267">
        <v>0</v>
      </c>
      <c r="C1267">
        <v>0</v>
      </c>
      <c r="D1267">
        <v>13</v>
      </c>
      <c r="E1267">
        <v>1</v>
      </c>
      <c r="F1267">
        <v>0</v>
      </c>
      <c r="G1267">
        <v>9</v>
      </c>
      <c r="H1267" t="s">
        <v>38</v>
      </c>
      <c r="I1267" t="s">
        <v>76</v>
      </c>
      <c r="J1267">
        <v>495</v>
      </c>
      <c r="K1267" s="3">
        <v>7.4</v>
      </c>
      <c r="L1267">
        <v>3663</v>
      </c>
    </row>
    <row r="1268" spans="1:12" x14ac:dyDescent="0.3">
      <c r="A1268">
        <v>21</v>
      </c>
      <c r="B1268">
        <v>23</v>
      </c>
      <c r="C1268">
        <v>1</v>
      </c>
      <c r="D1268">
        <v>11</v>
      </c>
      <c r="E1268">
        <v>1</v>
      </c>
      <c r="F1268">
        <v>0</v>
      </c>
      <c r="G1268">
        <v>2</v>
      </c>
      <c r="H1268" t="s">
        <v>369</v>
      </c>
      <c r="I1268" t="s">
        <v>109</v>
      </c>
      <c r="J1268">
        <v>619</v>
      </c>
      <c r="K1268" s="3">
        <v>9.1</v>
      </c>
      <c r="L1268">
        <v>0</v>
      </c>
    </row>
    <row r="1269" spans="1:12" x14ac:dyDescent="0.3">
      <c r="A1269">
        <v>23</v>
      </c>
      <c r="B1269">
        <v>23</v>
      </c>
      <c r="C1269">
        <v>3</v>
      </c>
      <c r="D1269">
        <v>5</v>
      </c>
      <c r="E1269">
        <v>1</v>
      </c>
      <c r="F1269">
        <v>0</v>
      </c>
      <c r="G1269">
        <v>8</v>
      </c>
      <c r="H1269" t="s">
        <v>36</v>
      </c>
      <c r="I1269" t="s">
        <v>123</v>
      </c>
      <c r="J1269">
        <v>606</v>
      </c>
      <c r="K1269" s="3">
        <v>8.8000000000000007</v>
      </c>
      <c r="L1269">
        <v>5332.8</v>
      </c>
    </row>
    <row r="1270" spans="1:12" x14ac:dyDescent="0.3">
      <c r="A1270">
        <v>16</v>
      </c>
      <c r="B1270">
        <v>23</v>
      </c>
      <c r="C1270">
        <v>1</v>
      </c>
      <c r="D1270">
        <v>12</v>
      </c>
      <c r="E1270">
        <v>1</v>
      </c>
      <c r="F1270">
        <v>0</v>
      </c>
      <c r="G1270">
        <v>9</v>
      </c>
      <c r="H1270" t="s">
        <v>50</v>
      </c>
      <c r="I1270" t="s">
        <v>77</v>
      </c>
      <c r="J1270">
        <v>0</v>
      </c>
      <c r="K1270" s="3">
        <v>9.3000000000000007</v>
      </c>
      <c r="L1270">
        <v>4333.8</v>
      </c>
    </row>
    <row r="1271" spans="1:12" x14ac:dyDescent="0.3">
      <c r="A1271">
        <v>11</v>
      </c>
      <c r="B1271">
        <v>22</v>
      </c>
      <c r="C1271">
        <v>0</v>
      </c>
      <c r="D1271">
        <v>9</v>
      </c>
      <c r="E1271">
        <v>1</v>
      </c>
      <c r="F1271">
        <v>0</v>
      </c>
      <c r="G1271">
        <v>7</v>
      </c>
      <c r="H1271" t="s">
        <v>25</v>
      </c>
      <c r="I1271" t="s">
        <v>96</v>
      </c>
      <c r="J1271">
        <v>296</v>
      </c>
      <c r="K1271" s="3">
        <v>8.1</v>
      </c>
      <c r="L1271">
        <v>2397.6</v>
      </c>
    </row>
    <row r="1272" spans="1:12" x14ac:dyDescent="0.3">
      <c r="A1272">
        <v>5</v>
      </c>
      <c r="B1272">
        <v>21</v>
      </c>
      <c r="C1272">
        <v>2</v>
      </c>
      <c r="D1272">
        <v>15</v>
      </c>
      <c r="E1272">
        <v>1</v>
      </c>
      <c r="F1272">
        <v>0</v>
      </c>
      <c r="G1272">
        <v>7</v>
      </c>
      <c r="H1272" t="s">
        <v>32</v>
      </c>
      <c r="I1272" t="s">
        <v>77</v>
      </c>
      <c r="J1272">
        <v>363</v>
      </c>
      <c r="K1272" s="3">
        <v>7.6</v>
      </c>
      <c r="L1272">
        <v>2758.7999999999902</v>
      </c>
    </row>
    <row r="1273" spans="1:12" x14ac:dyDescent="0.3">
      <c r="A1273">
        <v>11</v>
      </c>
      <c r="B1273">
        <v>22</v>
      </c>
      <c r="C1273">
        <v>0</v>
      </c>
      <c r="D1273">
        <v>14</v>
      </c>
      <c r="E1273">
        <v>1</v>
      </c>
      <c r="F1273">
        <v>0</v>
      </c>
      <c r="G1273">
        <v>11</v>
      </c>
      <c r="H1273" t="s">
        <v>15</v>
      </c>
      <c r="I1273" t="s">
        <v>131</v>
      </c>
      <c r="J1273">
        <v>549</v>
      </c>
      <c r="K1273" s="3">
        <v>8.3000000000000007</v>
      </c>
      <c r="L1273">
        <v>4556.7</v>
      </c>
    </row>
    <row r="1274" spans="1:12" x14ac:dyDescent="0.3">
      <c r="A1274">
        <v>20</v>
      </c>
      <c r="B1274">
        <v>23</v>
      </c>
      <c r="C1274">
        <v>1</v>
      </c>
      <c r="D1274">
        <v>0</v>
      </c>
      <c r="E1274">
        <v>1</v>
      </c>
      <c r="F1274">
        <v>0</v>
      </c>
      <c r="G1274">
        <v>12</v>
      </c>
      <c r="H1274" t="s">
        <v>57</v>
      </c>
      <c r="I1274" t="s">
        <v>128</v>
      </c>
      <c r="J1274">
        <v>507</v>
      </c>
      <c r="K1274" s="3">
        <v>9.1999999999999993</v>
      </c>
      <c r="L1274">
        <v>4664.3999999999996</v>
      </c>
    </row>
    <row r="1275" spans="1:12" x14ac:dyDescent="0.3">
      <c r="A1275">
        <v>21</v>
      </c>
      <c r="B1275">
        <v>23</v>
      </c>
      <c r="C1275">
        <v>3</v>
      </c>
      <c r="D1275">
        <v>14</v>
      </c>
      <c r="E1275">
        <v>1</v>
      </c>
      <c r="F1275">
        <v>0</v>
      </c>
      <c r="G1275">
        <v>10</v>
      </c>
      <c r="H1275" t="s">
        <v>15</v>
      </c>
      <c r="I1275" t="s">
        <v>85</v>
      </c>
      <c r="J1275">
        <v>558</v>
      </c>
      <c r="K1275" s="3">
        <v>8.3000000000000007</v>
      </c>
      <c r="L1275">
        <v>4631.3999999999996</v>
      </c>
    </row>
    <row r="1276" spans="1:12" x14ac:dyDescent="0.3">
      <c r="A1276">
        <v>21</v>
      </c>
      <c r="B1276">
        <v>22</v>
      </c>
      <c r="C1276">
        <v>0</v>
      </c>
      <c r="D1276">
        <v>8</v>
      </c>
      <c r="E1276">
        <v>12</v>
      </c>
      <c r="F1276">
        <v>0</v>
      </c>
      <c r="G1276">
        <v>8</v>
      </c>
      <c r="H1276" t="s">
        <v>22</v>
      </c>
      <c r="I1276" t="s">
        <v>79</v>
      </c>
      <c r="J1276">
        <v>596</v>
      </c>
      <c r="K1276">
        <v>7.8</v>
      </c>
      <c r="L1276">
        <v>4648.8</v>
      </c>
    </row>
    <row r="1277" spans="1:12" x14ac:dyDescent="0.3">
      <c r="A1277">
        <v>16</v>
      </c>
      <c r="B1277">
        <v>23</v>
      </c>
      <c r="C1277">
        <v>0</v>
      </c>
      <c r="D1277">
        <v>13</v>
      </c>
      <c r="E1277">
        <v>12</v>
      </c>
      <c r="F1277">
        <v>0</v>
      </c>
      <c r="G1277">
        <v>10</v>
      </c>
      <c r="H1277" t="s">
        <v>22</v>
      </c>
      <c r="I1277" t="s">
        <v>72</v>
      </c>
      <c r="J1277">
        <v>678</v>
      </c>
      <c r="K1277" s="3">
        <v>7.8</v>
      </c>
      <c r="L1277">
        <v>5288.4</v>
      </c>
    </row>
    <row r="1278" spans="1:12" x14ac:dyDescent="0.3">
      <c r="A1278">
        <v>13</v>
      </c>
      <c r="B1278">
        <v>23</v>
      </c>
      <c r="C1278">
        <v>3</v>
      </c>
      <c r="D1278">
        <v>4</v>
      </c>
      <c r="E1278">
        <v>1</v>
      </c>
      <c r="F1278">
        <v>0</v>
      </c>
      <c r="G1278">
        <v>5</v>
      </c>
      <c r="H1278" t="s">
        <v>33</v>
      </c>
      <c r="I1278" t="s">
        <v>83</v>
      </c>
      <c r="J1278">
        <v>451</v>
      </c>
      <c r="K1278" s="3">
        <v>9.3000000000000007</v>
      </c>
      <c r="L1278">
        <v>4194.3</v>
      </c>
    </row>
    <row r="1279" spans="1:12" x14ac:dyDescent="0.3">
      <c r="A1279">
        <v>15</v>
      </c>
      <c r="B1279">
        <v>0</v>
      </c>
      <c r="C1279">
        <v>2</v>
      </c>
      <c r="D1279">
        <v>20</v>
      </c>
      <c r="E1279">
        <v>12</v>
      </c>
      <c r="F1279">
        <v>0</v>
      </c>
      <c r="G1279">
        <v>9</v>
      </c>
      <c r="H1279" t="s">
        <v>32</v>
      </c>
      <c r="I1279" t="s">
        <v>93</v>
      </c>
      <c r="J1279">
        <v>656</v>
      </c>
      <c r="K1279" s="3">
        <v>7.6</v>
      </c>
      <c r="L1279">
        <v>4985.5999999999904</v>
      </c>
    </row>
    <row r="1280" spans="1:12" x14ac:dyDescent="0.3">
      <c r="A1280">
        <v>14</v>
      </c>
      <c r="B1280">
        <v>23</v>
      </c>
      <c r="C1280">
        <v>0</v>
      </c>
      <c r="D1280">
        <v>15</v>
      </c>
      <c r="E1280">
        <v>1</v>
      </c>
      <c r="F1280">
        <v>0</v>
      </c>
      <c r="G1280">
        <v>3</v>
      </c>
      <c r="H1280" t="s">
        <v>22</v>
      </c>
      <c r="I1280" t="s">
        <v>74</v>
      </c>
      <c r="J1280" t="s">
        <v>143</v>
      </c>
      <c r="K1280" s="3">
        <v>7.8</v>
      </c>
      <c r="L1280">
        <v>3393</v>
      </c>
    </row>
    <row r="1281" spans="1:12" x14ac:dyDescent="0.3">
      <c r="A1281">
        <v>0</v>
      </c>
      <c r="B1281">
        <v>19</v>
      </c>
      <c r="C1281">
        <v>0</v>
      </c>
      <c r="D1281">
        <v>12</v>
      </c>
      <c r="E1281">
        <v>1</v>
      </c>
      <c r="F1281">
        <v>0</v>
      </c>
      <c r="G1281">
        <v>9</v>
      </c>
      <c r="H1281" t="s">
        <v>21</v>
      </c>
      <c r="I1281" t="s">
        <v>85</v>
      </c>
      <c r="J1281">
        <v>507</v>
      </c>
      <c r="K1281" s="3">
        <v>8.6999999999999993</v>
      </c>
      <c r="L1281">
        <v>4410.8999999999996</v>
      </c>
    </row>
    <row r="1282" spans="1:12" x14ac:dyDescent="0.3">
      <c r="A1282">
        <v>23</v>
      </c>
      <c r="B1282">
        <v>22</v>
      </c>
      <c r="C1282">
        <v>2</v>
      </c>
      <c r="D1282">
        <v>8</v>
      </c>
      <c r="E1282">
        <v>1</v>
      </c>
      <c r="F1282">
        <v>0</v>
      </c>
      <c r="G1282">
        <v>7</v>
      </c>
      <c r="H1282" t="s">
        <v>15</v>
      </c>
      <c r="I1282" t="s">
        <v>88</v>
      </c>
      <c r="J1282">
        <v>557</v>
      </c>
      <c r="K1282" s="3">
        <v>8.3000000000000007</v>
      </c>
      <c r="L1282">
        <v>4623.1000000000004</v>
      </c>
    </row>
    <row r="1283" spans="1:12" x14ac:dyDescent="0.3">
      <c r="A1283">
        <v>23</v>
      </c>
      <c r="B1283">
        <v>23</v>
      </c>
      <c r="C1283">
        <v>1</v>
      </c>
      <c r="D1283">
        <v>18</v>
      </c>
      <c r="E1283">
        <v>1</v>
      </c>
      <c r="F1283">
        <v>0</v>
      </c>
      <c r="G1283">
        <v>1</v>
      </c>
      <c r="H1283" t="s">
        <v>13</v>
      </c>
      <c r="I1283" t="s">
        <v>83</v>
      </c>
      <c r="J1283">
        <v>522</v>
      </c>
      <c r="K1283" s="3">
        <v>8.3000000000000007</v>
      </c>
      <c r="L1283">
        <v>4332.6000000000004</v>
      </c>
    </row>
    <row r="1284" spans="1:12" x14ac:dyDescent="0.3">
      <c r="A1284">
        <v>7</v>
      </c>
      <c r="B1284">
        <v>20</v>
      </c>
      <c r="C1284">
        <v>1</v>
      </c>
      <c r="D1284">
        <v>21</v>
      </c>
      <c r="E1284">
        <v>1</v>
      </c>
      <c r="F1284">
        <v>0</v>
      </c>
      <c r="G1284">
        <v>10</v>
      </c>
      <c r="H1284" t="s">
        <v>44</v>
      </c>
      <c r="I1284" t="s">
        <v>79</v>
      </c>
      <c r="J1284">
        <v>449</v>
      </c>
      <c r="K1284" s="3">
        <v>8.1999999999999993</v>
      </c>
      <c r="L1284">
        <v>3681.7999999999902</v>
      </c>
    </row>
    <row r="1285" spans="1:12" x14ac:dyDescent="0.3">
      <c r="A1285">
        <v>19</v>
      </c>
      <c r="B1285">
        <v>22</v>
      </c>
      <c r="C1285">
        <v>0</v>
      </c>
      <c r="D1285">
        <v>8</v>
      </c>
      <c r="E1285">
        <v>1</v>
      </c>
      <c r="F1285">
        <v>0</v>
      </c>
      <c r="G1285">
        <v>9</v>
      </c>
      <c r="H1285" t="s">
        <v>15</v>
      </c>
      <c r="I1285" t="s">
        <v>87</v>
      </c>
      <c r="J1285">
        <v>387</v>
      </c>
      <c r="K1285" s="3">
        <v>8.3000000000000007</v>
      </c>
      <c r="L1285">
        <v>3212.1</v>
      </c>
    </row>
    <row r="1286" spans="1:12" x14ac:dyDescent="0.3">
      <c r="A1286">
        <v>17</v>
      </c>
      <c r="B1286">
        <v>23</v>
      </c>
      <c r="C1286">
        <v>3</v>
      </c>
      <c r="D1286">
        <v>12</v>
      </c>
      <c r="E1286">
        <v>0</v>
      </c>
      <c r="F1286">
        <v>0</v>
      </c>
      <c r="G1286">
        <v>0</v>
      </c>
      <c r="H1286" t="s">
        <v>21</v>
      </c>
      <c r="I1286" t="s">
        <v>96</v>
      </c>
      <c r="J1286">
        <v>572</v>
      </c>
      <c r="K1286" s="3">
        <v>8.6999999999999993</v>
      </c>
      <c r="L1286">
        <v>4976.3999999999996</v>
      </c>
    </row>
    <row r="1287" spans="1:12" x14ac:dyDescent="0.3">
      <c r="A1287">
        <v>13</v>
      </c>
      <c r="B1287">
        <v>22</v>
      </c>
      <c r="C1287">
        <v>1</v>
      </c>
      <c r="D1287">
        <v>12</v>
      </c>
      <c r="E1287">
        <v>1</v>
      </c>
      <c r="F1287">
        <v>0</v>
      </c>
      <c r="G1287">
        <v>10</v>
      </c>
      <c r="H1287" t="s">
        <v>37</v>
      </c>
      <c r="I1287" t="s">
        <v>71</v>
      </c>
      <c r="J1287">
        <v>521</v>
      </c>
      <c r="K1287" s="3">
        <v>8.3000000000000007</v>
      </c>
      <c r="L1287">
        <v>4324.3</v>
      </c>
    </row>
    <row r="1288" spans="1:12" x14ac:dyDescent="0.3">
      <c r="A1288">
        <v>5</v>
      </c>
      <c r="B1288">
        <v>0</v>
      </c>
      <c r="C1288">
        <v>0</v>
      </c>
      <c r="D1288">
        <v>13</v>
      </c>
      <c r="E1288">
        <v>1</v>
      </c>
      <c r="F1288">
        <v>0</v>
      </c>
      <c r="G1288">
        <v>1</v>
      </c>
      <c r="H1288" t="s">
        <v>15</v>
      </c>
      <c r="I1288" t="s">
        <v>71</v>
      </c>
      <c r="J1288">
        <v>595</v>
      </c>
      <c r="K1288" s="3">
        <v>8.3000000000000007</v>
      </c>
      <c r="L1288">
        <v>4938.5</v>
      </c>
    </row>
    <row r="1289" spans="1:12" x14ac:dyDescent="0.3">
      <c r="A1289">
        <v>13</v>
      </c>
      <c r="B1289">
        <v>22</v>
      </c>
      <c r="C1289">
        <v>1</v>
      </c>
      <c r="D1289">
        <v>11</v>
      </c>
      <c r="E1289">
        <v>1</v>
      </c>
      <c r="F1289">
        <v>0</v>
      </c>
      <c r="G1289">
        <v>11</v>
      </c>
      <c r="H1289" t="s">
        <v>36</v>
      </c>
      <c r="I1289" t="s">
        <v>72</v>
      </c>
      <c r="J1289">
        <v>544</v>
      </c>
      <c r="K1289" s="3">
        <v>8.8000000000000007</v>
      </c>
      <c r="L1289">
        <v>4787.2</v>
      </c>
    </row>
    <row r="1290" spans="1:12" x14ac:dyDescent="0.3">
      <c r="A1290">
        <v>20</v>
      </c>
      <c r="B1290">
        <v>22</v>
      </c>
      <c r="C1290">
        <v>0</v>
      </c>
      <c r="D1290">
        <v>21</v>
      </c>
      <c r="E1290">
        <v>12</v>
      </c>
      <c r="F1290">
        <v>0</v>
      </c>
      <c r="G1290">
        <v>8</v>
      </c>
      <c r="H1290" t="s">
        <v>15</v>
      </c>
      <c r="I1290" t="s">
        <v>106</v>
      </c>
      <c r="J1290">
        <v>703</v>
      </c>
      <c r="K1290" s="3">
        <v>8.3000000000000007</v>
      </c>
      <c r="L1290">
        <v>5834.9</v>
      </c>
    </row>
    <row r="1291" spans="1:12" x14ac:dyDescent="0.3">
      <c r="A1291">
        <v>8</v>
      </c>
      <c r="B1291">
        <v>17</v>
      </c>
      <c r="C1291">
        <v>3</v>
      </c>
      <c r="D1291">
        <v>13</v>
      </c>
      <c r="E1291">
        <v>1</v>
      </c>
      <c r="F1291">
        <v>0</v>
      </c>
      <c r="G1291">
        <v>9</v>
      </c>
      <c r="H1291" t="s">
        <v>18</v>
      </c>
      <c r="I1291" t="s">
        <v>73</v>
      </c>
      <c r="J1291">
        <v>428</v>
      </c>
      <c r="K1291" s="3">
        <v>7.7</v>
      </c>
      <c r="L1291">
        <v>3295.6</v>
      </c>
    </row>
    <row r="1292" spans="1:12" x14ac:dyDescent="0.3">
      <c r="A1292">
        <v>12</v>
      </c>
      <c r="B1292">
        <v>23</v>
      </c>
      <c r="C1292">
        <v>1</v>
      </c>
      <c r="D1292">
        <v>7</v>
      </c>
      <c r="E1292">
        <v>1</v>
      </c>
      <c r="F1292">
        <v>0</v>
      </c>
      <c r="G1292">
        <v>7</v>
      </c>
      <c r="H1292" t="s">
        <v>369</v>
      </c>
      <c r="I1292" t="s">
        <v>368</v>
      </c>
      <c r="J1292">
        <v>534</v>
      </c>
      <c r="K1292" s="3">
        <v>9.3000000000000007</v>
      </c>
      <c r="L1292">
        <v>4966.2</v>
      </c>
    </row>
    <row r="1293" spans="1:12" x14ac:dyDescent="0.3">
      <c r="A1293">
        <v>23</v>
      </c>
      <c r="B1293">
        <v>22</v>
      </c>
      <c r="C1293">
        <v>0</v>
      </c>
      <c r="D1293">
        <v>9</v>
      </c>
      <c r="E1293">
        <v>1</v>
      </c>
      <c r="F1293">
        <v>0</v>
      </c>
      <c r="G1293">
        <v>11</v>
      </c>
      <c r="H1293" t="s">
        <v>35</v>
      </c>
      <c r="I1293" t="s">
        <v>81</v>
      </c>
      <c r="J1293">
        <v>458</v>
      </c>
      <c r="K1293" s="3">
        <v>8.1999999999999993</v>
      </c>
      <c r="L1293">
        <v>3755.5999999999899</v>
      </c>
    </row>
    <row r="1294" spans="1:12" x14ac:dyDescent="0.3">
      <c r="A1294">
        <v>15</v>
      </c>
      <c r="B1294">
        <v>23</v>
      </c>
      <c r="C1294">
        <v>1</v>
      </c>
      <c r="D1294">
        <v>12</v>
      </c>
      <c r="E1294">
        <v>1</v>
      </c>
      <c r="F1294">
        <v>0</v>
      </c>
      <c r="G1294">
        <v>8</v>
      </c>
      <c r="H1294" t="s">
        <v>15</v>
      </c>
      <c r="I1294" t="s">
        <v>85</v>
      </c>
      <c r="J1294">
        <v>606</v>
      </c>
      <c r="K1294" s="3">
        <v>8.3000000000000007</v>
      </c>
      <c r="L1294">
        <v>5029.8</v>
      </c>
    </row>
    <row r="1295" spans="1:12" x14ac:dyDescent="0.3">
      <c r="A1295">
        <v>6</v>
      </c>
      <c r="B1295">
        <v>22</v>
      </c>
      <c r="C1295">
        <v>0</v>
      </c>
      <c r="D1295">
        <v>9</v>
      </c>
      <c r="E1295">
        <v>0</v>
      </c>
      <c r="F1295">
        <v>0</v>
      </c>
      <c r="G1295">
        <v>7</v>
      </c>
      <c r="H1295" t="s">
        <v>15</v>
      </c>
      <c r="I1295" t="s">
        <v>79</v>
      </c>
      <c r="J1295">
        <v>437</v>
      </c>
      <c r="K1295" s="3">
        <v>8.3000000000000007</v>
      </c>
      <c r="L1295">
        <v>3627.1</v>
      </c>
    </row>
    <row r="1296" spans="1:12" x14ac:dyDescent="0.3">
      <c r="A1296">
        <v>9</v>
      </c>
      <c r="B1296">
        <v>23</v>
      </c>
      <c r="C1296">
        <v>3</v>
      </c>
      <c r="D1296">
        <v>14</v>
      </c>
      <c r="E1296">
        <v>1</v>
      </c>
      <c r="F1296">
        <v>0</v>
      </c>
      <c r="G1296">
        <v>6</v>
      </c>
      <c r="H1296" t="s">
        <v>18</v>
      </c>
      <c r="I1296" t="s">
        <v>81</v>
      </c>
      <c r="J1296">
        <v>616</v>
      </c>
      <c r="K1296" s="3">
        <v>7.7</v>
      </c>
      <c r="L1296">
        <v>4743.2</v>
      </c>
    </row>
    <row r="1297" spans="1:12" x14ac:dyDescent="0.3">
      <c r="A1297">
        <v>8</v>
      </c>
      <c r="B1297">
        <v>19</v>
      </c>
      <c r="C1297">
        <v>2</v>
      </c>
      <c r="D1297">
        <v>20</v>
      </c>
      <c r="E1297">
        <v>1</v>
      </c>
      <c r="F1297">
        <v>0</v>
      </c>
      <c r="G1297">
        <v>6</v>
      </c>
      <c r="H1297" t="s">
        <v>35</v>
      </c>
      <c r="I1297" t="s">
        <v>106</v>
      </c>
      <c r="J1297">
        <v>385</v>
      </c>
      <c r="K1297" s="3">
        <v>8.1999999999999993</v>
      </c>
      <c r="L1297">
        <v>3156.99999999999</v>
      </c>
    </row>
    <row r="1298" spans="1:12" x14ac:dyDescent="0.3">
      <c r="A1298">
        <v>8</v>
      </c>
      <c r="B1298">
        <v>19</v>
      </c>
      <c r="C1298">
        <v>2</v>
      </c>
      <c r="D1298">
        <v>5</v>
      </c>
      <c r="E1298">
        <v>7</v>
      </c>
      <c r="F1298">
        <v>0</v>
      </c>
      <c r="G1298">
        <v>1</v>
      </c>
      <c r="H1298" t="s">
        <v>21</v>
      </c>
      <c r="I1298" t="s">
        <v>81</v>
      </c>
      <c r="J1298">
        <v>326</v>
      </c>
      <c r="K1298" s="3">
        <v>8.6999999999999993</v>
      </c>
      <c r="L1298">
        <v>2836.2</v>
      </c>
    </row>
    <row r="1299" spans="1:12" x14ac:dyDescent="0.3">
      <c r="A1299">
        <v>14</v>
      </c>
      <c r="B1299">
        <v>22</v>
      </c>
      <c r="C1299">
        <v>2</v>
      </c>
      <c r="D1299">
        <v>9</v>
      </c>
      <c r="E1299">
        <v>1</v>
      </c>
      <c r="F1299">
        <v>0</v>
      </c>
      <c r="G1299">
        <v>2</v>
      </c>
      <c r="H1299" t="s">
        <v>26</v>
      </c>
      <c r="I1299" t="s">
        <v>131</v>
      </c>
      <c r="J1299">
        <v>524</v>
      </c>
      <c r="K1299" s="3">
        <v>8.5</v>
      </c>
      <c r="L1299">
        <v>4454</v>
      </c>
    </row>
    <row r="1300" spans="1:12" x14ac:dyDescent="0.3">
      <c r="A1300">
        <v>16</v>
      </c>
      <c r="B1300">
        <v>0</v>
      </c>
      <c r="C1300">
        <v>1</v>
      </c>
      <c r="D1300">
        <v>21</v>
      </c>
      <c r="E1300">
        <v>0</v>
      </c>
      <c r="F1300">
        <v>0</v>
      </c>
      <c r="G1300">
        <v>7</v>
      </c>
      <c r="H1300" t="s">
        <v>16</v>
      </c>
      <c r="I1300" t="s">
        <v>130</v>
      </c>
      <c r="J1300">
        <v>816</v>
      </c>
      <c r="K1300" s="3">
        <v>8.9</v>
      </c>
      <c r="L1300">
        <v>7262.4</v>
      </c>
    </row>
    <row r="1301" spans="1:12" x14ac:dyDescent="0.3">
      <c r="A1301">
        <v>23</v>
      </c>
      <c r="B1301">
        <v>23</v>
      </c>
      <c r="C1301">
        <v>1</v>
      </c>
      <c r="D1301">
        <v>15</v>
      </c>
      <c r="E1301">
        <v>1</v>
      </c>
      <c r="F1301">
        <v>0</v>
      </c>
      <c r="G1301">
        <v>11</v>
      </c>
      <c r="H1301" t="s">
        <v>33</v>
      </c>
      <c r="I1301" t="s">
        <v>125</v>
      </c>
      <c r="J1301">
        <v>591</v>
      </c>
      <c r="K1301" s="3">
        <v>9.3000000000000007</v>
      </c>
      <c r="L1301">
        <v>5496.3</v>
      </c>
    </row>
    <row r="1302" spans="1:12" x14ac:dyDescent="0.3">
      <c r="A1302">
        <v>18</v>
      </c>
      <c r="B1302">
        <v>22</v>
      </c>
      <c r="C1302">
        <v>2</v>
      </c>
      <c r="D1302">
        <v>15</v>
      </c>
      <c r="E1302">
        <v>1</v>
      </c>
      <c r="F1302">
        <v>0</v>
      </c>
      <c r="G1302">
        <v>6</v>
      </c>
      <c r="H1302" t="s">
        <v>24</v>
      </c>
      <c r="I1302" t="s">
        <v>368</v>
      </c>
      <c r="J1302">
        <v>484</v>
      </c>
      <c r="K1302">
        <v>7.9</v>
      </c>
      <c r="L1302">
        <v>3823.6</v>
      </c>
    </row>
    <row r="1303" spans="1:12" x14ac:dyDescent="0.3">
      <c r="A1303">
        <v>23</v>
      </c>
      <c r="B1303">
        <v>22</v>
      </c>
      <c r="C1303">
        <v>0</v>
      </c>
      <c r="D1303">
        <v>8</v>
      </c>
      <c r="E1303">
        <v>1</v>
      </c>
      <c r="F1303">
        <v>0</v>
      </c>
      <c r="G1303">
        <v>1</v>
      </c>
      <c r="H1303" t="s">
        <v>36</v>
      </c>
      <c r="I1303" t="s">
        <v>84</v>
      </c>
      <c r="J1303">
        <v>0</v>
      </c>
      <c r="K1303" s="3">
        <v>8.8000000000000007</v>
      </c>
      <c r="L1303">
        <v>3044.8</v>
      </c>
    </row>
    <row r="1304" spans="1:12" x14ac:dyDescent="0.3">
      <c r="A1304">
        <v>6</v>
      </c>
      <c r="B1304">
        <v>19</v>
      </c>
      <c r="C1304">
        <v>2</v>
      </c>
      <c r="D1304">
        <v>9</v>
      </c>
      <c r="E1304">
        <v>7</v>
      </c>
      <c r="F1304">
        <v>0</v>
      </c>
      <c r="G1304">
        <v>5</v>
      </c>
      <c r="H1304" t="s">
        <v>18</v>
      </c>
      <c r="I1304" t="s">
        <v>85</v>
      </c>
      <c r="J1304">
        <v>453</v>
      </c>
      <c r="K1304" s="3">
        <v>0</v>
      </c>
      <c r="L1304">
        <v>3488.1</v>
      </c>
    </row>
    <row r="1305" spans="1:12" x14ac:dyDescent="0.3">
      <c r="A1305">
        <v>17</v>
      </c>
      <c r="B1305">
        <v>22</v>
      </c>
      <c r="C1305">
        <v>1</v>
      </c>
      <c r="D1305">
        <v>7</v>
      </c>
      <c r="E1305">
        <v>1</v>
      </c>
      <c r="F1305">
        <v>0</v>
      </c>
      <c r="G1305">
        <v>7</v>
      </c>
      <c r="H1305" t="s">
        <v>18</v>
      </c>
      <c r="I1305" t="s">
        <v>93</v>
      </c>
      <c r="J1305">
        <v>403</v>
      </c>
      <c r="K1305" s="3">
        <v>7.7</v>
      </c>
      <c r="L1305">
        <v>3103.1</v>
      </c>
    </row>
    <row r="1306" spans="1:12" x14ac:dyDescent="0.3">
      <c r="A1306">
        <v>13</v>
      </c>
      <c r="B1306">
        <v>22</v>
      </c>
      <c r="C1306">
        <v>2</v>
      </c>
      <c r="D1306">
        <v>14</v>
      </c>
      <c r="E1306">
        <v>1</v>
      </c>
      <c r="F1306">
        <v>0</v>
      </c>
      <c r="G1306">
        <v>2</v>
      </c>
      <c r="H1306" t="s">
        <v>35</v>
      </c>
      <c r="I1306" t="s">
        <v>83</v>
      </c>
      <c r="J1306">
        <v>549</v>
      </c>
      <c r="K1306" s="3">
        <v>8.1999999999999993</v>
      </c>
      <c r="L1306">
        <v>4501.7999999999902</v>
      </c>
    </row>
    <row r="1307" spans="1:12" x14ac:dyDescent="0.3">
      <c r="A1307">
        <v>20</v>
      </c>
      <c r="B1307">
        <v>23</v>
      </c>
      <c r="C1307">
        <v>2</v>
      </c>
      <c r="D1307">
        <v>20</v>
      </c>
      <c r="E1307">
        <v>1</v>
      </c>
      <c r="F1307">
        <v>0</v>
      </c>
      <c r="G1307">
        <v>7</v>
      </c>
      <c r="H1307" t="s">
        <v>25</v>
      </c>
      <c r="I1307" t="s">
        <v>97</v>
      </c>
      <c r="J1307">
        <v>537</v>
      </c>
      <c r="K1307" s="3">
        <v>8.1</v>
      </c>
      <c r="L1307">
        <v>4349.7</v>
      </c>
    </row>
    <row r="1308" spans="1:12" x14ac:dyDescent="0.3">
      <c r="A1308">
        <v>21</v>
      </c>
      <c r="B1308">
        <v>23</v>
      </c>
      <c r="C1308">
        <v>1</v>
      </c>
      <c r="D1308">
        <v>7</v>
      </c>
      <c r="E1308">
        <v>1</v>
      </c>
      <c r="F1308">
        <v>0</v>
      </c>
      <c r="G1308">
        <v>7</v>
      </c>
      <c r="H1308" t="s">
        <v>16</v>
      </c>
      <c r="I1308" t="s">
        <v>75</v>
      </c>
      <c r="J1308">
        <v>451</v>
      </c>
      <c r="K1308" s="3">
        <v>8.9</v>
      </c>
      <c r="L1308">
        <v>4013.9</v>
      </c>
    </row>
    <row r="1309" spans="1:12" x14ac:dyDescent="0.3">
      <c r="A1309">
        <v>9</v>
      </c>
      <c r="B1309">
        <v>20</v>
      </c>
      <c r="C1309">
        <v>1</v>
      </c>
      <c r="D1309">
        <v>18</v>
      </c>
      <c r="E1309">
        <v>1</v>
      </c>
      <c r="F1309">
        <v>0</v>
      </c>
      <c r="G1309">
        <v>3</v>
      </c>
      <c r="H1309" t="s">
        <v>38</v>
      </c>
      <c r="I1309" t="s">
        <v>81</v>
      </c>
      <c r="J1309">
        <v>452</v>
      </c>
      <c r="K1309" s="3">
        <v>7.4</v>
      </c>
      <c r="L1309">
        <v>0</v>
      </c>
    </row>
    <row r="1310" spans="1:12" x14ac:dyDescent="0.3">
      <c r="A1310">
        <v>8</v>
      </c>
      <c r="B1310">
        <v>20</v>
      </c>
      <c r="C1310">
        <v>1</v>
      </c>
      <c r="D1310">
        <v>11</v>
      </c>
      <c r="E1310">
        <v>1</v>
      </c>
      <c r="F1310">
        <v>0</v>
      </c>
      <c r="G1310">
        <v>8</v>
      </c>
      <c r="H1310" t="s">
        <v>24</v>
      </c>
      <c r="I1310" t="s">
        <v>119</v>
      </c>
      <c r="J1310">
        <v>414</v>
      </c>
      <c r="K1310" s="3">
        <v>7.9</v>
      </c>
      <c r="L1310">
        <v>3270.6</v>
      </c>
    </row>
    <row r="1311" spans="1:12" x14ac:dyDescent="0.3">
      <c r="A1311">
        <v>8</v>
      </c>
      <c r="B1311">
        <v>17</v>
      </c>
      <c r="C1311">
        <v>2</v>
      </c>
      <c r="D1311">
        <v>5</v>
      </c>
      <c r="E1311">
        <v>1</v>
      </c>
      <c r="F1311">
        <v>0</v>
      </c>
      <c r="G1311">
        <v>12</v>
      </c>
      <c r="H1311" t="s">
        <v>39</v>
      </c>
      <c r="I1311" t="s">
        <v>83</v>
      </c>
      <c r="J1311">
        <v>218</v>
      </c>
      <c r="K1311" s="3">
        <v>8.8000000000000007</v>
      </c>
      <c r="L1311">
        <v>1918.4</v>
      </c>
    </row>
    <row r="1312" spans="1:12" x14ac:dyDescent="0.3">
      <c r="A1312">
        <v>9</v>
      </c>
      <c r="B1312">
        <v>19</v>
      </c>
      <c r="C1312">
        <v>0</v>
      </c>
      <c r="D1312">
        <v>19</v>
      </c>
      <c r="E1312">
        <v>1</v>
      </c>
      <c r="F1312">
        <v>0</v>
      </c>
      <c r="G1312">
        <v>12</v>
      </c>
      <c r="H1312" t="s">
        <v>36</v>
      </c>
      <c r="I1312" t="s">
        <v>80</v>
      </c>
      <c r="J1312">
        <v>323</v>
      </c>
      <c r="K1312" s="3">
        <v>8.8000000000000007</v>
      </c>
      <c r="L1312">
        <v>2842.4</v>
      </c>
    </row>
    <row r="1313" spans="1:12" x14ac:dyDescent="0.3">
      <c r="A1313">
        <v>18</v>
      </c>
      <c r="B1313">
        <v>23</v>
      </c>
      <c r="C1313">
        <v>2</v>
      </c>
      <c r="D1313">
        <v>21</v>
      </c>
      <c r="E1313">
        <v>12</v>
      </c>
      <c r="F1313">
        <v>0</v>
      </c>
      <c r="G1313">
        <v>11</v>
      </c>
      <c r="H1313" t="s">
        <v>30</v>
      </c>
      <c r="I1313" t="s">
        <v>109</v>
      </c>
      <c r="J1313">
        <v>0</v>
      </c>
      <c r="K1313" s="3">
        <v>9.1999999999999993</v>
      </c>
      <c r="L1313">
        <v>6835.5999999999904</v>
      </c>
    </row>
    <row r="1314" spans="1:12" x14ac:dyDescent="0.3">
      <c r="A1314">
        <v>12</v>
      </c>
      <c r="B1314">
        <v>23</v>
      </c>
      <c r="C1314">
        <v>3</v>
      </c>
      <c r="D1314">
        <v>9</v>
      </c>
      <c r="E1314">
        <v>1</v>
      </c>
      <c r="F1314">
        <v>0</v>
      </c>
      <c r="G1314">
        <v>9</v>
      </c>
      <c r="H1314" t="s">
        <v>21</v>
      </c>
      <c r="I1314" t="s">
        <v>98</v>
      </c>
      <c r="J1314">
        <v>389</v>
      </c>
      <c r="K1314" s="3">
        <v>8.6999999999999993</v>
      </c>
      <c r="L1314">
        <v>3384.2999999999902</v>
      </c>
    </row>
    <row r="1315" spans="1:12" x14ac:dyDescent="0.3">
      <c r="A1315">
        <v>10</v>
      </c>
      <c r="B1315">
        <v>18</v>
      </c>
      <c r="C1315">
        <v>3</v>
      </c>
      <c r="D1315">
        <v>20</v>
      </c>
      <c r="E1315">
        <v>1</v>
      </c>
      <c r="F1315">
        <v>0</v>
      </c>
      <c r="G1315">
        <v>12</v>
      </c>
      <c r="H1315" t="s">
        <v>34</v>
      </c>
      <c r="I1315" t="s">
        <v>106</v>
      </c>
      <c r="J1315">
        <v>653</v>
      </c>
      <c r="K1315" s="3">
        <v>7.6</v>
      </c>
      <c r="L1315">
        <v>4962.8</v>
      </c>
    </row>
    <row r="1316" spans="1:12" x14ac:dyDescent="0.3">
      <c r="A1316">
        <v>19</v>
      </c>
      <c r="B1316">
        <v>22</v>
      </c>
      <c r="C1316">
        <v>1</v>
      </c>
      <c r="D1316">
        <v>8</v>
      </c>
      <c r="E1316">
        <v>1</v>
      </c>
      <c r="F1316">
        <v>0</v>
      </c>
      <c r="G1316">
        <v>8</v>
      </c>
      <c r="H1316" t="s">
        <v>38</v>
      </c>
      <c r="I1316" t="s">
        <v>86</v>
      </c>
      <c r="J1316">
        <v>364</v>
      </c>
      <c r="K1316">
        <v>7.4</v>
      </c>
      <c r="L1316">
        <v>2693.6</v>
      </c>
    </row>
    <row r="1317" spans="1:12" x14ac:dyDescent="0.3">
      <c r="A1317">
        <v>14</v>
      </c>
      <c r="B1317">
        <v>23</v>
      </c>
      <c r="C1317">
        <v>1</v>
      </c>
      <c r="D1317">
        <v>17</v>
      </c>
      <c r="E1317">
        <v>12</v>
      </c>
      <c r="F1317">
        <v>0</v>
      </c>
      <c r="G1317">
        <v>8</v>
      </c>
      <c r="H1317" t="s">
        <v>26</v>
      </c>
      <c r="I1317" t="s">
        <v>76</v>
      </c>
      <c r="J1317">
        <v>553</v>
      </c>
      <c r="K1317" s="3">
        <v>8.5</v>
      </c>
      <c r="L1317">
        <v>4700.5</v>
      </c>
    </row>
    <row r="1318" spans="1:12" x14ac:dyDescent="0.3">
      <c r="A1318">
        <v>14</v>
      </c>
      <c r="B1318">
        <v>22</v>
      </c>
      <c r="C1318">
        <v>1</v>
      </c>
      <c r="D1318">
        <v>4</v>
      </c>
      <c r="E1318">
        <v>0</v>
      </c>
      <c r="F1318">
        <v>0</v>
      </c>
      <c r="G1318">
        <v>8</v>
      </c>
      <c r="H1318" t="s">
        <v>23</v>
      </c>
      <c r="I1318" t="s">
        <v>73</v>
      </c>
      <c r="J1318">
        <v>505</v>
      </c>
      <c r="K1318" s="3">
        <v>8.4</v>
      </c>
      <c r="L1318">
        <v>4242</v>
      </c>
    </row>
    <row r="1319" spans="1:12" x14ac:dyDescent="0.3">
      <c r="A1319">
        <v>21</v>
      </c>
      <c r="B1319">
        <v>22</v>
      </c>
      <c r="C1319">
        <v>3</v>
      </c>
      <c r="D1319">
        <v>21</v>
      </c>
      <c r="E1319">
        <v>1</v>
      </c>
      <c r="F1319">
        <v>0</v>
      </c>
      <c r="G1319">
        <v>7</v>
      </c>
      <c r="H1319" t="s">
        <v>36</v>
      </c>
      <c r="I1319" t="s">
        <v>71</v>
      </c>
      <c r="J1319">
        <v>689</v>
      </c>
      <c r="K1319" s="3">
        <v>8.8000000000000007</v>
      </c>
      <c r="L1319">
        <v>6063.2</v>
      </c>
    </row>
    <row r="1320" spans="1:12" x14ac:dyDescent="0.3">
      <c r="A1320">
        <v>23</v>
      </c>
      <c r="B1320">
        <v>23</v>
      </c>
      <c r="C1320">
        <v>2</v>
      </c>
      <c r="D1320">
        <v>0</v>
      </c>
      <c r="E1320">
        <v>1</v>
      </c>
      <c r="F1320">
        <v>0</v>
      </c>
      <c r="G1320">
        <v>6</v>
      </c>
      <c r="H1320" t="s">
        <v>20</v>
      </c>
      <c r="I1320" t="s">
        <v>95</v>
      </c>
      <c r="J1320">
        <v>555</v>
      </c>
      <c r="K1320" s="3">
        <v>9.1</v>
      </c>
      <c r="L1320">
        <v>5050.5</v>
      </c>
    </row>
    <row r="1321" spans="1:12" x14ac:dyDescent="0.3">
      <c r="A1321">
        <v>16</v>
      </c>
      <c r="B1321">
        <v>23</v>
      </c>
      <c r="C1321">
        <v>2</v>
      </c>
      <c r="D1321">
        <v>21</v>
      </c>
      <c r="E1321">
        <v>1</v>
      </c>
      <c r="F1321">
        <v>0</v>
      </c>
      <c r="G1321">
        <v>8</v>
      </c>
      <c r="H1321" t="s">
        <v>33</v>
      </c>
      <c r="I1321" t="s">
        <v>109</v>
      </c>
      <c r="J1321">
        <v>517</v>
      </c>
      <c r="K1321" s="3">
        <v>9.3000000000000007</v>
      </c>
      <c r="L1321">
        <v>4808.1000000000004</v>
      </c>
    </row>
    <row r="1322" spans="1:12" x14ac:dyDescent="0.3">
      <c r="A1322">
        <v>10</v>
      </c>
      <c r="B1322">
        <v>19</v>
      </c>
      <c r="C1322">
        <v>0</v>
      </c>
      <c r="D1322">
        <v>10</v>
      </c>
      <c r="E1322">
        <v>1</v>
      </c>
      <c r="F1322">
        <v>0</v>
      </c>
      <c r="G1322">
        <v>0</v>
      </c>
      <c r="H1322" t="s">
        <v>369</v>
      </c>
      <c r="I1322" t="s">
        <v>107</v>
      </c>
      <c r="J1322">
        <v>503</v>
      </c>
      <c r="K1322" s="3">
        <v>0</v>
      </c>
      <c r="L1322">
        <v>4376.0999999999904</v>
      </c>
    </row>
    <row r="1323" spans="1:12" x14ac:dyDescent="0.3">
      <c r="A1323">
        <v>5</v>
      </c>
      <c r="B1323">
        <v>0</v>
      </c>
      <c r="C1323">
        <v>2</v>
      </c>
      <c r="D1323">
        <v>21</v>
      </c>
      <c r="E1323">
        <v>1</v>
      </c>
      <c r="F1323">
        <v>0</v>
      </c>
      <c r="G1323">
        <v>3</v>
      </c>
      <c r="H1323" t="s">
        <v>33</v>
      </c>
      <c r="I1323" t="s">
        <v>106</v>
      </c>
      <c r="J1323">
        <v>455</v>
      </c>
      <c r="K1323" s="3">
        <v>9.3000000000000007</v>
      </c>
      <c r="L1323">
        <v>4231.5</v>
      </c>
    </row>
    <row r="1324" spans="1:12" x14ac:dyDescent="0.3">
      <c r="A1324">
        <v>15</v>
      </c>
      <c r="B1324">
        <v>22</v>
      </c>
      <c r="C1324">
        <v>0</v>
      </c>
      <c r="D1324">
        <v>0</v>
      </c>
      <c r="E1324">
        <v>1</v>
      </c>
      <c r="F1324">
        <v>0</v>
      </c>
      <c r="G1324">
        <v>10</v>
      </c>
      <c r="H1324" t="s">
        <v>35</v>
      </c>
      <c r="I1324" t="s">
        <v>107</v>
      </c>
      <c r="J1324">
        <v>494</v>
      </c>
      <c r="K1324">
        <v>8.1999999999999993</v>
      </c>
      <c r="L1324">
        <v>0</v>
      </c>
    </row>
    <row r="1325" spans="1:12" x14ac:dyDescent="0.3">
      <c r="A1325">
        <v>0</v>
      </c>
      <c r="B1325">
        <v>22</v>
      </c>
      <c r="C1325">
        <v>1</v>
      </c>
      <c r="D1325">
        <v>10</v>
      </c>
      <c r="E1325">
        <v>12</v>
      </c>
      <c r="F1325">
        <v>0</v>
      </c>
      <c r="G1325">
        <v>4</v>
      </c>
      <c r="H1325" t="s">
        <v>24</v>
      </c>
      <c r="I1325" t="s">
        <v>72</v>
      </c>
      <c r="J1325">
        <v>562</v>
      </c>
      <c r="K1325" s="3">
        <v>7.9</v>
      </c>
      <c r="L1325">
        <v>0</v>
      </c>
    </row>
    <row r="1326" spans="1:12" x14ac:dyDescent="0.3">
      <c r="A1326">
        <v>14</v>
      </c>
      <c r="B1326">
        <v>23</v>
      </c>
      <c r="C1326">
        <v>2</v>
      </c>
      <c r="D1326">
        <v>4</v>
      </c>
      <c r="E1326">
        <v>1</v>
      </c>
      <c r="F1326">
        <v>0</v>
      </c>
      <c r="G1326">
        <v>7</v>
      </c>
      <c r="H1326" t="s">
        <v>23</v>
      </c>
      <c r="I1326" t="s">
        <v>84</v>
      </c>
      <c r="J1326">
        <v>565</v>
      </c>
      <c r="K1326" s="3">
        <v>8.4</v>
      </c>
      <c r="L1326">
        <v>4746</v>
      </c>
    </row>
    <row r="1327" spans="1:12" x14ac:dyDescent="0.3">
      <c r="A1327">
        <v>7</v>
      </c>
      <c r="B1327">
        <v>20</v>
      </c>
      <c r="C1327">
        <v>3</v>
      </c>
      <c r="D1327">
        <v>3</v>
      </c>
      <c r="E1327">
        <v>1</v>
      </c>
      <c r="F1327">
        <v>0</v>
      </c>
      <c r="G1327">
        <v>0</v>
      </c>
      <c r="H1327" t="s">
        <v>18</v>
      </c>
      <c r="I1327" t="s">
        <v>368</v>
      </c>
      <c r="J1327">
        <v>404</v>
      </c>
      <c r="K1327" s="3">
        <v>7.7</v>
      </c>
      <c r="L1327">
        <v>3110.8</v>
      </c>
    </row>
    <row r="1328" spans="1:12" x14ac:dyDescent="0.3">
      <c r="A1328">
        <v>7</v>
      </c>
      <c r="B1328">
        <v>21</v>
      </c>
      <c r="C1328">
        <v>0</v>
      </c>
      <c r="D1328">
        <v>6</v>
      </c>
      <c r="E1328">
        <v>1</v>
      </c>
      <c r="F1328">
        <v>0</v>
      </c>
      <c r="G1328">
        <v>7</v>
      </c>
      <c r="H1328" t="s">
        <v>20</v>
      </c>
      <c r="I1328" t="s">
        <v>108</v>
      </c>
      <c r="J1328">
        <v>438</v>
      </c>
      <c r="K1328" s="3">
        <v>9.1</v>
      </c>
      <c r="L1328">
        <v>3985.7999999999902</v>
      </c>
    </row>
    <row r="1329" spans="1:12" x14ac:dyDescent="0.3">
      <c r="A1329">
        <v>7</v>
      </c>
      <c r="B1329">
        <v>19</v>
      </c>
      <c r="C1329">
        <v>3</v>
      </c>
      <c r="D1329">
        <v>18</v>
      </c>
      <c r="E1329">
        <v>1</v>
      </c>
      <c r="F1329">
        <v>0</v>
      </c>
      <c r="G1329">
        <v>5</v>
      </c>
      <c r="H1329" t="s">
        <v>68</v>
      </c>
      <c r="I1329" t="s">
        <v>72</v>
      </c>
      <c r="J1329">
        <v>407</v>
      </c>
      <c r="K1329" s="3">
        <v>8.1</v>
      </c>
      <c r="L1329">
        <v>3296.7</v>
      </c>
    </row>
    <row r="1330" spans="1:12" x14ac:dyDescent="0.3">
      <c r="A1330">
        <v>20</v>
      </c>
      <c r="B1330">
        <v>23</v>
      </c>
      <c r="C1330">
        <v>2</v>
      </c>
      <c r="D1330">
        <v>14</v>
      </c>
      <c r="E1330">
        <v>12</v>
      </c>
      <c r="F1330">
        <v>0</v>
      </c>
      <c r="G1330">
        <v>2</v>
      </c>
      <c r="H1330" t="s">
        <v>35</v>
      </c>
      <c r="I1330" t="s">
        <v>84</v>
      </c>
      <c r="J1330">
        <v>631</v>
      </c>
      <c r="K1330" s="3">
        <v>8.1999999999999993</v>
      </c>
      <c r="L1330">
        <v>5174.2</v>
      </c>
    </row>
    <row r="1331" spans="1:12" x14ac:dyDescent="0.3">
      <c r="A1331">
        <v>7</v>
      </c>
      <c r="B1331">
        <v>23</v>
      </c>
      <c r="C1331">
        <v>2</v>
      </c>
      <c r="D1331">
        <v>8</v>
      </c>
      <c r="E1331">
        <v>7</v>
      </c>
      <c r="F1331">
        <v>0</v>
      </c>
      <c r="G1331">
        <v>5</v>
      </c>
      <c r="H1331" t="s">
        <v>30</v>
      </c>
      <c r="I1331" t="s">
        <v>79</v>
      </c>
      <c r="J1331">
        <v>0</v>
      </c>
      <c r="K1331" s="3">
        <v>9.1999999999999993</v>
      </c>
      <c r="L1331">
        <v>4876</v>
      </c>
    </row>
    <row r="1332" spans="1:12" x14ac:dyDescent="0.3">
      <c r="A1332">
        <v>20</v>
      </c>
      <c r="B1332">
        <v>23</v>
      </c>
      <c r="C1332">
        <v>1</v>
      </c>
      <c r="D1332">
        <v>5</v>
      </c>
      <c r="E1332">
        <v>12</v>
      </c>
      <c r="F1332">
        <v>0</v>
      </c>
      <c r="G1332">
        <v>1</v>
      </c>
      <c r="H1332" t="s">
        <v>40</v>
      </c>
      <c r="I1332" t="s">
        <v>82</v>
      </c>
      <c r="J1332">
        <v>465</v>
      </c>
      <c r="K1332" s="3">
        <v>7.4</v>
      </c>
      <c r="L1332">
        <v>3441</v>
      </c>
    </row>
    <row r="1333" spans="1:12" x14ac:dyDescent="0.3">
      <c r="A1333">
        <v>18</v>
      </c>
      <c r="B1333">
        <v>22</v>
      </c>
      <c r="C1333">
        <v>1</v>
      </c>
      <c r="D1333">
        <v>22</v>
      </c>
      <c r="E1333">
        <v>1</v>
      </c>
      <c r="F1333">
        <v>0</v>
      </c>
      <c r="G1333">
        <v>8</v>
      </c>
      <c r="H1333" t="s">
        <v>32</v>
      </c>
      <c r="I1333" t="s">
        <v>73</v>
      </c>
      <c r="J1333">
        <v>490</v>
      </c>
      <c r="K1333" s="3">
        <v>7.6</v>
      </c>
      <c r="L1333">
        <v>3724</v>
      </c>
    </row>
    <row r="1334" spans="1:12" x14ac:dyDescent="0.3">
      <c r="A1334">
        <v>9</v>
      </c>
      <c r="B1334">
        <v>21</v>
      </c>
      <c r="C1334">
        <v>1</v>
      </c>
      <c r="D1334">
        <v>11</v>
      </c>
      <c r="E1334">
        <v>1</v>
      </c>
      <c r="F1334">
        <v>0</v>
      </c>
      <c r="G1334">
        <v>0</v>
      </c>
      <c r="H1334" t="s">
        <v>22</v>
      </c>
      <c r="I1334" t="s">
        <v>89</v>
      </c>
      <c r="J1334">
        <v>537</v>
      </c>
      <c r="K1334" s="3">
        <v>7.8</v>
      </c>
      <c r="L1334">
        <v>4188.5999999999904</v>
      </c>
    </row>
    <row r="1335" spans="1:12" x14ac:dyDescent="0.3">
      <c r="A1335">
        <v>17</v>
      </c>
      <c r="B1335">
        <v>23</v>
      </c>
      <c r="C1335">
        <v>0</v>
      </c>
      <c r="D1335">
        <v>22</v>
      </c>
      <c r="E1335">
        <v>1</v>
      </c>
      <c r="F1335">
        <v>0</v>
      </c>
      <c r="G1335">
        <v>4</v>
      </c>
      <c r="H1335" t="s">
        <v>35</v>
      </c>
      <c r="I1335" t="s">
        <v>107</v>
      </c>
      <c r="J1335">
        <v>636</v>
      </c>
      <c r="K1335" s="3">
        <v>8.1999999999999993</v>
      </c>
      <c r="L1335">
        <v>5215.2</v>
      </c>
    </row>
    <row r="1336" spans="1:12" x14ac:dyDescent="0.3">
      <c r="A1336">
        <v>10</v>
      </c>
      <c r="B1336">
        <v>22</v>
      </c>
      <c r="C1336">
        <v>1</v>
      </c>
      <c r="D1336">
        <v>0</v>
      </c>
      <c r="E1336">
        <v>7</v>
      </c>
      <c r="F1336">
        <v>0</v>
      </c>
      <c r="G1336">
        <v>4</v>
      </c>
      <c r="H1336" t="s">
        <v>16</v>
      </c>
      <c r="I1336" t="s">
        <v>72</v>
      </c>
      <c r="J1336">
        <v>589</v>
      </c>
      <c r="K1336" s="3">
        <v>8.9</v>
      </c>
      <c r="L1336">
        <v>0</v>
      </c>
    </row>
    <row r="1337" spans="1:12" x14ac:dyDescent="0.3">
      <c r="A1337">
        <v>7</v>
      </c>
      <c r="B1337">
        <v>18</v>
      </c>
      <c r="C1337">
        <v>2</v>
      </c>
      <c r="D1337">
        <v>21</v>
      </c>
      <c r="E1337">
        <v>1</v>
      </c>
      <c r="F1337">
        <v>0</v>
      </c>
      <c r="G1337">
        <v>11</v>
      </c>
      <c r="H1337" t="s">
        <v>16</v>
      </c>
      <c r="I1337" t="s">
        <v>104</v>
      </c>
      <c r="J1337">
        <v>350</v>
      </c>
      <c r="K1337" s="3">
        <v>0</v>
      </c>
      <c r="L1337">
        <v>3115</v>
      </c>
    </row>
    <row r="1338" spans="1:12" x14ac:dyDescent="0.3">
      <c r="A1338">
        <v>15</v>
      </c>
      <c r="B1338">
        <v>23</v>
      </c>
      <c r="C1338">
        <v>0</v>
      </c>
      <c r="D1338">
        <v>0</v>
      </c>
      <c r="E1338">
        <v>1</v>
      </c>
      <c r="F1338">
        <v>0</v>
      </c>
      <c r="G1338">
        <v>6</v>
      </c>
      <c r="H1338" t="s">
        <v>15</v>
      </c>
      <c r="I1338" t="s">
        <v>76</v>
      </c>
      <c r="J1338">
        <v>612</v>
      </c>
      <c r="K1338" s="3">
        <v>8.3000000000000007</v>
      </c>
      <c r="L1338">
        <v>5079.6000000000004</v>
      </c>
    </row>
    <row r="1339" spans="1:12" x14ac:dyDescent="0.3">
      <c r="A1339">
        <v>21</v>
      </c>
      <c r="B1339">
        <v>23</v>
      </c>
      <c r="C1339">
        <v>1</v>
      </c>
      <c r="D1339">
        <v>4</v>
      </c>
      <c r="E1339">
        <v>1</v>
      </c>
      <c r="F1339">
        <v>0</v>
      </c>
      <c r="G1339">
        <v>7</v>
      </c>
      <c r="H1339" t="s">
        <v>32</v>
      </c>
      <c r="I1339" t="s">
        <v>106</v>
      </c>
      <c r="J1339">
        <v>508</v>
      </c>
      <c r="K1339" s="3">
        <v>7.6</v>
      </c>
      <c r="L1339">
        <v>0</v>
      </c>
    </row>
    <row r="1340" spans="1:12" x14ac:dyDescent="0.3">
      <c r="A1340">
        <v>23</v>
      </c>
      <c r="B1340">
        <v>22</v>
      </c>
      <c r="C1340">
        <v>2</v>
      </c>
      <c r="D1340">
        <v>0</v>
      </c>
      <c r="E1340">
        <v>1</v>
      </c>
      <c r="F1340">
        <v>0</v>
      </c>
      <c r="G1340">
        <v>5</v>
      </c>
      <c r="H1340" t="s">
        <v>24</v>
      </c>
      <c r="I1340" t="s">
        <v>73</v>
      </c>
      <c r="J1340">
        <v>524</v>
      </c>
      <c r="K1340" s="3">
        <v>7.9</v>
      </c>
      <c r="L1340">
        <v>4139.6000000000004</v>
      </c>
    </row>
    <row r="1341" spans="1:12" x14ac:dyDescent="0.3">
      <c r="A1341">
        <v>21</v>
      </c>
      <c r="B1341">
        <v>22</v>
      </c>
      <c r="C1341">
        <v>0</v>
      </c>
      <c r="D1341">
        <v>19</v>
      </c>
      <c r="E1341">
        <v>1</v>
      </c>
      <c r="F1341">
        <v>0</v>
      </c>
      <c r="G1341">
        <v>7</v>
      </c>
      <c r="H1341" t="s">
        <v>25</v>
      </c>
      <c r="I1341" t="s">
        <v>95</v>
      </c>
      <c r="J1341">
        <v>509</v>
      </c>
      <c r="K1341" s="3">
        <v>8.1</v>
      </c>
      <c r="L1341">
        <v>4122.8999999999996</v>
      </c>
    </row>
    <row r="1342" spans="1:12" x14ac:dyDescent="0.3">
      <c r="A1342">
        <v>10</v>
      </c>
      <c r="B1342">
        <v>17</v>
      </c>
      <c r="C1342">
        <v>2</v>
      </c>
      <c r="D1342">
        <v>16</v>
      </c>
      <c r="E1342">
        <v>1</v>
      </c>
      <c r="F1342">
        <v>0</v>
      </c>
      <c r="G1342">
        <v>5</v>
      </c>
      <c r="H1342" t="s">
        <v>25</v>
      </c>
      <c r="I1342" t="s">
        <v>84</v>
      </c>
      <c r="J1342">
        <v>479</v>
      </c>
      <c r="K1342" s="3">
        <v>8.1</v>
      </c>
      <c r="L1342">
        <v>3879.8999999999901</v>
      </c>
    </row>
    <row r="1343" spans="1:12" x14ac:dyDescent="0.3">
      <c r="A1343">
        <v>11</v>
      </c>
      <c r="B1343">
        <v>23</v>
      </c>
      <c r="C1343">
        <v>1</v>
      </c>
      <c r="D1343">
        <v>7</v>
      </c>
      <c r="E1343">
        <v>0</v>
      </c>
      <c r="F1343">
        <v>0</v>
      </c>
      <c r="G1343">
        <v>10</v>
      </c>
      <c r="H1343" t="s">
        <v>22</v>
      </c>
      <c r="I1343" t="s">
        <v>87</v>
      </c>
      <c r="J1343">
        <v>543</v>
      </c>
      <c r="K1343" s="3">
        <v>7.8</v>
      </c>
      <c r="L1343">
        <v>4235.3999999999996</v>
      </c>
    </row>
    <row r="1344" spans="1:12" x14ac:dyDescent="0.3">
      <c r="A1344">
        <v>22</v>
      </c>
      <c r="B1344">
        <v>23</v>
      </c>
      <c r="C1344">
        <v>3</v>
      </c>
      <c r="D1344">
        <v>8</v>
      </c>
      <c r="E1344">
        <v>12</v>
      </c>
      <c r="F1344">
        <v>0</v>
      </c>
      <c r="G1344">
        <v>3</v>
      </c>
      <c r="H1344" t="s">
        <v>26</v>
      </c>
      <c r="I1344" t="s">
        <v>78</v>
      </c>
      <c r="J1344">
        <v>764</v>
      </c>
      <c r="K1344" s="3">
        <v>8.5</v>
      </c>
      <c r="L1344">
        <v>6494</v>
      </c>
    </row>
    <row r="1345" spans="1:12" x14ac:dyDescent="0.3">
      <c r="A1345">
        <v>21</v>
      </c>
      <c r="B1345">
        <v>22</v>
      </c>
      <c r="C1345">
        <v>1</v>
      </c>
      <c r="D1345">
        <v>10</v>
      </c>
      <c r="E1345">
        <v>1</v>
      </c>
      <c r="F1345">
        <v>0</v>
      </c>
      <c r="G1345">
        <v>2</v>
      </c>
      <c r="H1345" t="s">
        <v>33</v>
      </c>
      <c r="I1345" t="s">
        <v>368</v>
      </c>
      <c r="J1345">
        <v>331</v>
      </c>
      <c r="K1345" s="3">
        <v>9.3000000000000007</v>
      </c>
      <c r="L1345">
        <v>3078.3</v>
      </c>
    </row>
    <row r="1346" spans="1:12" x14ac:dyDescent="0.3">
      <c r="A1346">
        <v>7</v>
      </c>
      <c r="B1346">
        <v>20</v>
      </c>
      <c r="C1346">
        <v>2</v>
      </c>
      <c r="D1346">
        <v>13</v>
      </c>
      <c r="E1346">
        <v>1</v>
      </c>
      <c r="F1346">
        <v>0</v>
      </c>
      <c r="G1346">
        <v>12</v>
      </c>
      <c r="H1346" t="s">
        <v>12</v>
      </c>
      <c r="I1346" t="s">
        <v>85</v>
      </c>
      <c r="J1346">
        <v>528</v>
      </c>
      <c r="K1346" s="3">
        <v>8.1</v>
      </c>
      <c r="L1346">
        <v>4276.8</v>
      </c>
    </row>
    <row r="1347" spans="1:12" x14ac:dyDescent="0.3">
      <c r="A1347">
        <v>9</v>
      </c>
      <c r="B1347">
        <v>19</v>
      </c>
      <c r="C1347">
        <v>2</v>
      </c>
      <c r="D1347">
        <v>3</v>
      </c>
      <c r="E1347">
        <v>1</v>
      </c>
      <c r="F1347">
        <v>0</v>
      </c>
      <c r="G1347">
        <v>0</v>
      </c>
      <c r="H1347" t="s">
        <v>26</v>
      </c>
      <c r="I1347" t="s">
        <v>117</v>
      </c>
      <c r="J1347">
        <v>476</v>
      </c>
      <c r="K1347" s="3">
        <v>8.5</v>
      </c>
      <c r="L1347">
        <v>4046</v>
      </c>
    </row>
    <row r="1348" spans="1:12" x14ac:dyDescent="0.3">
      <c r="A1348">
        <v>5</v>
      </c>
      <c r="B1348">
        <v>17</v>
      </c>
      <c r="C1348">
        <v>1</v>
      </c>
      <c r="D1348">
        <v>4</v>
      </c>
      <c r="E1348">
        <v>7</v>
      </c>
      <c r="F1348">
        <v>0</v>
      </c>
      <c r="G1348">
        <v>0</v>
      </c>
      <c r="H1348" t="s">
        <v>16</v>
      </c>
      <c r="I1348" t="s">
        <v>107</v>
      </c>
      <c r="J1348">
        <v>211</v>
      </c>
      <c r="K1348" s="3">
        <v>8.9</v>
      </c>
      <c r="L1348">
        <v>1877.9</v>
      </c>
    </row>
    <row r="1349" spans="1:12" x14ac:dyDescent="0.3">
      <c r="A1349">
        <v>21</v>
      </c>
      <c r="B1349">
        <v>23</v>
      </c>
      <c r="C1349">
        <v>1</v>
      </c>
      <c r="D1349">
        <v>3</v>
      </c>
      <c r="E1349">
        <v>12</v>
      </c>
      <c r="F1349">
        <v>0</v>
      </c>
      <c r="G1349">
        <v>2</v>
      </c>
      <c r="H1349" t="s">
        <v>32</v>
      </c>
      <c r="I1349" t="s">
        <v>88</v>
      </c>
      <c r="J1349">
        <v>495</v>
      </c>
      <c r="K1349">
        <v>7.6</v>
      </c>
      <c r="L1349">
        <v>3762</v>
      </c>
    </row>
    <row r="1350" spans="1:12" x14ac:dyDescent="0.3">
      <c r="A1350">
        <v>17</v>
      </c>
      <c r="B1350">
        <v>22</v>
      </c>
      <c r="C1350">
        <v>0</v>
      </c>
      <c r="D1350">
        <v>19</v>
      </c>
      <c r="E1350">
        <v>1</v>
      </c>
      <c r="F1350">
        <v>0</v>
      </c>
      <c r="G1350">
        <v>3</v>
      </c>
      <c r="H1350" t="s">
        <v>16</v>
      </c>
      <c r="I1350" t="s">
        <v>78</v>
      </c>
      <c r="J1350">
        <v>652</v>
      </c>
      <c r="K1350" s="3">
        <v>8.9</v>
      </c>
      <c r="L1350">
        <v>5802.8</v>
      </c>
    </row>
    <row r="1351" spans="1:12" x14ac:dyDescent="0.3">
      <c r="A1351">
        <v>7</v>
      </c>
      <c r="B1351">
        <v>17</v>
      </c>
      <c r="C1351">
        <v>2</v>
      </c>
      <c r="D1351">
        <v>10</v>
      </c>
      <c r="E1351">
        <v>1</v>
      </c>
      <c r="F1351">
        <v>0</v>
      </c>
      <c r="G1351">
        <v>10</v>
      </c>
      <c r="H1351" t="s">
        <v>38</v>
      </c>
      <c r="I1351" t="s">
        <v>96</v>
      </c>
      <c r="J1351">
        <v>407</v>
      </c>
      <c r="K1351">
        <v>7.4</v>
      </c>
      <c r="L1351">
        <v>3011.8</v>
      </c>
    </row>
    <row r="1352" spans="1:12" x14ac:dyDescent="0.3">
      <c r="A1352">
        <v>10</v>
      </c>
      <c r="B1352">
        <v>18</v>
      </c>
      <c r="C1352">
        <v>0</v>
      </c>
      <c r="D1352">
        <v>5</v>
      </c>
      <c r="E1352">
        <v>1</v>
      </c>
      <c r="F1352">
        <v>0</v>
      </c>
      <c r="G1352">
        <v>11</v>
      </c>
      <c r="H1352" t="s">
        <v>24</v>
      </c>
      <c r="I1352" t="s">
        <v>105</v>
      </c>
      <c r="J1352">
        <v>227</v>
      </c>
      <c r="K1352" s="3">
        <v>7.9</v>
      </c>
      <c r="L1352">
        <v>1793.3</v>
      </c>
    </row>
    <row r="1353" spans="1:12" x14ac:dyDescent="0.3">
      <c r="A1353">
        <v>10</v>
      </c>
      <c r="B1353">
        <v>18</v>
      </c>
      <c r="C1353">
        <v>3</v>
      </c>
      <c r="D1353">
        <v>6</v>
      </c>
      <c r="E1353">
        <v>1</v>
      </c>
      <c r="F1353">
        <v>0</v>
      </c>
      <c r="G1353">
        <v>5</v>
      </c>
      <c r="H1353" t="s">
        <v>20</v>
      </c>
      <c r="I1353" t="s">
        <v>83</v>
      </c>
      <c r="J1353">
        <v>358</v>
      </c>
      <c r="K1353" s="3">
        <v>9.1</v>
      </c>
      <c r="L1353">
        <v>0</v>
      </c>
    </row>
    <row r="1354" spans="1:12" x14ac:dyDescent="0.3">
      <c r="A1354">
        <v>7</v>
      </c>
      <c r="B1354">
        <v>21</v>
      </c>
      <c r="C1354">
        <v>2</v>
      </c>
      <c r="D1354">
        <v>17</v>
      </c>
      <c r="E1354">
        <v>1</v>
      </c>
      <c r="F1354">
        <v>0</v>
      </c>
      <c r="G1354">
        <v>11</v>
      </c>
      <c r="H1354" t="s">
        <v>27</v>
      </c>
      <c r="I1354" t="s">
        <v>103</v>
      </c>
      <c r="J1354">
        <v>393</v>
      </c>
      <c r="K1354" s="3">
        <v>8.4</v>
      </c>
      <c r="L1354">
        <v>3301.2</v>
      </c>
    </row>
    <row r="1355" spans="1:12" x14ac:dyDescent="0.3">
      <c r="A1355">
        <v>21</v>
      </c>
      <c r="B1355">
        <v>22</v>
      </c>
      <c r="C1355">
        <v>0</v>
      </c>
      <c r="D1355">
        <v>0</v>
      </c>
      <c r="E1355">
        <v>12</v>
      </c>
      <c r="F1355">
        <v>0</v>
      </c>
      <c r="G1355">
        <v>3</v>
      </c>
      <c r="H1355" t="s">
        <v>369</v>
      </c>
      <c r="I1355" t="s">
        <v>93</v>
      </c>
      <c r="J1355">
        <v>605</v>
      </c>
      <c r="K1355" s="3">
        <v>7.7</v>
      </c>
      <c r="L1355">
        <v>4658.5</v>
      </c>
    </row>
    <row r="1356" spans="1:12" x14ac:dyDescent="0.3">
      <c r="A1356">
        <v>8</v>
      </c>
      <c r="B1356">
        <v>20</v>
      </c>
      <c r="C1356">
        <v>3</v>
      </c>
      <c r="D1356">
        <v>5</v>
      </c>
      <c r="E1356">
        <v>1</v>
      </c>
      <c r="F1356">
        <v>0</v>
      </c>
      <c r="G1356">
        <v>9</v>
      </c>
      <c r="H1356" t="s">
        <v>15</v>
      </c>
      <c r="I1356" t="s">
        <v>70</v>
      </c>
      <c r="J1356">
        <v>487</v>
      </c>
      <c r="K1356" s="3">
        <v>0</v>
      </c>
      <c r="L1356">
        <v>4042.1</v>
      </c>
    </row>
    <row r="1357" spans="1:12" x14ac:dyDescent="0.3">
      <c r="A1357">
        <v>18</v>
      </c>
      <c r="B1357">
        <v>23</v>
      </c>
      <c r="C1357">
        <v>0</v>
      </c>
      <c r="D1357">
        <v>7</v>
      </c>
      <c r="E1357">
        <v>1</v>
      </c>
      <c r="F1357">
        <v>0</v>
      </c>
      <c r="G1357">
        <v>9</v>
      </c>
      <c r="H1357" t="s">
        <v>35</v>
      </c>
      <c r="I1357" t="s">
        <v>92</v>
      </c>
      <c r="J1357">
        <v>558</v>
      </c>
      <c r="K1357" s="3">
        <v>8.1999999999999993</v>
      </c>
      <c r="L1357">
        <v>4575.5999999999904</v>
      </c>
    </row>
    <row r="1358" spans="1:12" x14ac:dyDescent="0.3">
      <c r="A1358">
        <v>16</v>
      </c>
      <c r="B1358">
        <v>22</v>
      </c>
      <c r="C1358">
        <v>2</v>
      </c>
      <c r="D1358">
        <v>11</v>
      </c>
      <c r="E1358">
        <v>1</v>
      </c>
      <c r="F1358">
        <v>0</v>
      </c>
      <c r="G1358">
        <v>3</v>
      </c>
      <c r="H1358" t="s">
        <v>30</v>
      </c>
      <c r="I1358" t="s">
        <v>368</v>
      </c>
      <c r="J1358">
        <v>625</v>
      </c>
      <c r="K1358" s="3">
        <v>9.1999999999999993</v>
      </c>
      <c r="L1358">
        <v>5750</v>
      </c>
    </row>
    <row r="1359" spans="1:12" x14ac:dyDescent="0.3">
      <c r="A1359">
        <v>16</v>
      </c>
      <c r="B1359">
        <v>22</v>
      </c>
      <c r="C1359">
        <v>1</v>
      </c>
      <c r="D1359">
        <v>3</v>
      </c>
      <c r="E1359">
        <v>1</v>
      </c>
      <c r="F1359">
        <v>0</v>
      </c>
      <c r="G1359">
        <v>11</v>
      </c>
      <c r="H1359" t="s">
        <v>22</v>
      </c>
      <c r="I1359" t="s">
        <v>90</v>
      </c>
      <c r="J1359">
        <v>322</v>
      </c>
      <c r="K1359" s="3">
        <v>7.8</v>
      </c>
      <c r="L1359">
        <v>2511.6</v>
      </c>
    </row>
    <row r="1360" spans="1:12" x14ac:dyDescent="0.3">
      <c r="A1360">
        <v>5</v>
      </c>
      <c r="B1360">
        <v>23</v>
      </c>
      <c r="C1360">
        <v>0</v>
      </c>
      <c r="D1360">
        <v>17</v>
      </c>
      <c r="E1360">
        <v>1</v>
      </c>
      <c r="F1360">
        <v>0</v>
      </c>
      <c r="G1360">
        <v>5</v>
      </c>
      <c r="H1360" t="s">
        <v>15</v>
      </c>
      <c r="I1360" t="s">
        <v>368</v>
      </c>
      <c r="J1360" t="s">
        <v>143</v>
      </c>
      <c r="K1360" s="3">
        <v>8.3000000000000007</v>
      </c>
      <c r="L1360">
        <v>4971.7</v>
      </c>
    </row>
    <row r="1361" spans="1:12" x14ac:dyDescent="0.3">
      <c r="A1361">
        <v>14</v>
      </c>
      <c r="B1361">
        <v>23</v>
      </c>
      <c r="C1361">
        <v>3</v>
      </c>
      <c r="D1361">
        <v>15</v>
      </c>
      <c r="E1361">
        <v>1</v>
      </c>
      <c r="F1361">
        <v>0</v>
      </c>
      <c r="G1361">
        <v>1</v>
      </c>
      <c r="H1361" t="s">
        <v>32</v>
      </c>
      <c r="I1361" t="s">
        <v>104</v>
      </c>
      <c r="J1361">
        <v>564</v>
      </c>
      <c r="K1361">
        <v>7.6</v>
      </c>
      <c r="L1361">
        <v>4286.3999999999996</v>
      </c>
    </row>
    <row r="1362" spans="1:12" x14ac:dyDescent="0.3">
      <c r="A1362">
        <v>21</v>
      </c>
      <c r="B1362">
        <v>22</v>
      </c>
      <c r="C1362">
        <v>2</v>
      </c>
      <c r="D1362">
        <v>19</v>
      </c>
      <c r="E1362">
        <v>12</v>
      </c>
      <c r="F1362">
        <v>0</v>
      </c>
      <c r="G1362">
        <v>0</v>
      </c>
      <c r="H1362" t="s">
        <v>36</v>
      </c>
      <c r="I1362" t="s">
        <v>106</v>
      </c>
      <c r="J1362">
        <v>756</v>
      </c>
      <c r="K1362" s="3">
        <v>8.8000000000000007</v>
      </c>
      <c r="L1362">
        <v>6652.8</v>
      </c>
    </row>
    <row r="1363" spans="1:12" x14ac:dyDescent="0.3">
      <c r="A1363">
        <v>7</v>
      </c>
      <c r="B1363">
        <v>18</v>
      </c>
      <c r="C1363">
        <v>2</v>
      </c>
      <c r="D1363">
        <v>13</v>
      </c>
      <c r="E1363">
        <v>0</v>
      </c>
      <c r="F1363">
        <v>0</v>
      </c>
      <c r="G1363">
        <v>1</v>
      </c>
      <c r="H1363" t="s">
        <v>24</v>
      </c>
      <c r="I1363" t="s">
        <v>96</v>
      </c>
      <c r="J1363">
        <v>444</v>
      </c>
      <c r="K1363" s="3">
        <v>7.9</v>
      </c>
      <c r="L1363">
        <v>3507.6</v>
      </c>
    </row>
    <row r="1364" spans="1:12" x14ac:dyDescent="0.3">
      <c r="A1364">
        <v>8</v>
      </c>
      <c r="B1364">
        <v>22</v>
      </c>
      <c r="C1364">
        <v>3</v>
      </c>
      <c r="D1364">
        <v>18</v>
      </c>
      <c r="E1364">
        <v>7</v>
      </c>
      <c r="F1364">
        <v>0</v>
      </c>
      <c r="G1364">
        <v>0</v>
      </c>
      <c r="H1364" t="s">
        <v>27</v>
      </c>
      <c r="I1364" t="s">
        <v>75</v>
      </c>
      <c r="J1364">
        <v>532</v>
      </c>
      <c r="K1364" s="3">
        <v>8.4</v>
      </c>
      <c r="L1364">
        <v>4468.8</v>
      </c>
    </row>
    <row r="1365" spans="1:12" x14ac:dyDescent="0.3">
      <c r="A1365">
        <v>14</v>
      </c>
      <c r="B1365">
        <v>22</v>
      </c>
      <c r="C1365">
        <v>1</v>
      </c>
      <c r="D1365">
        <v>0</v>
      </c>
      <c r="E1365">
        <v>1</v>
      </c>
      <c r="F1365">
        <v>0</v>
      </c>
      <c r="G1365">
        <v>1</v>
      </c>
      <c r="H1365" t="s">
        <v>26</v>
      </c>
      <c r="I1365" t="s">
        <v>90</v>
      </c>
      <c r="J1365">
        <v>561</v>
      </c>
      <c r="K1365" s="3">
        <v>8.5</v>
      </c>
      <c r="L1365">
        <v>4768.5</v>
      </c>
    </row>
    <row r="1366" spans="1:12" x14ac:dyDescent="0.3">
      <c r="A1366">
        <v>6</v>
      </c>
      <c r="B1366">
        <v>23</v>
      </c>
      <c r="C1366">
        <v>3</v>
      </c>
      <c r="D1366">
        <v>18</v>
      </c>
      <c r="E1366">
        <v>1</v>
      </c>
      <c r="F1366">
        <v>0</v>
      </c>
      <c r="G1366">
        <v>5</v>
      </c>
      <c r="H1366" t="s">
        <v>16</v>
      </c>
      <c r="I1366" t="s">
        <v>95</v>
      </c>
      <c r="J1366">
        <v>442</v>
      </c>
      <c r="K1366" s="3">
        <v>8.9</v>
      </c>
      <c r="L1366">
        <v>3933.8</v>
      </c>
    </row>
    <row r="1367" spans="1:12" x14ac:dyDescent="0.3">
      <c r="A1367">
        <v>18</v>
      </c>
      <c r="B1367">
        <v>22</v>
      </c>
      <c r="C1367">
        <v>1</v>
      </c>
      <c r="D1367">
        <v>13</v>
      </c>
      <c r="E1367">
        <v>1</v>
      </c>
      <c r="F1367">
        <v>0</v>
      </c>
      <c r="G1367">
        <v>8</v>
      </c>
      <c r="H1367" t="s">
        <v>22</v>
      </c>
      <c r="I1367" t="s">
        <v>78</v>
      </c>
      <c r="J1367">
        <v>601</v>
      </c>
      <c r="K1367" s="3">
        <v>7.8</v>
      </c>
      <c r="L1367">
        <v>4687.8</v>
      </c>
    </row>
    <row r="1368" spans="1:12" x14ac:dyDescent="0.3">
      <c r="A1368">
        <v>20</v>
      </c>
      <c r="B1368">
        <v>23</v>
      </c>
      <c r="C1368">
        <v>3</v>
      </c>
      <c r="D1368">
        <v>16</v>
      </c>
      <c r="E1368">
        <v>1</v>
      </c>
      <c r="F1368">
        <v>0</v>
      </c>
      <c r="G1368">
        <v>4</v>
      </c>
      <c r="H1368" t="s">
        <v>38</v>
      </c>
      <c r="I1368" t="s">
        <v>368</v>
      </c>
      <c r="J1368">
        <v>648</v>
      </c>
      <c r="K1368" s="3">
        <v>7.4</v>
      </c>
      <c r="L1368">
        <v>4795.2</v>
      </c>
    </row>
    <row r="1369" spans="1:12" x14ac:dyDescent="0.3">
      <c r="A1369">
        <v>23</v>
      </c>
      <c r="B1369">
        <v>23</v>
      </c>
      <c r="C1369">
        <v>0</v>
      </c>
      <c r="D1369">
        <v>15</v>
      </c>
      <c r="E1369">
        <v>1</v>
      </c>
      <c r="F1369">
        <v>0</v>
      </c>
      <c r="G1369">
        <v>1</v>
      </c>
      <c r="H1369" t="s">
        <v>33</v>
      </c>
      <c r="I1369" t="s">
        <v>80</v>
      </c>
      <c r="J1369">
        <v>478</v>
      </c>
      <c r="K1369" s="3">
        <v>9.3000000000000007</v>
      </c>
      <c r="L1369">
        <v>4445.3999999999996</v>
      </c>
    </row>
    <row r="1370" spans="1:12" x14ac:dyDescent="0.3">
      <c r="A1370">
        <v>13</v>
      </c>
      <c r="B1370">
        <v>0</v>
      </c>
      <c r="C1370">
        <v>0</v>
      </c>
      <c r="D1370">
        <v>8</v>
      </c>
      <c r="E1370">
        <v>12</v>
      </c>
      <c r="F1370">
        <v>0</v>
      </c>
      <c r="G1370">
        <v>0</v>
      </c>
      <c r="H1370" t="s">
        <v>39</v>
      </c>
      <c r="I1370" t="s">
        <v>106</v>
      </c>
      <c r="J1370">
        <v>683</v>
      </c>
      <c r="K1370" s="3">
        <v>8.8000000000000007</v>
      </c>
      <c r="L1370">
        <v>6010.4</v>
      </c>
    </row>
    <row r="1371" spans="1:12" x14ac:dyDescent="0.3">
      <c r="A1371">
        <v>5</v>
      </c>
      <c r="B1371">
        <v>18</v>
      </c>
      <c r="C1371">
        <v>0</v>
      </c>
      <c r="D1371">
        <v>7</v>
      </c>
      <c r="E1371">
        <v>7</v>
      </c>
      <c r="F1371">
        <v>0</v>
      </c>
      <c r="G1371">
        <v>10</v>
      </c>
      <c r="H1371" t="s">
        <v>32</v>
      </c>
      <c r="I1371" t="s">
        <v>104</v>
      </c>
      <c r="J1371">
        <v>0</v>
      </c>
      <c r="K1371" s="3">
        <v>7.6</v>
      </c>
      <c r="L1371">
        <v>2333.1999999999998</v>
      </c>
    </row>
    <row r="1372" spans="1:12" x14ac:dyDescent="0.3">
      <c r="A1372">
        <v>23</v>
      </c>
      <c r="B1372">
        <v>22</v>
      </c>
      <c r="C1372">
        <v>2</v>
      </c>
      <c r="D1372">
        <v>14</v>
      </c>
      <c r="E1372">
        <v>1</v>
      </c>
      <c r="F1372">
        <v>0</v>
      </c>
      <c r="G1372">
        <v>4</v>
      </c>
      <c r="H1372" t="s">
        <v>16</v>
      </c>
      <c r="I1372" t="s">
        <v>131</v>
      </c>
      <c r="J1372">
        <v>470</v>
      </c>
      <c r="K1372" s="3">
        <v>8.9</v>
      </c>
      <c r="L1372">
        <v>0</v>
      </c>
    </row>
    <row r="1373" spans="1:12" x14ac:dyDescent="0.3">
      <c r="A1373">
        <v>22</v>
      </c>
      <c r="B1373">
        <v>22</v>
      </c>
      <c r="C1373">
        <v>2</v>
      </c>
      <c r="D1373">
        <v>6</v>
      </c>
      <c r="E1373">
        <v>1</v>
      </c>
      <c r="F1373">
        <v>0</v>
      </c>
      <c r="G1373">
        <v>8</v>
      </c>
      <c r="H1373" t="s">
        <v>20</v>
      </c>
      <c r="I1373" t="s">
        <v>87</v>
      </c>
      <c r="J1373">
        <v>540</v>
      </c>
      <c r="K1373" s="3">
        <v>9.1</v>
      </c>
      <c r="L1373">
        <v>4914</v>
      </c>
    </row>
    <row r="1374" spans="1:12" x14ac:dyDescent="0.3">
      <c r="A1374">
        <v>20</v>
      </c>
      <c r="B1374">
        <v>22</v>
      </c>
      <c r="C1374">
        <v>2</v>
      </c>
      <c r="D1374">
        <v>4</v>
      </c>
      <c r="E1374">
        <v>1</v>
      </c>
      <c r="F1374">
        <v>0</v>
      </c>
      <c r="G1374">
        <v>6</v>
      </c>
      <c r="H1374" t="s">
        <v>24</v>
      </c>
      <c r="I1374" t="s">
        <v>73</v>
      </c>
      <c r="J1374">
        <v>361</v>
      </c>
      <c r="K1374" s="3">
        <v>7.9</v>
      </c>
      <c r="L1374">
        <v>2851.9</v>
      </c>
    </row>
    <row r="1375" spans="1:12" x14ac:dyDescent="0.3">
      <c r="A1375">
        <v>5</v>
      </c>
      <c r="B1375">
        <v>22</v>
      </c>
      <c r="C1375">
        <v>3</v>
      </c>
      <c r="D1375">
        <v>13</v>
      </c>
      <c r="E1375">
        <v>1</v>
      </c>
      <c r="F1375">
        <v>0</v>
      </c>
      <c r="G1375">
        <v>12</v>
      </c>
      <c r="H1375" t="s">
        <v>24</v>
      </c>
      <c r="I1375" t="s">
        <v>91</v>
      </c>
      <c r="J1375">
        <v>409</v>
      </c>
      <c r="K1375" s="3">
        <v>7.9</v>
      </c>
      <c r="L1375">
        <v>3231.1</v>
      </c>
    </row>
    <row r="1376" spans="1:12" x14ac:dyDescent="0.3">
      <c r="A1376">
        <v>10</v>
      </c>
      <c r="B1376">
        <v>21</v>
      </c>
      <c r="C1376">
        <v>2</v>
      </c>
      <c r="D1376">
        <v>22</v>
      </c>
      <c r="E1376">
        <v>1</v>
      </c>
      <c r="F1376">
        <v>0</v>
      </c>
      <c r="G1376">
        <v>10</v>
      </c>
      <c r="H1376" t="s">
        <v>22</v>
      </c>
      <c r="I1376" t="s">
        <v>94</v>
      </c>
      <c r="J1376">
        <v>714</v>
      </c>
      <c r="K1376" s="3">
        <v>7.8</v>
      </c>
      <c r="L1376">
        <v>5569.2</v>
      </c>
    </row>
    <row r="1377" spans="1:12" x14ac:dyDescent="0.3">
      <c r="A1377">
        <v>7</v>
      </c>
      <c r="B1377">
        <v>0</v>
      </c>
      <c r="C1377">
        <v>1</v>
      </c>
      <c r="D1377">
        <v>16</v>
      </c>
      <c r="E1377">
        <v>1</v>
      </c>
      <c r="F1377">
        <v>0</v>
      </c>
      <c r="G1377">
        <v>9</v>
      </c>
      <c r="H1377" t="s">
        <v>23</v>
      </c>
      <c r="I1377" t="s">
        <v>80</v>
      </c>
      <c r="J1377">
        <v>501</v>
      </c>
      <c r="K1377" s="3">
        <v>8.4</v>
      </c>
      <c r="L1377">
        <v>4208.3999999999996</v>
      </c>
    </row>
    <row r="1378" spans="1:12" x14ac:dyDescent="0.3">
      <c r="A1378">
        <v>0</v>
      </c>
      <c r="B1378">
        <v>22</v>
      </c>
      <c r="C1378">
        <v>2</v>
      </c>
      <c r="D1378">
        <v>12</v>
      </c>
      <c r="E1378">
        <v>1</v>
      </c>
      <c r="F1378">
        <v>0</v>
      </c>
      <c r="G1378">
        <v>12</v>
      </c>
      <c r="H1378" t="s">
        <v>15</v>
      </c>
      <c r="I1378" t="s">
        <v>72</v>
      </c>
      <c r="J1378">
        <v>701</v>
      </c>
      <c r="K1378" s="3" t="s">
        <v>143</v>
      </c>
      <c r="L1378">
        <v>5818.3</v>
      </c>
    </row>
    <row r="1379" spans="1:12" x14ac:dyDescent="0.3">
      <c r="A1379">
        <v>21</v>
      </c>
      <c r="B1379">
        <v>23</v>
      </c>
      <c r="C1379">
        <v>0</v>
      </c>
      <c r="D1379">
        <v>4</v>
      </c>
      <c r="E1379">
        <v>1</v>
      </c>
      <c r="F1379">
        <v>0</v>
      </c>
      <c r="G1379">
        <v>7</v>
      </c>
      <c r="H1379" t="s">
        <v>22</v>
      </c>
      <c r="I1379" t="s">
        <v>89</v>
      </c>
      <c r="J1379">
        <v>581</v>
      </c>
      <c r="K1379" s="3">
        <v>7.8</v>
      </c>
      <c r="L1379">
        <v>4531.8</v>
      </c>
    </row>
    <row r="1380" spans="1:12" x14ac:dyDescent="0.3">
      <c r="A1380">
        <v>5</v>
      </c>
      <c r="B1380">
        <v>20</v>
      </c>
      <c r="C1380">
        <v>0</v>
      </c>
      <c r="D1380">
        <v>3</v>
      </c>
      <c r="E1380">
        <v>1</v>
      </c>
      <c r="F1380">
        <v>0</v>
      </c>
      <c r="G1380">
        <v>12</v>
      </c>
      <c r="H1380" t="s">
        <v>30</v>
      </c>
      <c r="I1380" t="s">
        <v>368</v>
      </c>
      <c r="J1380">
        <v>0</v>
      </c>
      <c r="K1380" s="3">
        <v>9.1999999999999993</v>
      </c>
      <c r="L1380">
        <v>1895.19999999999</v>
      </c>
    </row>
    <row r="1381" spans="1:12" x14ac:dyDescent="0.3">
      <c r="A1381">
        <v>17</v>
      </c>
      <c r="B1381">
        <v>22</v>
      </c>
      <c r="C1381">
        <v>1</v>
      </c>
      <c r="D1381">
        <v>17</v>
      </c>
      <c r="E1381">
        <v>1</v>
      </c>
      <c r="F1381">
        <v>0</v>
      </c>
      <c r="G1381">
        <v>1</v>
      </c>
      <c r="H1381" t="s">
        <v>20</v>
      </c>
      <c r="I1381" t="s">
        <v>71</v>
      </c>
      <c r="J1381">
        <v>529</v>
      </c>
      <c r="K1381" s="3">
        <v>9.1</v>
      </c>
      <c r="L1381">
        <v>4813.8999999999996</v>
      </c>
    </row>
    <row r="1382" spans="1:12" x14ac:dyDescent="0.3">
      <c r="A1382">
        <v>12</v>
      </c>
      <c r="B1382">
        <v>22</v>
      </c>
      <c r="C1382">
        <v>2</v>
      </c>
      <c r="D1382">
        <v>0</v>
      </c>
      <c r="E1382">
        <v>1</v>
      </c>
      <c r="F1382">
        <v>0</v>
      </c>
      <c r="G1382">
        <v>5</v>
      </c>
      <c r="H1382" t="s">
        <v>41</v>
      </c>
      <c r="I1382" t="s">
        <v>88</v>
      </c>
      <c r="J1382">
        <v>550</v>
      </c>
      <c r="K1382" s="3">
        <v>8.5</v>
      </c>
      <c r="L1382">
        <v>4675</v>
      </c>
    </row>
    <row r="1383" spans="1:12" x14ac:dyDescent="0.3">
      <c r="A1383">
        <v>17</v>
      </c>
      <c r="B1383">
        <v>0</v>
      </c>
      <c r="C1383">
        <v>2</v>
      </c>
      <c r="D1383">
        <v>4</v>
      </c>
      <c r="E1383">
        <v>1</v>
      </c>
      <c r="F1383">
        <v>0</v>
      </c>
      <c r="G1383">
        <v>10</v>
      </c>
      <c r="H1383" t="s">
        <v>18</v>
      </c>
      <c r="I1383" t="s">
        <v>96</v>
      </c>
      <c r="J1383">
        <v>347</v>
      </c>
      <c r="K1383" s="3">
        <v>7.7</v>
      </c>
      <c r="L1383">
        <v>2671.9</v>
      </c>
    </row>
    <row r="1384" spans="1:12" x14ac:dyDescent="0.3">
      <c r="A1384">
        <v>8</v>
      </c>
      <c r="B1384">
        <v>21</v>
      </c>
      <c r="C1384">
        <v>2</v>
      </c>
      <c r="D1384">
        <v>19</v>
      </c>
      <c r="E1384">
        <v>1</v>
      </c>
      <c r="F1384">
        <v>0</v>
      </c>
      <c r="G1384">
        <v>4</v>
      </c>
      <c r="H1384" t="s">
        <v>15</v>
      </c>
      <c r="I1384" t="s">
        <v>107</v>
      </c>
      <c r="J1384">
        <v>573</v>
      </c>
      <c r="K1384" s="3">
        <v>8.3000000000000007</v>
      </c>
      <c r="L1384">
        <v>4755.8999999999996</v>
      </c>
    </row>
    <row r="1385" spans="1:12" x14ac:dyDescent="0.3">
      <c r="A1385">
        <v>11</v>
      </c>
      <c r="B1385">
        <v>22</v>
      </c>
      <c r="C1385">
        <v>2</v>
      </c>
      <c r="D1385">
        <v>19</v>
      </c>
      <c r="E1385">
        <v>1</v>
      </c>
      <c r="F1385">
        <v>0</v>
      </c>
      <c r="G1385">
        <v>3</v>
      </c>
      <c r="H1385" t="s">
        <v>36</v>
      </c>
      <c r="I1385" t="s">
        <v>71</v>
      </c>
      <c r="J1385">
        <v>460</v>
      </c>
      <c r="K1385" s="3">
        <v>8.8000000000000007</v>
      </c>
      <c r="L1385">
        <v>4048</v>
      </c>
    </row>
    <row r="1386" spans="1:12" x14ac:dyDescent="0.3">
      <c r="A1386">
        <v>20</v>
      </c>
      <c r="B1386">
        <v>22</v>
      </c>
      <c r="C1386">
        <v>3</v>
      </c>
      <c r="D1386">
        <v>6</v>
      </c>
      <c r="E1386">
        <v>1</v>
      </c>
      <c r="F1386">
        <v>0</v>
      </c>
      <c r="G1386">
        <v>9</v>
      </c>
      <c r="H1386" t="s">
        <v>30</v>
      </c>
      <c r="I1386" t="s">
        <v>74</v>
      </c>
      <c r="J1386">
        <v>581</v>
      </c>
      <c r="K1386" s="3">
        <v>9.1999999999999993</v>
      </c>
      <c r="L1386">
        <v>5345.2</v>
      </c>
    </row>
    <row r="1387" spans="1:12" x14ac:dyDescent="0.3">
      <c r="A1387">
        <v>0</v>
      </c>
      <c r="B1387">
        <v>23</v>
      </c>
      <c r="C1387">
        <v>3</v>
      </c>
      <c r="D1387">
        <v>8</v>
      </c>
      <c r="E1387">
        <v>1</v>
      </c>
      <c r="F1387">
        <v>0</v>
      </c>
      <c r="G1387">
        <v>0</v>
      </c>
      <c r="H1387" t="s">
        <v>24</v>
      </c>
      <c r="I1387" t="s">
        <v>76</v>
      </c>
      <c r="J1387">
        <v>467</v>
      </c>
      <c r="K1387" s="3">
        <v>7.9</v>
      </c>
      <c r="L1387">
        <v>3689.3</v>
      </c>
    </row>
    <row r="1388" spans="1:12" x14ac:dyDescent="0.3">
      <c r="A1388">
        <v>10</v>
      </c>
      <c r="B1388">
        <v>21</v>
      </c>
      <c r="C1388">
        <v>0</v>
      </c>
      <c r="D1388">
        <v>5</v>
      </c>
      <c r="E1388">
        <v>1</v>
      </c>
      <c r="F1388">
        <v>0</v>
      </c>
      <c r="G1388">
        <v>5</v>
      </c>
      <c r="H1388" t="s">
        <v>38</v>
      </c>
      <c r="I1388" t="s">
        <v>91</v>
      </c>
      <c r="J1388">
        <v>280</v>
      </c>
      <c r="K1388" s="3">
        <v>7.4</v>
      </c>
      <c r="L1388">
        <v>2072</v>
      </c>
    </row>
    <row r="1389" spans="1:12" x14ac:dyDescent="0.3">
      <c r="A1389">
        <v>12</v>
      </c>
      <c r="B1389">
        <v>23</v>
      </c>
      <c r="C1389">
        <v>0</v>
      </c>
      <c r="D1389">
        <v>17</v>
      </c>
      <c r="E1389">
        <v>12</v>
      </c>
      <c r="F1389">
        <v>0</v>
      </c>
      <c r="G1389">
        <v>12</v>
      </c>
      <c r="H1389" t="s">
        <v>20</v>
      </c>
      <c r="I1389" t="s">
        <v>101</v>
      </c>
      <c r="J1389">
        <v>802</v>
      </c>
      <c r="K1389" s="3">
        <v>9.1</v>
      </c>
      <c r="L1389">
        <v>0</v>
      </c>
    </row>
    <row r="1390" spans="1:12" x14ac:dyDescent="0.3">
      <c r="A1390">
        <v>19</v>
      </c>
      <c r="B1390">
        <v>22</v>
      </c>
      <c r="C1390">
        <v>3</v>
      </c>
      <c r="D1390">
        <v>11</v>
      </c>
      <c r="E1390">
        <v>1</v>
      </c>
      <c r="F1390">
        <v>0</v>
      </c>
      <c r="G1390">
        <v>4</v>
      </c>
      <c r="H1390" t="s">
        <v>17</v>
      </c>
      <c r="I1390" t="s">
        <v>75</v>
      </c>
      <c r="J1390">
        <v>563</v>
      </c>
      <c r="K1390" s="3">
        <v>8.6999999999999993</v>
      </c>
      <c r="L1390">
        <v>4898.0999999999904</v>
      </c>
    </row>
    <row r="1391" spans="1:12" x14ac:dyDescent="0.3">
      <c r="A1391">
        <v>10</v>
      </c>
      <c r="B1391">
        <v>19</v>
      </c>
      <c r="C1391">
        <v>0</v>
      </c>
      <c r="D1391">
        <v>10</v>
      </c>
      <c r="E1391">
        <v>1</v>
      </c>
      <c r="F1391">
        <v>0</v>
      </c>
      <c r="G1391">
        <v>12</v>
      </c>
      <c r="H1391" t="s">
        <v>32</v>
      </c>
      <c r="I1391" t="s">
        <v>96</v>
      </c>
      <c r="J1391">
        <v>391</v>
      </c>
      <c r="K1391" s="3">
        <v>7.6</v>
      </c>
      <c r="L1391">
        <v>2971.6</v>
      </c>
    </row>
    <row r="1392" spans="1:12" x14ac:dyDescent="0.3">
      <c r="A1392">
        <v>19</v>
      </c>
      <c r="B1392">
        <v>23</v>
      </c>
      <c r="C1392">
        <v>2</v>
      </c>
      <c r="D1392">
        <v>21</v>
      </c>
      <c r="E1392">
        <v>1</v>
      </c>
      <c r="F1392">
        <v>0</v>
      </c>
      <c r="G1392">
        <v>12</v>
      </c>
      <c r="H1392" t="s">
        <v>15</v>
      </c>
      <c r="I1392" t="s">
        <v>96</v>
      </c>
      <c r="J1392">
        <v>660</v>
      </c>
      <c r="K1392" s="3">
        <v>8.3000000000000007</v>
      </c>
      <c r="L1392">
        <v>5478</v>
      </c>
    </row>
    <row r="1393" spans="1:12" x14ac:dyDescent="0.3">
      <c r="A1393">
        <v>11</v>
      </c>
      <c r="B1393">
        <v>23</v>
      </c>
      <c r="C1393">
        <v>0</v>
      </c>
      <c r="D1393">
        <v>21</v>
      </c>
      <c r="E1393">
        <v>1</v>
      </c>
      <c r="F1393">
        <v>0</v>
      </c>
      <c r="G1393">
        <v>0</v>
      </c>
      <c r="H1393" t="s">
        <v>35</v>
      </c>
      <c r="I1393" t="s">
        <v>105</v>
      </c>
      <c r="J1393">
        <v>629</v>
      </c>
      <c r="K1393" s="3">
        <v>8.1999999999999993</v>
      </c>
      <c r="L1393">
        <v>5157.7999999999902</v>
      </c>
    </row>
    <row r="1394" spans="1:12" x14ac:dyDescent="0.3">
      <c r="A1394">
        <v>15</v>
      </c>
      <c r="B1394">
        <v>23</v>
      </c>
      <c r="C1394">
        <v>2</v>
      </c>
      <c r="D1394">
        <v>8</v>
      </c>
      <c r="E1394">
        <v>1</v>
      </c>
      <c r="F1394">
        <v>0</v>
      </c>
      <c r="G1394">
        <v>10</v>
      </c>
      <c r="H1394" t="s">
        <v>23</v>
      </c>
      <c r="I1394" t="s">
        <v>93</v>
      </c>
      <c r="J1394">
        <v>384</v>
      </c>
      <c r="K1394" s="3">
        <v>8.4</v>
      </c>
      <c r="L1394">
        <v>3225.6</v>
      </c>
    </row>
    <row r="1395" spans="1:12" x14ac:dyDescent="0.3">
      <c r="A1395">
        <v>10</v>
      </c>
      <c r="B1395">
        <v>19</v>
      </c>
      <c r="C1395">
        <v>3</v>
      </c>
      <c r="D1395">
        <v>8</v>
      </c>
      <c r="E1395">
        <v>1</v>
      </c>
      <c r="F1395">
        <v>0</v>
      </c>
      <c r="G1395">
        <v>0</v>
      </c>
      <c r="H1395" t="s">
        <v>24</v>
      </c>
      <c r="I1395" t="s">
        <v>104</v>
      </c>
      <c r="J1395">
        <v>411</v>
      </c>
      <c r="K1395" s="3">
        <v>7.9</v>
      </c>
      <c r="L1395">
        <v>3246.9</v>
      </c>
    </row>
    <row r="1396" spans="1:12" x14ac:dyDescent="0.3">
      <c r="A1396">
        <v>8</v>
      </c>
      <c r="B1396">
        <v>23</v>
      </c>
      <c r="C1396">
        <v>2</v>
      </c>
      <c r="D1396">
        <v>22</v>
      </c>
      <c r="E1396">
        <v>1</v>
      </c>
      <c r="F1396">
        <v>0</v>
      </c>
      <c r="G1396">
        <v>7</v>
      </c>
      <c r="H1396" t="s">
        <v>21</v>
      </c>
      <c r="I1396" t="s">
        <v>105</v>
      </c>
      <c r="J1396">
        <v>608</v>
      </c>
      <c r="K1396" s="3">
        <v>8.6999999999999993</v>
      </c>
      <c r="L1396">
        <v>5289.5999999999904</v>
      </c>
    </row>
    <row r="1397" spans="1:12" x14ac:dyDescent="0.3">
      <c r="A1397">
        <v>15</v>
      </c>
      <c r="B1397">
        <v>23</v>
      </c>
      <c r="C1397">
        <v>2</v>
      </c>
      <c r="D1397">
        <v>17</v>
      </c>
      <c r="E1397">
        <v>1</v>
      </c>
      <c r="F1397">
        <v>0</v>
      </c>
      <c r="G1397">
        <v>6</v>
      </c>
      <c r="H1397" t="s">
        <v>35</v>
      </c>
      <c r="I1397" t="s">
        <v>78</v>
      </c>
      <c r="J1397">
        <v>592</v>
      </c>
      <c r="K1397" s="3">
        <v>8.1999999999999993</v>
      </c>
      <c r="L1397">
        <v>4854.3999999999996</v>
      </c>
    </row>
    <row r="1398" spans="1:12" x14ac:dyDescent="0.3">
      <c r="A1398">
        <v>22</v>
      </c>
      <c r="B1398">
        <v>23</v>
      </c>
      <c r="C1398">
        <v>0</v>
      </c>
      <c r="D1398">
        <v>7</v>
      </c>
      <c r="E1398">
        <v>12</v>
      </c>
      <c r="F1398">
        <v>0</v>
      </c>
      <c r="G1398">
        <v>3</v>
      </c>
      <c r="H1398" t="s">
        <v>47</v>
      </c>
      <c r="I1398" t="s">
        <v>84</v>
      </c>
      <c r="J1398">
        <v>674</v>
      </c>
      <c r="K1398" s="3">
        <v>9.1</v>
      </c>
      <c r="L1398">
        <v>6133.4</v>
      </c>
    </row>
    <row r="1399" spans="1:12" x14ac:dyDescent="0.3">
      <c r="A1399">
        <v>10</v>
      </c>
      <c r="B1399">
        <v>22</v>
      </c>
      <c r="C1399">
        <v>1</v>
      </c>
      <c r="D1399">
        <v>19</v>
      </c>
      <c r="E1399">
        <v>1</v>
      </c>
      <c r="F1399">
        <v>0</v>
      </c>
      <c r="G1399">
        <v>11</v>
      </c>
      <c r="H1399" t="s">
        <v>33</v>
      </c>
      <c r="I1399" t="s">
        <v>107</v>
      </c>
      <c r="J1399">
        <v>653</v>
      </c>
      <c r="K1399" s="3">
        <v>9.3000000000000007</v>
      </c>
      <c r="L1399">
        <v>6072.9</v>
      </c>
    </row>
    <row r="1400" spans="1:12" x14ac:dyDescent="0.3">
      <c r="A1400">
        <v>11</v>
      </c>
      <c r="B1400">
        <v>23</v>
      </c>
      <c r="C1400">
        <v>1</v>
      </c>
      <c r="D1400">
        <v>6</v>
      </c>
      <c r="E1400">
        <v>1</v>
      </c>
      <c r="F1400">
        <v>0</v>
      </c>
      <c r="G1400">
        <v>3</v>
      </c>
      <c r="H1400" t="s">
        <v>30</v>
      </c>
      <c r="I1400" t="s">
        <v>76</v>
      </c>
      <c r="J1400">
        <v>572</v>
      </c>
      <c r="K1400" s="3">
        <v>0</v>
      </c>
      <c r="L1400">
        <v>5262.4</v>
      </c>
    </row>
    <row r="1401" spans="1:12" x14ac:dyDescent="0.3">
      <c r="A1401">
        <v>16</v>
      </c>
      <c r="B1401">
        <v>22</v>
      </c>
      <c r="C1401">
        <v>1</v>
      </c>
      <c r="D1401">
        <v>11</v>
      </c>
      <c r="E1401">
        <v>1</v>
      </c>
      <c r="F1401">
        <v>0</v>
      </c>
      <c r="G1401">
        <v>8</v>
      </c>
      <c r="H1401" t="s">
        <v>32</v>
      </c>
      <c r="I1401" t="s">
        <v>99</v>
      </c>
      <c r="J1401">
        <v>466</v>
      </c>
      <c r="K1401" s="3">
        <v>7.6</v>
      </c>
      <c r="L1401">
        <v>0</v>
      </c>
    </row>
    <row r="1402" spans="1:12" x14ac:dyDescent="0.3">
      <c r="A1402">
        <v>22</v>
      </c>
      <c r="B1402">
        <v>22</v>
      </c>
      <c r="C1402">
        <v>0</v>
      </c>
      <c r="D1402">
        <v>16</v>
      </c>
      <c r="E1402">
        <v>1</v>
      </c>
      <c r="F1402">
        <v>0</v>
      </c>
      <c r="G1402">
        <v>1</v>
      </c>
      <c r="H1402" t="s">
        <v>32</v>
      </c>
      <c r="I1402" t="s">
        <v>85</v>
      </c>
      <c r="J1402">
        <v>664</v>
      </c>
      <c r="K1402" s="3">
        <v>7.6</v>
      </c>
      <c r="L1402">
        <v>5046.3999999999996</v>
      </c>
    </row>
    <row r="1403" spans="1:12" x14ac:dyDescent="0.3">
      <c r="A1403">
        <v>23</v>
      </c>
      <c r="B1403">
        <v>22</v>
      </c>
      <c r="C1403">
        <v>1</v>
      </c>
      <c r="D1403">
        <v>11</v>
      </c>
      <c r="E1403">
        <v>1</v>
      </c>
      <c r="F1403">
        <v>0</v>
      </c>
      <c r="G1403">
        <v>0</v>
      </c>
      <c r="H1403" t="s">
        <v>15</v>
      </c>
      <c r="I1403" t="s">
        <v>74</v>
      </c>
      <c r="J1403">
        <v>675</v>
      </c>
      <c r="K1403" s="3">
        <v>8.3000000000000007</v>
      </c>
      <c r="L1403">
        <v>5602.5</v>
      </c>
    </row>
    <row r="1404" spans="1:12" x14ac:dyDescent="0.3">
      <c r="A1404">
        <v>20</v>
      </c>
      <c r="B1404">
        <v>22</v>
      </c>
      <c r="C1404">
        <v>0</v>
      </c>
      <c r="D1404">
        <v>20</v>
      </c>
      <c r="E1404">
        <v>1</v>
      </c>
      <c r="F1404">
        <v>0</v>
      </c>
      <c r="G1404">
        <v>0</v>
      </c>
      <c r="H1404" t="s">
        <v>36</v>
      </c>
      <c r="I1404" t="s">
        <v>71</v>
      </c>
      <c r="J1404">
        <v>691</v>
      </c>
      <c r="K1404" s="3">
        <v>8.8000000000000007</v>
      </c>
      <c r="L1404">
        <v>6080.8</v>
      </c>
    </row>
    <row r="1405" spans="1:12" x14ac:dyDescent="0.3">
      <c r="A1405">
        <v>22</v>
      </c>
      <c r="B1405">
        <v>23</v>
      </c>
      <c r="C1405">
        <v>1</v>
      </c>
      <c r="D1405">
        <v>13</v>
      </c>
      <c r="E1405">
        <v>12</v>
      </c>
      <c r="F1405">
        <v>0</v>
      </c>
      <c r="G1405">
        <v>10</v>
      </c>
      <c r="H1405" t="s">
        <v>30</v>
      </c>
      <c r="I1405" t="s">
        <v>107</v>
      </c>
      <c r="J1405">
        <v>795</v>
      </c>
      <c r="K1405" s="3">
        <v>9.1999999999999993</v>
      </c>
      <c r="L1405">
        <v>7313.99999999999</v>
      </c>
    </row>
    <row r="1406" spans="1:12" x14ac:dyDescent="0.3">
      <c r="A1406">
        <v>17</v>
      </c>
      <c r="B1406">
        <v>23</v>
      </c>
      <c r="C1406">
        <v>1</v>
      </c>
      <c r="D1406">
        <v>20</v>
      </c>
      <c r="E1406">
        <v>1</v>
      </c>
      <c r="F1406">
        <v>0</v>
      </c>
      <c r="G1406">
        <v>0</v>
      </c>
      <c r="H1406" t="s">
        <v>21</v>
      </c>
      <c r="I1406" t="s">
        <v>92</v>
      </c>
      <c r="J1406">
        <v>626</v>
      </c>
      <c r="K1406" s="3">
        <v>8.6999999999999993</v>
      </c>
      <c r="L1406">
        <v>5446.2</v>
      </c>
    </row>
    <row r="1407" spans="1:12" x14ac:dyDescent="0.3">
      <c r="A1407">
        <v>10</v>
      </c>
      <c r="B1407">
        <v>18</v>
      </c>
      <c r="C1407">
        <v>0</v>
      </c>
      <c r="D1407">
        <v>12</v>
      </c>
      <c r="E1407">
        <v>1</v>
      </c>
      <c r="F1407">
        <v>0</v>
      </c>
      <c r="G1407">
        <v>2</v>
      </c>
      <c r="H1407" t="s">
        <v>30</v>
      </c>
      <c r="I1407" t="s">
        <v>87</v>
      </c>
      <c r="J1407">
        <v>211</v>
      </c>
      <c r="K1407" s="3">
        <v>9.1999999999999993</v>
      </c>
      <c r="L1407">
        <v>1941.19999999999</v>
      </c>
    </row>
    <row r="1408" spans="1:12" x14ac:dyDescent="0.3">
      <c r="A1408">
        <v>14</v>
      </c>
      <c r="B1408">
        <v>22</v>
      </c>
      <c r="C1408">
        <v>2</v>
      </c>
      <c r="D1408">
        <v>4</v>
      </c>
      <c r="E1408">
        <v>1</v>
      </c>
      <c r="F1408">
        <v>0</v>
      </c>
      <c r="G1408">
        <v>2</v>
      </c>
      <c r="H1408" t="s">
        <v>15</v>
      </c>
      <c r="I1408" t="s">
        <v>75</v>
      </c>
      <c r="J1408">
        <v>442</v>
      </c>
      <c r="K1408" s="3">
        <v>8.3000000000000007</v>
      </c>
      <c r="L1408">
        <v>3668.6</v>
      </c>
    </row>
    <row r="1409" spans="1:12" x14ac:dyDescent="0.3">
      <c r="A1409">
        <v>11</v>
      </c>
      <c r="B1409">
        <v>22</v>
      </c>
      <c r="C1409">
        <v>3</v>
      </c>
      <c r="D1409">
        <v>18</v>
      </c>
      <c r="E1409">
        <v>1</v>
      </c>
      <c r="F1409">
        <v>0</v>
      </c>
      <c r="G1409">
        <v>7</v>
      </c>
      <c r="H1409" t="s">
        <v>25</v>
      </c>
      <c r="I1409" t="s">
        <v>78</v>
      </c>
      <c r="J1409">
        <v>577</v>
      </c>
      <c r="K1409" s="3">
        <v>8.1</v>
      </c>
      <c r="L1409">
        <v>4673.7</v>
      </c>
    </row>
    <row r="1410" spans="1:12" x14ac:dyDescent="0.3">
      <c r="A1410">
        <v>12</v>
      </c>
      <c r="B1410">
        <v>23</v>
      </c>
      <c r="C1410">
        <v>0</v>
      </c>
      <c r="D1410">
        <v>17</v>
      </c>
      <c r="E1410">
        <v>1</v>
      </c>
      <c r="F1410">
        <v>0</v>
      </c>
      <c r="G1410">
        <v>2</v>
      </c>
      <c r="H1410" t="s">
        <v>35</v>
      </c>
      <c r="I1410" t="s">
        <v>81</v>
      </c>
      <c r="J1410">
        <v>419</v>
      </c>
      <c r="K1410" s="3">
        <v>8.1999999999999993</v>
      </c>
      <c r="L1410">
        <v>3435.7999999999902</v>
      </c>
    </row>
    <row r="1411" spans="1:12" x14ac:dyDescent="0.3">
      <c r="A1411">
        <v>12</v>
      </c>
      <c r="B1411">
        <v>23</v>
      </c>
      <c r="C1411">
        <v>2</v>
      </c>
      <c r="D1411">
        <v>3</v>
      </c>
      <c r="E1411">
        <v>1</v>
      </c>
      <c r="F1411">
        <v>0</v>
      </c>
      <c r="G1411">
        <v>7</v>
      </c>
      <c r="H1411" t="s">
        <v>36</v>
      </c>
      <c r="I1411" t="s">
        <v>74</v>
      </c>
      <c r="J1411">
        <v>469</v>
      </c>
      <c r="K1411" s="3">
        <v>8.8000000000000007</v>
      </c>
      <c r="L1411">
        <v>4127.2</v>
      </c>
    </row>
    <row r="1412" spans="1:12" x14ac:dyDescent="0.3">
      <c r="A1412">
        <v>20</v>
      </c>
      <c r="B1412">
        <v>22</v>
      </c>
      <c r="C1412">
        <v>1</v>
      </c>
      <c r="D1412">
        <v>10</v>
      </c>
      <c r="E1412">
        <v>12</v>
      </c>
      <c r="F1412">
        <v>0</v>
      </c>
      <c r="G1412">
        <v>8</v>
      </c>
      <c r="H1412" t="s">
        <v>15</v>
      </c>
      <c r="I1412" t="s">
        <v>72</v>
      </c>
      <c r="J1412">
        <v>688</v>
      </c>
      <c r="K1412" s="3">
        <v>8.3000000000000007</v>
      </c>
      <c r="L1412">
        <v>5710.4</v>
      </c>
    </row>
    <row r="1413" spans="1:12" x14ac:dyDescent="0.3">
      <c r="A1413">
        <v>12</v>
      </c>
      <c r="B1413">
        <v>23</v>
      </c>
      <c r="C1413">
        <v>0</v>
      </c>
      <c r="D1413">
        <v>18</v>
      </c>
      <c r="E1413">
        <v>1</v>
      </c>
      <c r="F1413">
        <v>0</v>
      </c>
      <c r="G1413">
        <v>2</v>
      </c>
      <c r="H1413" t="s">
        <v>22</v>
      </c>
      <c r="I1413" t="s">
        <v>93</v>
      </c>
      <c r="J1413">
        <v>465</v>
      </c>
      <c r="K1413" s="3">
        <v>7.8</v>
      </c>
      <c r="L1413">
        <v>3627</v>
      </c>
    </row>
    <row r="1414" spans="1:12" x14ac:dyDescent="0.3">
      <c r="A1414">
        <v>8</v>
      </c>
      <c r="B1414">
        <v>20</v>
      </c>
      <c r="C1414">
        <v>2</v>
      </c>
      <c r="D1414">
        <v>15</v>
      </c>
      <c r="E1414">
        <v>1</v>
      </c>
      <c r="F1414">
        <v>0</v>
      </c>
      <c r="G1414">
        <v>7</v>
      </c>
      <c r="H1414" t="s">
        <v>44</v>
      </c>
      <c r="I1414" t="s">
        <v>78</v>
      </c>
      <c r="J1414">
        <v>427</v>
      </c>
      <c r="K1414" s="3">
        <v>8.1999999999999993</v>
      </c>
      <c r="L1414">
        <v>3501.3999999999901</v>
      </c>
    </row>
    <row r="1415" spans="1:12" x14ac:dyDescent="0.3">
      <c r="A1415">
        <v>13</v>
      </c>
      <c r="B1415">
        <v>22</v>
      </c>
      <c r="C1415">
        <v>1</v>
      </c>
      <c r="D1415">
        <v>18</v>
      </c>
      <c r="E1415">
        <v>1</v>
      </c>
      <c r="F1415">
        <v>0</v>
      </c>
      <c r="G1415">
        <v>4</v>
      </c>
      <c r="H1415" t="s">
        <v>22</v>
      </c>
      <c r="I1415" t="s">
        <v>368</v>
      </c>
      <c r="J1415">
        <v>410</v>
      </c>
      <c r="K1415" s="3">
        <v>7.8</v>
      </c>
      <c r="L1415">
        <v>3198</v>
      </c>
    </row>
    <row r="1416" spans="1:12" x14ac:dyDescent="0.3">
      <c r="A1416">
        <v>19</v>
      </c>
      <c r="B1416">
        <v>23</v>
      </c>
      <c r="C1416">
        <v>1</v>
      </c>
      <c r="D1416">
        <v>5</v>
      </c>
      <c r="E1416">
        <v>1</v>
      </c>
      <c r="F1416">
        <v>0</v>
      </c>
      <c r="G1416">
        <v>0</v>
      </c>
      <c r="H1416" t="s">
        <v>369</v>
      </c>
      <c r="I1416" t="s">
        <v>108</v>
      </c>
      <c r="J1416">
        <v>588</v>
      </c>
      <c r="K1416" s="3">
        <v>0</v>
      </c>
      <c r="L1416">
        <v>5115.5999999999904</v>
      </c>
    </row>
    <row r="1417" spans="1:12" x14ac:dyDescent="0.3">
      <c r="A1417">
        <v>22</v>
      </c>
      <c r="B1417">
        <v>22</v>
      </c>
      <c r="C1417">
        <v>0</v>
      </c>
      <c r="D1417">
        <v>21</v>
      </c>
      <c r="E1417">
        <v>1</v>
      </c>
      <c r="F1417">
        <v>0</v>
      </c>
      <c r="G1417">
        <v>12</v>
      </c>
      <c r="H1417" t="s">
        <v>369</v>
      </c>
      <c r="I1417" t="s">
        <v>105</v>
      </c>
      <c r="J1417">
        <v>704</v>
      </c>
      <c r="K1417" s="3">
        <v>7.9</v>
      </c>
      <c r="L1417">
        <v>0</v>
      </c>
    </row>
    <row r="1418" spans="1:12" x14ac:dyDescent="0.3">
      <c r="A1418">
        <v>12</v>
      </c>
      <c r="B1418">
        <v>23</v>
      </c>
      <c r="C1418">
        <v>2</v>
      </c>
      <c r="D1418">
        <v>7</v>
      </c>
      <c r="E1418">
        <v>1</v>
      </c>
      <c r="F1418">
        <v>0</v>
      </c>
      <c r="G1418">
        <v>5</v>
      </c>
      <c r="H1418" t="s">
        <v>14</v>
      </c>
      <c r="I1418" t="s">
        <v>82</v>
      </c>
      <c r="J1418">
        <v>0</v>
      </c>
      <c r="K1418" s="3">
        <v>8.9</v>
      </c>
      <c r="L1418">
        <v>4512.3</v>
      </c>
    </row>
    <row r="1419" spans="1:12" x14ac:dyDescent="0.3">
      <c r="A1419">
        <v>8</v>
      </c>
      <c r="B1419">
        <v>21</v>
      </c>
      <c r="C1419">
        <v>3</v>
      </c>
      <c r="D1419">
        <v>11</v>
      </c>
      <c r="E1419">
        <v>1</v>
      </c>
      <c r="F1419">
        <v>0</v>
      </c>
      <c r="G1419">
        <v>4</v>
      </c>
      <c r="H1419" t="s">
        <v>33</v>
      </c>
      <c r="I1419" t="s">
        <v>90</v>
      </c>
      <c r="J1419">
        <v>391</v>
      </c>
      <c r="K1419" s="3">
        <v>9.3000000000000007</v>
      </c>
      <c r="L1419">
        <v>3636.3</v>
      </c>
    </row>
    <row r="1420" spans="1:12" x14ac:dyDescent="0.3">
      <c r="A1420">
        <v>19</v>
      </c>
      <c r="B1420">
        <v>22</v>
      </c>
      <c r="C1420">
        <v>3</v>
      </c>
      <c r="D1420">
        <v>7</v>
      </c>
      <c r="E1420">
        <v>1</v>
      </c>
      <c r="F1420">
        <v>0</v>
      </c>
      <c r="G1420">
        <v>3</v>
      </c>
      <c r="H1420" t="s">
        <v>18</v>
      </c>
      <c r="I1420" t="s">
        <v>97</v>
      </c>
      <c r="J1420">
        <v>426</v>
      </c>
      <c r="K1420" s="3">
        <v>7.7</v>
      </c>
      <c r="L1420">
        <v>3280.2</v>
      </c>
    </row>
    <row r="1421" spans="1:12" x14ac:dyDescent="0.3">
      <c r="A1421">
        <v>20</v>
      </c>
      <c r="B1421">
        <v>22</v>
      </c>
      <c r="C1421">
        <v>1</v>
      </c>
      <c r="D1421">
        <v>19</v>
      </c>
      <c r="E1421">
        <v>1</v>
      </c>
      <c r="F1421">
        <v>0</v>
      </c>
      <c r="G1421">
        <v>12</v>
      </c>
      <c r="H1421" t="s">
        <v>23</v>
      </c>
      <c r="I1421" t="s">
        <v>70</v>
      </c>
      <c r="J1421">
        <v>697</v>
      </c>
      <c r="K1421" s="3">
        <v>8.4</v>
      </c>
      <c r="L1421">
        <v>5854.8</v>
      </c>
    </row>
    <row r="1422" spans="1:12" x14ac:dyDescent="0.3">
      <c r="A1422">
        <v>5</v>
      </c>
      <c r="B1422">
        <v>17</v>
      </c>
      <c r="C1422">
        <v>1</v>
      </c>
      <c r="D1422">
        <v>3</v>
      </c>
      <c r="E1422">
        <v>1</v>
      </c>
      <c r="F1422">
        <v>0</v>
      </c>
      <c r="G1422">
        <v>2</v>
      </c>
      <c r="H1422" t="s">
        <v>23</v>
      </c>
      <c r="I1422" t="s">
        <v>70</v>
      </c>
      <c r="J1422">
        <v>275</v>
      </c>
      <c r="K1422" s="3">
        <v>8.4</v>
      </c>
      <c r="L1422">
        <v>2310</v>
      </c>
    </row>
    <row r="1423" spans="1:12" x14ac:dyDescent="0.3">
      <c r="A1423">
        <v>12</v>
      </c>
      <c r="B1423">
        <v>23</v>
      </c>
      <c r="C1423">
        <v>3</v>
      </c>
      <c r="D1423">
        <v>19</v>
      </c>
      <c r="E1423">
        <v>1</v>
      </c>
      <c r="F1423">
        <v>0</v>
      </c>
      <c r="G1423">
        <v>5</v>
      </c>
      <c r="H1423" t="s">
        <v>22</v>
      </c>
      <c r="I1423" t="s">
        <v>82</v>
      </c>
      <c r="J1423">
        <v>699</v>
      </c>
      <c r="K1423" s="3">
        <v>7.8</v>
      </c>
      <c r="L1423">
        <v>5452.2</v>
      </c>
    </row>
    <row r="1424" spans="1:12" x14ac:dyDescent="0.3">
      <c r="A1424">
        <v>16</v>
      </c>
      <c r="B1424">
        <v>23</v>
      </c>
      <c r="C1424">
        <v>2</v>
      </c>
      <c r="D1424">
        <v>13</v>
      </c>
      <c r="E1424">
        <v>1</v>
      </c>
      <c r="F1424">
        <v>0</v>
      </c>
      <c r="G1424">
        <v>4</v>
      </c>
      <c r="H1424" t="s">
        <v>23</v>
      </c>
      <c r="I1424" t="s">
        <v>70</v>
      </c>
      <c r="J1424">
        <v>638</v>
      </c>
      <c r="K1424" s="3">
        <v>8.4</v>
      </c>
      <c r="L1424">
        <v>5359.2</v>
      </c>
    </row>
    <row r="1425" spans="1:12" x14ac:dyDescent="0.3">
      <c r="A1425">
        <v>17</v>
      </c>
      <c r="B1425">
        <v>22</v>
      </c>
      <c r="C1425">
        <v>2</v>
      </c>
      <c r="D1425">
        <v>22</v>
      </c>
      <c r="E1425">
        <v>1</v>
      </c>
      <c r="F1425">
        <v>0</v>
      </c>
      <c r="G1425">
        <v>9</v>
      </c>
      <c r="H1425" t="s">
        <v>26</v>
      </c>
      <c r="I1425" t="s">
        <v>78</v>
      </c>
      <c r="J1425">
        <v>612</v>
      </c>
      <c r="K1425" s="3">
        <v>8.5</v>
      </c>
      <c r="L1425">
        <v>5202</v>
      </c>
    </row>
    <row r="1426" spans="1:12" x14ac:dyDescent="0.3">
      <c r="A1426">
        <v>23</v>
      </c>
      <c r="B1426">
        <v>22</v>
      </c>
      <c r="C1426">
        <v>1</v>
      </c>
      <c r="D1426">
        <v>8</v>
      </c>
      <c r="E1426">
        <v>1</v>
      </c>
      <c r="F1426">
        <v>0</v>
      </c>
      <c r="G1426">
        <v>12</v>
      </c>
      <c r="H1426" t="s">
        <v>33</v>
      </c>
      <c r="I1426" t="s">
        <v>82</v>
      </c>
      <c r="J1426">
        <v>474</v>
      </c>
      <c r="K1426" s="3">
        <v>9.3000000000000007</v>
      </c>
      <c r="L1426">
        <v>4408.2</v>
      </c>
    </row>
    <row r="1427" spans="1:12" x14ac:dyDescent="0.3">
      <c r="A1427">
        <v>17</v>
      </c>
      <c r="B1427">
        <v>22</v>
      </c>
      <c r="C1427">
        <v>2</v>
      </c>
      <c r="D1427">
        <v>13</v>
      </c>
      <c r="E1427">
        <v>1</v>
      </c>
      <c r="F1427">
        <v>0</v>
      </c>
      <c r="G1427">
        <v>6</v>
      </c>
      <c r="H1427" t="s">
        <v>21</v>
      </c>
      <c r="I1427" t="s">
        <v>91</v>
      </c>
      <c r="J1427">
        <v>663</v>
      </c>
      <c r="K1427">
        <v>8.6999999999999993</v>
      </c>
      <c r="L1427">
        <v>5768.0999999999904</v>
      </c>
    </row>
    <row r="1428" spans="1:12" x14ac:dyDescent="0.3">
      <c r="A1428">
        <v>5</v>
      </c>
      <c r="B1428">
        <v>22</v>
      </c>
      <c r="C1428">
        <v>1</v>
      </c>
      <c r="D1428">
        <v>13</v>
      </c>
      <c r="E1428">
        <v>1</v>
      </c>
      <c r="F1428">
        <v>0</v>
      </c>
      <c r="G1428">
        <v>0</v>
      </c>
      <c r="H1428" t="s">
        <v>26</v>
      </c>
      <c r="I1428" t="s">
        <v>121</v>
      </c>
      <c r="J1428">
        <v>314</v>
      </c>
      <c r="K1428" s="3">
        <v>8.5</v>
      </c>
      <c r="L1428">
        <v>2669</v>
      </c>
    </row>
    <row r="1429" spans="1:12" x14ac:dyDescent="0.3">
      <c r="A1429">
        <v>8</v>
      </c>
      <c r="B1429">
        <v>18</v>
      </c>
      <c r="C1429">
        <v>2</v>
      </c>
      <c r="D1429">
        <v>5</v>
      </c>
      <c r="E1429">
        <v>0</v>
      </c>
      <c r="F1429">
        <v>0</v>
      </c>
      <c r="G1429">
        <v>3</v>
      </c>
      <c r="H1429" t="s">
        <v>45</v>
      </c>
      <c r="I1429" t="s">
        <v>96</v>
      </c>
      <c r="J1429">
        <v>290</v>
      </c>
      <c r="K1429" s="3">
        <v>7.9</v>
      </c>
      <c r="L1429">
        <v>2291</v>
      </c>
    </row>
    <row r="1430" spans="1:12" x14ac:dyDescent="0.3">
      <c r="A1430">
        <v>22</v>
      </c>
      <c r="B1430">
        <v>23</v>
      </c>
      <c r="C1430">
        <v>2</v>
      </c>
      <c r="D1430">
        <v>3</v>
      </c>
      <c r="E1430">
        <v>1</v>
      </c>
      <c r="F1430">
        <v>0</v>
      </c>
      <c r="G1430">
        <v>12</v>
      </c>
      <c r="H1430" t="s">
        <v>18</v>
      </c>
      <c r="I1430" t="s">
        <v>83</v>
      </c>
      <c r="J1430">
        <v>618</v>
      </c>
      <c r="K1430" s="3">
        <v>7.7</v>
      </c>
      <c r="L1430">
        <v>4758.6000000000004</v>
      </c>
    </row>
    <row r="1431" spans="1:12" x14ac:dyDescent="0.3">
      <c r="A1431">
        <v>15</v>
      </c>
      <c r="B1431">
        <v>23</v>
      </c>
      <c r="C1431">
        <v>1</v>
      </c>
      <c r="D1431">
        <v>22</v>
      </c>
      <c r="E1431">
        <v>1</v>
      </c>
      <c r="F1431">
        <v>0</v>
      </c>
      <c r="G1431">
        <v>1</v>
      </c>
      <c r="H1431" t="s">
        <v>42</v>
      </c>
      <c r="I1431" t="s">
        <v>82</v>
      </c>
      <c r="J1431">
        <v>0</v>
      </c>
      <c r="K1431" s="3">
        <v>7.8</v>
      </c>
      <c r="L1431">
        <v>3861</v>
      </c>
    </row>
    <row r="1432" spans="1:12" x14ac:dyDescent="0.3">
      <c r="A1432">
        <v>16</v>
      </c>
      <c r="B1432">
        <v>23</v>
      </c>
      <c r="C1432">
        <v>0</v>
      </c>
      <c r="D1432">
        <v>13</v>
      </c>
      <c r="E1432">
        <v>1</v>
      </c>
      <c r="F1432">
        <v>0</v>
      </c>
      <c r="G1432">
        <v>1</v>
      </c>
      <c r="H1432" t="s">
        <v>32</v>
      </c>
      <c r="I1432" t="s">
        <v>83</v>
      </c>
      <c r="J1432">
        <v>523</v>
      </c>
      <c r="K1432" s="3">
        <v>7.6</v>
      </c>
      <c r="L1432">
        <v>3974.7999999999902</v>
      </c>
    </row>
    <row r="1433" spans="1:12" x14ac:dyDescent="0.3">
      <c r="A1433">
        <v>16</v>
      </c>
      <c r="B1433">
        <v>23</v>
      </c>
      <c r="C1433">
        <v>3</v>
      </c>
      <c r="D1433">
        <v>14</v>
      </c>
      <c r="E1433">
        <v>12</v>
      </c>
      <c r="F1433">
        <v>0</v>
      </c>
      <c r="G1433">
        <v>11</v>
      </c>
      <c r="H1433" t="s">
        <v>69</v>
      </c>
      <c r="I1433" t="s">
        <v>107</v>
      </c>
      <c r="J1433">
        <v>626</v>
      </c>
      <c r="K1433" s="3">
        <v>7.9</v>
      </c>
      <c r="L1433">
        <v>4945.3999999999996</v>
      </c>
    </row>
    <row r="1434" spans="1:12" x14ac:dyDescent="0.3">
      <c r="A1434">
        <v>11</v>
      </c>
      <c r="B1434">
        <v>23</v>
      </c>
      <c r="C1434">
        <v>3</v>
      </c>
      <c r="D1434">
        <v>14</v>
      </c>
      <c r="E1434">
        <v>1</v>
      </c>
      <c r="F1434">
        <v>0</v>
      </c>
      <c r="G1434">
        <v>3</v>
      </c>
      <c r="H1434" t="s">
        <v>15</v>
      </c>
      <c r="I1434" t="s">
        <v>72</v>
      </c>
      <c r="J1434">
        <v>588</v>
      </c>
      <c r="K1434" s="3">
        <v>8.3000000000000007</v>
      </c>
      <c r="L1434">
        <v>4880.3999999999996</v>
      </c>
    </row>
    <row r="1435" spans="1:12" x14ac:dyDescent="0.3">
      <c r="A1435">
        <v>0</v>
      </c>
      <c r="B1435">
        <v>23</v>
      </c>
      <c r="C1435">
        <v>1</v>
      </c>
      <c r="D1435">
        <v>13</v>
      </c>
      <c r="E1435">
        <v>1</v>
      </c>
      <c r="F1435">
        <v>0</v>
      </c>
      <c r="G1435">
        <v>1</v>
      </c>
      <c r="H1435" t="s">
        <v>23</v>
      </c>
      <c r="I1435" t="s">
        <v>107</v>
      </c>
      <c r="J1435">
        <v>691</v>
      </c>
      <c r="K1435" s="3">
        <v>8.4</v>
      </c>
      <c r="L1435">
        <v>0</v>
      </c>
    </row>
    <row r="1436" spans="1:12" x14ac:dyDescent="0.3">
      <c r="A1436">
        <v>5</v>
      </c>
      <c r="B1436">
        <v>21</v>
      </c>
      <c r="C1436">
        <v>2</v>
      </c>
      <c r="D1436">
        <v>17</v>
      </c>
      <c r="E1436">
        <v>1</v>
      </c>
      <c r="F1436">
        <v>0</v>
      </c>
      <c r="G1436">
        <v>2</v>
      </c>
      <c r="H1436" t="s">
        <v>23</v>
      </c>
      <c r="I1436" t="s">
        <v>93</v>
      </c>
      <c r="J1436">
        <v>447</v>
      </c>
      <c r="K1436" s="3">
        <v>8.4</v>
      </c>
      <c r="L1436">
        <v>3754.8</v>
      </c>
    </row>
    <row r="1437" spans="1:12" x14ac:dyDescent="0.3">
      <c r="A1437">
        <v>6</v>
      </c>
      <c r="B1437">
        <v>0</v>
      </c>
      <c r="C1437">
        <v>2</v>
      </c>
      <c r="D1437">
        <v>7</v>
      </c>
      <c r="E1437">
        <v>7</v>
      </c>
      <c r="F1437">
        <v>0</v>
      </c>
      <c r="G1437">
        <v>9</v>
      </c>
      <c r="H1437" t="s">
        <v>32</v>
      </c>
      <c r="I1437" t="s">
        <v>87</v>
      </c>
      <c r="J1437">
        <v>523</v>
      </c>
      <c r="K1437" s="3">
        <v>7.6</v>
      </c>
      <c r="L1437">
        <v>3974.7999999999902</v>
      </c>
    </row>
    <row r="1438" spans="1:12" x14ac:dyDescent="0.3">
      <c r="A1438">
        <v>7</v>
      </c>
      <c r="B1438">
        <v>21</v>
      </c>
      <c r="C1438">
        <v>3</v>
      </c>
      <c r="D1438">
        <v>8</v>
      </c>
      <c r="E1438">
        <v>1</v>
      </c>
      <c r="F1438">
        <v>0</v>
      </c>
      <c r="G1438">
        <v>11</v>
      </c>
      <c r="H1438" t="s">
        <v>18</v>
      </c>
      <c r="I1438" t="s">
        <v>87</v>
      </c>
      <c r="J1438">
        <v>541</v>
      </c>
      <c r="K1438" s="3">
        <v>7.7</v>
      </c>
      <c r="L1438">
        <v>4165.7</v>
      </c>
    </row>
    <row r="1439" spans="1:12" x14ac:dyDescent="0.3">
      <c r="A1439">
        <v>7</v>
      </c>
      <c r="B1439">
        <v>18</v>
      </c>
      <c r="C1439">
        <v>0</v>
      </c>
      <c r="D1439">
        <v>22</v>
      </c>
      <c r="E1439">
        <v>1</v>
      </c>
      <c r="F1439">
        <v>0</v>
      </c>
      <c r="G1439">
        <v>6</v>
      </c>
      <c r="H1439" t="s">
        <v>22</v>
      </c>
      <c r="I1439" t="s">
        <v>72</v>
      </c>
      <c r="J1439">
        <v>596</v>
      </c>
      <c r="K1439" s="3">
        <v>7.8</v>
      </c>
      <c r="L1439">
        <v>4648.8</v>
      </c>
    </row>
    <row r="1440" spans="1:12" x14ac:dyDescent="0.3">
      <c r="A1440">
        <v>17</v>
      </c>
      <c r="B1440">
        <v>22</v>
      </c>
      <c r="C1440">
        <v>1</v>
      </c>
      <c r="D1440">
        <v>16</v>
      </c>
      <c r="E1440">
        <v>1</v>
      </c>
      <c r="F1440">
        <v>0</v>
      </c>
      <c r="G1440">
        <v>12</v>
      </c>
      <c r="H1440" t="s">
        <v>26</v>
      </c>
      <c r="I1440" t="s">
        <v>82</v>
      </c>
      <c r="J1440">
        <v>441</v>
      </c>
      <c r="K1440" s="3">
        <v>8.5</v>
      </c>
      <c r="L1440">
        <v>3748.5</v>
      </c>
    </row>
    <row r="1441" spans="1:12" x14ac:dyDescent="0.3">
      <c r="A1441">
        <v>7</v>
      </c>
      <c r="B1441">
        <v>19</v>
      </c>
      <c r="C1441">
        <v>0</v>
      </c>
      <c r="D1441">
        <v>15</v>
      </c>
      <c r="E1441">
        <v>1</v>
      </c>
      <c r="F1441">
        <v>0</v>
      </c>
      <c r="G1441">
        <v>4</v>
      </c>
      <c r="H1441" t="s">
        <v>24</v>
      </c>
      <c r="I1441" t="s">
        <v>93</v>
      </c>
      <c r="J1441">
        <v>442</v>
      </c>
      <c r="K1441" s="3">
        <v>7.9</v>
      </c>
      <c r="L1441">
        <v>3491.8</v>
      </c>
    </row>
    <row r="1442" spans="1:12" x14ac:dyDescent="0.3">
      <c r="A1442">
        <v>21</v>
      </c>
      <c r="B1442">
        <v>23</v>
      </c>
      <c r="C1442">
        <v>0</v>
      </c>
      <c r="D1442">
        <v>20</v>
      </c>
      <c r="E1442">
        <v>1</v>
      </c>
      <c r="F1442">
        <v>0</v>
      </c>
      <c r="G1442">
        <v>2</v>
      </c>
      <c r="H1442" t="s">
        <v>36</v>
      </c>
      <c r="I1442" t="s">
        <v>108</v>
      </c>
      <c r="J1442">
        <v>487</v>
      </c>
      <c r="K1442" s="3">
        <v>8.8000000000000007</v>
      </c>
      <c r="L1442">
        <v>4285.6000000000004</v>
      </c>
    </row>
    <row r="1443" spans="1:12" x14ac:dyDescent="0.3">
      <c r="A1443">
        <v>9</v>
      </c>
      <c r="B1443">
        <v>20</v>
      </c>
      <c r="C1443">
        <v>0</v>
      </c>
      <c r="D1443">
        <v>6</v>
      </c>
      <c r="E1443">
        <v>7</v>
      </c>
      <c r="F1443">
        <v>0</v>
      </c>
      <c r="G1443">
        <v>11</v>
      </c>
      <c r="H1443" t="s">
        <v>18</v>
      </c>
      <c r="I1443" t="s">
        <v>79</v>
      </c>
      <c r="J1443">
        <v>343</v>
      </c>
      <c r="K1443" s="3">
        <v>7.7</v>
      </c>
      <c r="L1443">
        <v>2641.1</v>
      </c>
    </row>
    <row r="1444" spans="1:12" x14ac:dyDescent="0.3">
      <c r="A1444">
        <v>14</v>
      </c>
      <c r="B1444">
        <v>23</v>
      </c>
      <c r="C1444">
        <v>0</v>
      </c>
      <c r="D1444">
        <v>9</v>
      </c>
      <c r="E1444">
        <v>12</v>
      </c>
      <c r="F1444">
        <v>0</v>
      </c>
      <c r="G1444">
        <v>4</v>
      </c>
      <c r="H1444" t="s">
        <v>23</v>
      </c>
      <c r="I1444" t="s">
        <v>104</v>
      </c>
      <c r="J1444">
        <v>458</v>
      </c>
      <c r="K1444" s="3">
        <v>8.4</v>
      </c>
      <c r="L1444">
        <v>3847.2</v>
      </c>
    </row>
    <row r="1445" spans="1:12" x14ac:dyDescent="0.3">
      <c r="A1445">
        <v>5</v>
      </c>
      <c r="B1445">
        <v>19</v>
      </c>
      <c r="C1445">
        <v>2</v>
      </c>
      <c r="D1445">
        <v>20</v>
      </c>
      <c r="E1445">
        <v>1</v>
      </c>
      <c r="F1445">
        <v>0</v>
      </c>
      <c r="G1445">
        <v>12</v>
      </c>
      <c r="H1445" t="s">
        <v>30</v>
      </c>
      <c r="I1445" t="s">
        <v>85</v>
      </c>
      <c r="J1445">
        <v>493</v>
      </c>
      <c r="K1445" s="3">
        <v>9.1999999999999993</v>
      </c>
      <c r="L1445">
        <v>4535.5999999999904</v>
      </c>
    </row>
    <row r="1446" spans="1:12" x14ac:dyDescent="0.3">
      <c r="A1446">
        <v>23</v>
      </c>
      <c r="B1446">
        <v>22</v>
      </c>
      <c r="C1446">
        <v>0</v>
      </c>
      <c r="D1446">
        <v>19</v>
      </c>
      <c r="E1446">
        <v>1</v>
      </c>
      <c r="F1446">
        <v>0</v>
      </c>
      <c r="G1446">
        <v>3</v>
      </c>
      <c r="H1446" t="s">
        <v>61</v>
      </c>
      <c r="I1446" t="s">
        <v>79</v>
      </c>
      <c r="J1446">
        <v>0</v>
      </c>
      <c r="K1446" s="3">
        <v>7.4</v>
      </c>
      <c r="L1446">
        <v>4913.6000000000004</v>
      </c>
    </row>
    <row r="1447" spans="1:12" x14ac:dyDescent="0.3">
      <c r="A1447">
        <v>8</v>
      </c>
      <c r="B1447">
        <v>18</v>
      </c>
      <c r="C1447">
        <v>3</v>
      </c>
      <c r="D1447">
        <v>19</v>
      </c>
      <c r="E1447">
        <v>1</v>
      </c>
      <c r="F1447">
        <v>0</v>
      </c>
      <c r="G1447">
        <v>1</v>
      </c>
      <c r="H1447" t="s">
        <v>40</v>
      </c>
      <c r="I1447" t="s">
        <v>83</v>
      </c>
      <c r="J1447">
        <v>424</v>
      </c>
      <c r="K1447" s="3">
        <v>7.4</v>
      </c>
      <c r="L1447">
        <v>3137.6</v>
      </c>
    </row>
    <row r="1448" spans="1:12" x14ac:dyDescent="0.3">
      <c r="A1448">
        <v>16</v>
      </c>
      <c r="B1448">
        <v>23</v>
      </c>
      <c r="C1448">
        <v>3</v>
      </c>
      <c r="D1448">
        <v>15</v>
      </c>
      <c r="E1448">
        <v>12</v>
      </c>
      <c r="F1448">
        <v>0</v>
      </c>
      <c r="G1448">
        <v>3</v>
      </c>
      <c r="H1448" t="s">
        <v>41</v>
      </c>
      <c r="I1448" t="s">
        <v>83</v>
      </c>
      <c r="J1448">
        <v>655</v>
      </c>
      <c r="K1448" s="3">
        <v>9.1</v>
      </c>
      <c r="L1448">
        <v>5960.5</v>
      </c>
    </row>
    <row r="1449" spans="1:12" x14ac:dyDescent="0.3">
      <c r="A1449">
        <v>22</v>
      </c>
      <c r="B1449">
        <v>23</v>
      </c>
      <c r="C1449">
        <v>0</v>
      </c>
      <c r="D1449">
        <v>15</v>
      </c>
      <c r="E1449">
        <v>1</v>
      </c>
      <c r="F1449">
        <v>0</v>
      </c>
      <c r="G1449">
        <v>10</v>
      </c>
      <c r="H1449" t="s">
        <v>20</v>
      </c>
      <c r="I1449" t="s">
        <v>89</v>
      </c>
      <c r="J1449">
        <v>612</v>
      </c>
      <c r="K1449" s="3">
        <v>9.1</v>
      </c>
      <c r="L1449">
        <v>5569.2</v>
      </c>
    </row>
    <row r="1450" spans="1:12" x14ac:dyDescent="0.3">
      <c r="A1450">
        <v>12</v>
      </c>
      <c r="B1450">
        <v>22</v>
      </c>
      <c r="C1450">
        <v>2</v>
      </c>
      <c r="D1450">
        <v>18</v>
      </c>
      <c r="E1450">
        <v>1</v>
      </c>
      <c r="F1450">
        <v>0</v>
      </c>
      <c r="G1450">
        <v>6</v>
      </c>
      <c r="H1450" t="s">
        <v>35</v>
      </c>
      <c r="I1450" t="s">
        <v>76</v>
      </c>
      <c r="J1450">
        <v>628</v>
      </c>
      <c r="K1450" s="3">
        <v>8.1999999999999993</v>
      </c>
      <c r="L1450">
        <v>5149.5999999999904</v>
      </c>
    </row>
    <row r="1451" spans="1:12" x14ac:dyDescent="0.3">
      <c r="A1451">
        <v>13</v>
      </c>
      <c r="B1451">
        <v>22</v>
      </c>
      <c r="C1451">
        <v>1</v>
      </c>
      <c r="D1451">
        <v>13</v>
      </c>
      <c r="E1451">
        <v>0</v>
      </c>
      <c r="F1451">
        <v>0</v>
      </c>
      <c r="G1451">
        <v>9</v>
      </c>
      <c r="H1451" t="s">
        <v>22</v>
      </c>
      <c r="I1451" t="s">
        <v>78</v>
      </c>
      <c r="J1451">
        <v>685</v>
      </c>
      <c r="K1451" s="3">
        <v>7.8</v>
      </c>
      <c r="L1451">
        <v>5343</v>
      </c>
    </row>
    <row r="1452" spans="1:12" x14ac:dyDescent="0.3">
      <c r="A1452">
        <v>12</v>
      </c>
      <c r="B1452">
        <v>22</v>
      </c>
      <c r="C1452">
        <v>2</v>
      </c>
      <c r="D1452">
        <v>10</v>
      </c>
      <c r="E1452">
        <v>0</v>
      </c>
      <c r="F1452">
        <v>0</v>
      </c>
      <c r="G1452">
        <v>4</v>
      </c>
      <c r="H1452" t="s">
        <v>58</v>
      </c>
      <c r="I1452" t="s">
        <v>96</v>
      </c>
      <c r="J1452">
        <v>558</v>
      </c>
      <c r="K1452" s="3">
        <v>8.4</v>
      </c>
      <c r="L1452">
        <v>4687.2</v>
      </c>
    </row>
    <row r="1453" spans="1:12" x14ac:dyDescent="0.3">
      <c r="A1453">
        <v>20</v>
      </c>
      <c r="B1453">
        <v>0</v>
      </c>
      <c r="C1453">
        <v>2</v>
      </c>
      <c r="D1453">
        <v>11</v>
      </c>
      <c r="E1453">
        <v>12</v>
      </c>
      <c r="F1453">
        <v>0</v>
      </c>
      <c r="G1453">
        <v>10</v>
      </c>
      <c r="H1453" t="s">
        <v>44</v>
      </c>
      <c r="I1453" t="s">
        <v>91</v>
      </c>
      <c r="J1453">
        <v>710</v>
      </c>
      <c r="K1453" s="3">
        <v>8.1999999999999993</v>
      </c>
      <c r="L1453">
        <v>5821.99999999999</v>
      </c>
    </row>
    <row r="1454" spans="1:12" x14ac:dyDescent="0.3">
      <c r="A1454">
        <v>23</v>
      </c>
      <c r="B1454">
        <v>22</v>
      </c>
      <c r="C1454">
        <v>0</v>
      </c>
      <c r="D1454">
        <v>18</v>
      </c>
      <c r="E1454">
        <v>0</v>
      </c>
      <c r="F1454">
        <v>0</v>
      </c>
      <c r="G1454">
        <v>6</v>
      </c>
      <c r="H1454" t="s">
        <v>36</v>
      </c>
      <c r="I1454" t="s">
        <v>91</v>
      </c>
      <c r="J1454">
        <v>451</v>
      </c>
      <c r="K1454" s="3">
        <v>8.8000000000000007</v>
      </c>
      <c r="L1454">
        <v>3968.8</v>
      </c>
    </row>
    <row r="1455" spans="1:12" x14ac:dyDescent="0.3">
      <c r="A1455">
        <v>9</v>
      </c>
      <c r="B1455">
        <v>20</v>
      </c>
      <c r="C1455">
        <v>0</v>
      </c>
      <c r="D1455">
        <v>20</v>
      </c>
      <c r="E1455">
        <v>1</v>
      </c>
      <c r="F1455">
        <v>0</v>
      </c>
      <c r="G1455">
        <v>9</v>
      </c>
      <c r="H1455" t="s">
        <v>34</v>
      </c>
      <c r="I1455" t="s">
        <v>90</v>
      </c>
      <c r="J1455">
        <v>549</v>
      </c>
      <c r="K1455" s="3">
        <v>7.6</v>
      </c>
      <c r="L1455">
        <v>4172.3999999999996</v>
      </c>
    </row>
    <row r="1456" spans="1:12" x14ac:dyDescent="0.3">
      <c r="A1456">
        <v>7</v>
      </c>
      <c r="B1456">
        <v>17</v>
      </c>
      <c r="C1456">
        <v>1</v>
      </c>
      <c r="D1456">
        <v>13</v>
      </c>
      <c r="E1456">
        <v>1</v>
      </c>
      <c r="F1456">
        <v>0</v>
      </c>
      <c r="G1456">
        <v>7</v>
      </c>
      <c r="H1456" t="s">
        <v>30</v>
      </c>
      <c r="I1456" t="s">
        <v>95</v>
      </c>
      <c r="J1456">
        <v>286</v>
      </c>
      <c r="K1456" s="3">
        <v>9.1999999999999993</v>
      </c>
      <c r="L1456">
        <v>2631.2</v>
      </c>
    </row>
    <row r="1457" spans="1:12" x14ac:dyDescent="0.3">
      <c r="A1457">
        <v>0</v>
      </c>
      <c r="B1457">
        <v>23</v>
      </c>
      <c r="C1457">
        <v>0</v>
      </c>
      <c r="D1457">
        <v>3</v>
      </c>
      <c r="E1457">
        <v>1</v>
      </c>
      <c r="F1457">
        <v>0</v>
      </c>
      <c r="G1457">
        <v>7</v>
      </c>
      <c r="H1457" t="s">
        <v>45</v>
      </c>
      <c r="I1457" t="s">
        <v>82</v>
      </c>
      <c r="J1457">
        <v>552</v>
      </c>
      <c r="K1457" s="3">
        <v>7.9</v>
      </c>
      <c r="L1457">
        <v>0</v>
      </c>
    </row>
    <row r="1458" spans="1:12" x14ac:dyDescent="0.3">
      <c r="A1458">
        <v>12</v>
      </c>
      <c r="B1458">
        <v>23</v>
      </c>
      <c r="C1458">
        <v>1</v>
      </c>
      <c r="D1458">
        <v>20</v>
      </c>
      <c r="E1458">
        <v>1</v>
      </c>
      <c r="F1458">
        <v>0</v>
      </c>
      <c r="G1458">
        <v>4</v>
      </c>
      <c r="H1458" t="s">
        <v>25</v>
      </c>
      <c r="I1458" t="s">
        <v>84</v>
      </c>
      <c r="J1458">
        <v>530</v>
      </c>
      <c r="K1458" s="3">
        <v>8.1</v>
      </c>
      <c r="L1458">
        <v>4293</v>
      </c>
    </row>
    <row r="1459" spans="1:12" x14ac:dyDescent="0.3">
      <c r="A1459">
        <v>12</v>
      </c>
      <c r="B1459">
        <v>22</v>
      </c>
      <c r="C1459">
        <v>3</v>
      </c>
      <c r="D1459">
        <v>5</v>
      </c>
      <c r="E1459">
        <v>1</v>
      </c>
      <c r="F1459">
        <v>0</v>
      </c>
      <c r="G1459">
        <v>6</v>
      </c>
      <c r="H1459" t="s">
        <v>13</v>
      </c>
      <c r="I1459" t="s">
        <v>72</v>
      </c>
      <c r="J1459">
        <v>370</v>
      </c>
      <c r="K1459">
        <v>8.3000000000000007</v>
      </c>
      <c r="L1459">
        <v>3071</v>
      </c>
    </row>
    <row r="1460" spans="1:12" x14ac:dyDescent="0.3">
      <c r="A1460">
        <v>14</v>
      </c>
      <c r="B1460">
        <v>22</v>
      </c>
      <c r="C1460">
        <v>3</v>
      </c>
      <c r="D1460">
        <v>20</v>
      </c>
      <c r="E1460">
        <v>1</v>
      </c>
      <c r="F1460">
        <v>0</v>
      </c>
      <c r="G1460">
        <v>7</v>
      </c>
      <c r="H1460" t="s">
        <v>18</v>
      </c>
      <c r="I1460" t="s">
        <v>125</v>
      </c>
      <c r="J1460">
        <v>658</v>
      </c>
      <c r="K1460" s="3">
        <v>0</v>
      </c>
      <c r="L1460">
        <v>5066.6000000000004</v>
      </c>
    </row>
    <row r="1461" spans="1:12" x14ac:dyDescent="0.3">
      <c r="A1461">
        <v>14</v>
      </c>
      <c r="B1461">
        <v>23</v>
      </c>
      <c r="C1461">
        <v>1</v>
      </c>
      <c r="D1461">
        <v>13</v>
      </c>
      <c r="E1461">
        <v>12</v>
      </c>
      <c r="F1461">
        <v>0</v>
      </c>
      <c r="G1461">
        <v>7</v>
      </c>
      <c r="H1461" t="s">
        <v>38</v>
      </c>
      <c r="I1461" t="s">
        <v>106</v>
      </c>
      <c r="J1461">
        <v>749</v>
      </c>
      <c r="K1461" s="3">
        <v>7.4</v>
      </c>
      <c r="L1461">
        <v>5542.6</v>
      </c>
    </row>
    <row r="1462" spans="1:12" x14ac:dyDescent="0.3">
      <c r="A1462">
        <v>23</v>
      </c>
      <c r="B1462">
        <v>23</v>
      </c>
      <c r="C1462">
        <v>0</v>
      </c>
      <c r="D1462">
        <v>11</v>
      </c>
      <c r="E1462">
        <v>1</v>
      </c>
      <c r="F1462">
        <v>0</v>
      </c>
      <c r="G1462">
        <v>3</v>
      </c>
      <c r="H1462" t="s">
        <v>32</v>
      </c>
      <c r="I1462" t="s">
        <v>74</v>
      </c>
      <c r="J1462">
        <v>485</v>
      </c>
      <c r="K1462" s="3">
        <v>7.6</v>
      </c>
      <c r="L1462">
        <v>3686</v>
      </c>
    </row>
    <row r="1463" spans="1:12" x14ac:dyDescent="0.3">
      <c r="A1463">
        <v>22</v>
      </c>
      <c r="B1463">
        <v>22</v>
      </c>
      <c r="C1463">
        <v>3</v>
      </c>
      <c r="D1463">
        <v>5</v>
      </c>
      <c r="E1463">
        <v>1</v>
      </c>
      <c r="F1463">
        <v>0</v>
      </c>
      <c r="G1463">
        <v>3</v>
      </c>
      <c r="H1463" t="s">
        <v>23</v>
      </c>
      <c r="I1463" t="s">
        <v>82</v>
      </c>
      <c r="J1463">
        <v>585</v>
      </c>
      <c r="K1463" s="3">
        <v>8.4</v>
      </c>
      <c r="L1463">
        <v>4914</v>
      </c>
    </row>
    <row r="1464" spans="1:12" x14ac:dyDescent="0.3">
      <c r="A1464">
        <v>8</v>
      </c>
      <c r="B1464">
        <v>21</v>
      </c>
      <c r="C1464">
        <v>3</v>
      </c>
      <c r="D1464">
        <v>9</v>
      </c>
      <c r="E1464">
        <v>7</v>
      </c>
      <c r="F1464">
        <v>0</v>
      </c>
      <c r="G1464">
        <v>10</v>
      </c>
      <c r="H1464" t="s">
        <v>18</v>
      </c>
      <c r="I1464" t="s">
        <v>82</v>
      </c>
      <c r="J1464">
        <v>630</v>
      </c>
      <c r="K1464" s="3">
        <v>7.7</v>
      </c>
      <c r="L1464">
        <v>4851</v>
      </c>
    </row>
    <row r="1465" spans="1:12" x14ac:dyDescent="0.3">
      <c r="A1465">
        <v>11</v>
      </c>
      <c r="B1465">
        <v>22</v>
      </c>
      <c r="C1465">
        <v>3</v>
      </c>
      <c r="D1465">
        <v>20</v>
      </c>
      <c r="E1465">
        <v>1</v>
      </c>
      <c r="F1465">
        <v>0</v>
      </c>
      <c r="G1465">
        <v>9</v>
      </c>
      <c r="H1465" t="s">
        <v>37</v>
      </c>
      <c r="I1465" t="s">
        <v>109</v>
      </c>
      <c r="J1465">
        <v>541</v>
      </c>
      <c r="K1465" s="3">
        <v>8.3000000000000007</v>
      </c>
      <c r="L1465">
        <v>4490.3</v>
      </c>
    </row>
    <row r="1466" spans="1:12" x14ac:dyDescent="0.3">
      <c r="A1466">
        <v>5</v>
      </c>
      <c r="B1466">
        <v>18</v>
      </c>
      <c r="C1466">
        <v>1</v>
      </c>
      <c r="D1466">
        <v>10</v>
      </c>
      <c r="E1466">
        <v>1</v>
      </c>
      <c r="F1466">
        <v>0</v>
      </c>
      <c r="G1466">
        <v>5</v>
      </c>
      <c r="H1466" t="s">
        <v>14</v>
      </c>
      <c r="I1466" t="s">
        <v>92</v>
      </c>
      <c r="J1466">
        <v>346</v>
      </c>
      <c r="K1466" s="3">
        <v>8.9</v>
      </c>
      <c r="L1466">
        <v>3079.4</v>
      </c>
    </row>
    <row r="1467" spans="1:12" x14ac:dyDescent="0.3">
      <c r="A1467">
        <v>16</v>
      </c>
      <c r="B1467">
        <v>22</v>
      </c>
      <c r="C1467">
        <v>1</v>
      </c>
      <c r="D1467">
        <v>5</v>
      </c>
      <c r="E1467">
        <v>12</v>
      </c>
      <c r="F1467">
        <v>0</v>
      </c>
      <c r="G1467">
        <v>10</v>
      </c>
      <c r="H1467" t="s">
        <v>25</v>
      </c>
      <c r="I1467" t="s">
        <v>368</v>
      </c>
      <c r="J1467">
        <v>460</v>
      </c>
      <c r="K1467" s="3">
        <v>8.1</v>
      </c>
      <c r="L1467">
        <v>3726</v>
      </c>
    </row>
    <row r="1468" spans="1:12" x14ac:dyDescent="0.3">
      <c r="A1468">
        <v>9</v>
      </c>
      <c r="B1468">
        <v>23</v>
      </c>
      <c r="C1468">
        <v>0</v>
      </c>
      <c r="D1468">
        <v>10</v>
      </c>
      <c r="E1468">
        <v>1</v>
      </c>
      <c r="F1468">
        <v>0</v>
      </c>
      <c r="G1468">
        <v>0</v>
      </c>
      <c r="H1468" t="s">
        <v>23</v>
      </c>
      <c r="I1468" t="s">
        <v>89</v>
      </c>
      <c r="J1468">
        <v>490</v>
      </c>
      <c r="K1468" s="3">
        <v>8.4</v>
      </c>
      <c r="L1468">
        <v>4116</v>
      </c>
    </row>
    <row r="1469" spans="1:12" x14ac:dyDescent="0.3">
      <c r="A1469">
        <v>15</v>
      </c>
      <c r="B1469">
        <v>23</v>
      </c>
      <c r="C1469">
        <v>0</v>
      </c>
      <c r="D1469">
        <v>3</v>
      </c>
      <c r="E1469">
        <v>1</v>
      </c>
      <c r="F1469">
        <v>0</v>
      </c>
      <c r="G1469">
        <v>6</v>
      </c>
      <c r="H1469" t="s">
        <v>15</v>
      </c>
      <c r="I1469" t="s">
        <v>75</v>
      </c>
      <c r="J1469">
        <v>266</v>
      </c>
      <c r="K1469" s="3">
        <v>8.3000000000000007</v>
      </c>
      <c r="L1469">
        <v>2207.8000000000002</v>
      </c>
    </row>
    <row r="1470" spans="1:12" x14ac:dyDescent="0.3">
      <c r="A1470">
        <v>9</v>
      </c>
      <c r="B1470">
        <v>20</v>
      </c>
      <c r="C1470">
        <v>1</v>
      </c>
      <c r="D1470">
        <v>22</v>
      </c>
      <c r="E1470">
        <v>1</v>
      </c>
      <c r="F1470">
        <v>0</v>
      </c>
      <c r="G1470">
        <v>3</v>
      </c>
      <c r="H1470" t="s">
        <v>19</v>
      </c>
      <c r="I1470" t="s">
        <v>368</v>
      </c>
      <c r="J1470">
        <v>656</v>
      </c>
      <c r="K1470" s="3">
        <v>8.9</v>
      </c>
      <c r="L1470">
        <v>5838.4</v>
      </c>
    </row>
    <row r="1471" spans="1:12" x14ac:dyDescent="0.3">
      <c r="A1471">
        <v>18</v>
      </c>
      <c r="B1471">
        <v>23</v>
      </c>
      <c r="C1471">
        <v>0</v>
      </c>
      <c r="D1471">
        <v>0</v>
      </c>
      <c r="E1471">
        <v>1</v>
      </c>
      <c r="F1471">
        <v>0</v>
      </c>
      <c r="G1471">
        <v>9</v>
      </c>
      <c r="H1471" t="s">
        <v>33</v>
      </c>
      <c r="I1471" t="s">
        <v>71</v>
      </c>
      <c r="J1471">
        <v>582</v>
      </c>
      <c r="K1471" s="3">
        <v>9.3000000000000007</v>
      </c>
      <c r="L1471">
        <v>5412.6</v>
      </c>
    </row>
    <row r="1472" spans="1:12" x14ac:dyDescent="0.3">
      <c r="A1472">
        <v>11</v>
      </c>
      <c r="B1472">
        <v>22</v>
      </c>
      <c r="C1472">
        <v>0</v>
      </c>
      <c r="D1472">
        <v>17</v>
      </c>
      <c r="E1472">
        <v>0</v>
      </c>
      <c r="F1472">
        <v>0</v>
      </c>
      <c r="G1472">
        <v>2</v>
      </c>
      <c r="H1472" t="s">
        <v>16</v>
      </c>
      <c r="I1472" t="s">
        <v>92</v>
      </c>
      <c r="J1472">
        <v>386</v>
      </c>
      <c r="K1472" s="3">
        <v>8.9</v>
      </c>
      <c r="L1472">
        <v>3435.4</v>
      </c>
    </row>
    <row r="1473" spans="1:12" x14ac:dyDescent="0.3">
      <c r="A1473">
        <v>15</v>
      </c>
      <c r="B1473">
        <v>22</v>
      </c>
      <c r="C1473">
        <v>0</v>
      </c>
      <c r="D1473">
        <v>5</v>
      </c>
      <c r="E1473">
        <v>1</v>
      </c>
      <c r="F1473">
        <v>0</v>
      </c>
      <c r="G1473">
        <v>2</v>
      </c>
      <c r="H1473" t="s">
        <v>369</v>
      </c>
      <c r="I1473" t="s">
        <v>70</v>
      </c>
      <c r="J1473">
        <v>416</v>
      </c>
      <c r="K1473" s="3">
        <v>9.1999999999999993</v>
      </c>
      <c r="L1473">
        <v>3827.2</v>
      </c>
    </row>
    <row r="1474" spans="1:12" x14ac:dyDescent="0.3">
      <c r="A1474">
        <v>22</v>
      </c>
      <c r="B1474">
        <v>23</v>
      </c>
      <c r="C1474">
        <v>1</v>
      </c>
      <c r="D1474">
        <v>5</v>
      </c>
      <c r="E1474">
        <v>1</v>
      </c>
      <c r="F1474">
        <v>0</v>
      </c>
      <c r="G1474">
        <v>1</v>
      </c>
      <c r="H1474" t="s">
        <v>15</v>
      </c>
      <c r="I1474" t="s">
        <v>105</v>
      </c>
      <c r="J1474">
        <v>597</v>
      </c>
      <c r="K1474" s="3">
        <v>8.3000000000000007</v>
      </c>
      <c r="L1474">
        <v>4955.1000000000004</v>
      </c>
    </row>
    <row r="1475" spans="1:12" x14ac:dyDescent="0.3">
      <c r="A1475">
        <v>14</v>
      </c>
      <c r="B1475">
        <v>22</v>
      </c>
      <c r="C1475">
        <v>1</v>
      </c>
      <c r="D1475">
        <v>5</v>
      </c>
      <c r="E1475">
        <v>1</v>
      </c>
      <c r="F1475">
        <v>0</v>
      </c>
      <c r="G1475">
        <v>10</v>
      </c>
      <c r="H1475" t="s">
        <v>36</v>
      </c>
      <c r="I1475" t="s">
        <v>73</v>
      </c>
      <c r="J1475">
        <v>451</v>
      </c>
      <c r="K1475" s="3">
        <v>8.8000000000000007</v>
      </c>
      <c r="L1475">
        <v>3968.8</v>
      </c>
    </row>
    <row r="1476" spans="1:12" x14ac:dyDescent="0.3">
      <c r="A1476">
        <v>23</v>
      </c>
      <c r="B1476">
        <v>22</v>
      </c>
      <c r="C1476">
        <v>2</v>
      </c>
      <c r="D1476">
        <v>14</v>
      </c>
      <c r="E1476">
        <v>1</v>
      </c>
      <c r="F1476">
        <v>0</v>
      </c>
      <c r="G1476">
        <v>7</v>
      </c>
      <c r="H1476" t="s">
        <v>25</v>
      </c>
      <c r="I1476" t="s">
        <v>93</v>
      </c>
      <c r="J1476">
        <v>631</v>
      </c>
      <c r="K1476" s="3">
        <v>8.1</v>
      </c>
      <c r="L1476">
        <v>5111.0999999999904</v>
      </c>
    </row>
    <row r="1477" spans="1:12" x14ac:dyDescent="0.3">
      <c r="A1477">
        <v>10</v>
      </c>
      <c r="B1477">
        <v>19</v>
      </c>
      <c r="C1477">
        <v>1</v>
      </c>
      <c r="D1477">
        <v>9</v>
      </c>
      <c r="E1477">
        <v>1</v>
      </c>
      <c r="F1477">
        <v>0</v>
      </c>
      <c r="G1477">
        <v>8</v>
      </c>
      <c r="H1477" t="s">
        <v>51</v>
      </c>
      <c r="I1477" t="s">
        <v>106</v>
      </c>
      <c r="J1477">
        <v>493</v>
      </c>
      <c r="K1477" s="3">
        <v>8.8000000000000007</v>
      </c>
      <c r="L1477">
        <v>4338.3999999999996</v>
      </c>
    </row>
    <row r="1478" spans="1:12" x14ac:dyDescent="0.3">
      <c r="A1478">
        <v>22</v>
      </c>
      <c r="B1478">
        <v>22</v>
      </c>
      <c r="C1478">
        <v>3</v>
      </c>
      <c r="D1478">
        <v>6</v>
      </c>
      <c r="E1478">
        <v>12</v>
      </c>
      <c r="F1478">
        <v>0</v>
      </c>
      <c r="G1478">
        <v>1</v>
      </c>
      <c r="H1478" t="s">
        <v>36</v>
      </c>
      <c r="I1478" t="s">
        <v>95</v>
      </c>
      <c r="J1478">
        <v>680</v>
      </c>
      <c r="K1478" s="3">
        <v>8.8000000000000007</v>
      </c>
      <c r="L1478">
        <v>5984</v>
      </c>
    </row>
    <row r="1479" spans="1:12" x14ac:dyDescent="0.3">
      <c r="A1479">
        <v>20</v>
      </c>
      <c r="B1479">
        <v>23</v>
      </c>
      <c r="C1479">
        <v>1</v>
      </c>
      <c r="D1479">
        <v>20</v>
      </c>
      <c r="E1479">
        <v>1</v>
      </c>
      <c r="F1479">
        <v>0</v>
      </c>
      <c r="G1479">
        <v>6</v>
      </c>
      <c r="H1479" t="s">
        <v>43</v>
      </c>
      <c r="I1479" t="s">
        <v>82</v>
      </c>
      <c r="J1479">
        <v>494</v>
      </c>
      <c r="K1479" s="3">
        <v>7.6</v>
      </c>
      <c r="L1479" t="s">
        <v>143</v>
      </c>
    </row>
    <row r="1480" spans="1:12" x14ac:dyDescent="0.3">
      <c r="A1480">
        <v>15</v>
      </c>
      <c r="B1480">
        <v>22</v>
      </c>
      <c r="C1480">
        <v>3</v>
      </c>
      <c r="D1480">
        <v>18</v>
      </c>
      <c r="E1480">
        <v>1</v>
      </c>
      <c r="F1480">
        <v>0</v>
      </c>
      <c r="G1480">
        <v>4</v>
      </c>
      <c r="H1480" t="s">
        <v>18</v>
      </c>
      <c r="I1480" t="s">
        <v>80</v>
      </c>
      <c r="J1480">
        <v>668</v>
      </c>
      <c r="K1480" s="3">
        <v>7.7</v>
      </c>
      <c r="L1480">
        <v>5143.6000000000004</v>
      </c>
    </row>
    <row r="1481" spans="1:12" x14ac:dyDescent="0.3">
      <c r="A1481">
        <v>23</v>
      </c>
      <c r="B1481">
        <v>23</v>
      </c>
      <c r="C1481">
        <v>3</v>
      </c>
      <c r="D1481">
        <v>8</v>
      </c>
      <c r="E1481">
        <v>1</v>
      </c>
      <c r="F1481">
        <v>0</v>
      </c>
      <c r="G1481">
        <v>6</v>
      </c>
      <c r="H1481" t="s">
        <v>369</v>
      </c>
      <c r="I1481" t="s">
        <v>109</v>
      </c>
      <c r="J1481">
        <v>445</v>
      </c>
      <c r="K1481" s="3">
        <v>8.9</v>
      </c>
      <c r="L1481">
        <v>3960.5</v>
      </c>
    </row>
    <row r="1482" spans="1:12" x14ac:dyDescent="0.3">
      <c r="A1482">
        <v>22</v>
      </c>
      <c r="B1482">
        <v>22</v>
      </c>
      <c r="C1482">
        <v>2</v>
      </c>
      <c r="D1482">
        <v>21</v>
      </c>
      <c r="E1482">
        <v>1</v>
      </c>
      <c r="F1482">
        <v>0</v>
      </c>
      <c r="G1482">
        <v>6</v>
      </c>
      <c r="H1482" t="s">
        <v>52</v>
      </c>
      <c r="I1482" t="s">
        <v>82</v>
      </c>
      <c r="J1482">
        <v>646</v>
      </c>
      <c r="K1482" s="3">
        <v>9.3000000000000007</v>
      </c>
      <c r="L1482">
        <v>6007.8</v>
      </c>
    </row>
    <row r="1483" spans="1:12" x14ac:dyDescent="0.3">
      <c r="A1483">
        <v>12</v>
      </c>
      <c r="B1483">
        <v>22</v>
      </c>
      <c r="C1483">
        <v>0</v>
      </c>
      <c r="D1483">
        <v>16</v>
      </c>
      <c r="E1483">
        <v>1</v>
      </c>
      <c r="F1483">
        <v>0</v>
      </c>
      <c r="G1483">
        <v>7</v>
      </c>
      <c r="H1483" t="s">
        <v>33</v>
      </c>
      <c r="I1483" t="s">
        <v>71</v>
      </c>
      <c r="J1483">
        <v>563</v>
      </c>
      <c r="K1483" s="3">
        <v>9.3000000000000007</v>
      </c>
      <c r="L1483">
        <v>5235.8999999999996</v>
      </c>
    </row>
    <row r="1484" spans="1:12" x14ac:dyDescent="0.3">
      <c r="A1484">
        <v>21</v>
      </c>
      <c r="B1484">
        <v>22</v>
      </c>
      <c r="C1484">
        <v>1</v>
      </c>
      <c r="D1484">
        <v>12</v>
      </c>
      <c r="E1484">
        <v>1</v>
      </c>
      <c r="F1484">
        <v>0</v>
      </c>
      <c r="G1484">
        <v>11</v>
      </c>
      <c r="H1484" t="s">
        <v>24</v>
      </c>
      <c r="I1484" t="s">
        <v>71</v>
      </c>
      <c r="J1484">
        <v>561</v>
      </c>
      <c r="K1484" s="3">
        <v>0</v>
      </c>
      <c r="L1484">
        <v>4431.8999999999996</v>
      </c>
    </row>
    <row r="1485" spans="1:12" x14ac:dyDescent="0.3">
      <c r="A1485">
        <v>10</v>
      </c>
      <c r="B1485">
        <v>20</v>
      </c>
      <c r="C1485">
        <v>2</v>
      </c>
      <c r="D1485">
        <v>10</v>
      </c>
      <c r="E1485">
        <v>1</v>
      </c>
      <c r="F1485">
        <v>0</v>
      </c>
      <c r="G1485">
        <v>2</v>
      </c>
      <c r="H1485" t="s">
        <v>42</v>
      </c>
      <c r="I1485" t="s">
        <v>92</v>
      </c>
      <c r="J1485">
        <v>278</v>
      </c>
      <c r="K1485" s="3">
        <v>7.8</v>
      </c>
      <c r="L1485">
        <v>2168.4</v>
      </c>
    </row>
    <row r="1486" spans="1:12" x14ac:dyDescent="0.3">
      <c r="A1486">
        <v>21</v>
      </c>
      <c r="B1486">
        <v>23</v>
      </c>
      <c r="C1486">
        <v>0</v>
      </c>
      <c r="D1486">
        <v>7</v>
      </c>
      <c r="E1486">
        <v>1</v>
      </c>
      <c r="F1486">
        <v>0</v>
      </c>
      <c r="G1486">
        <v>0</v>
      </c>
      <c r="H1486" t="s">
        <v>25</v>
      </c>
      <c r="I1486" t="s">
        <v>92</v>
      </c>
      <c r="J1486">
        <v>471</v>
      </c>
      <c r="K1486" s="3">
        <v>8.1</v>
      </c>
      <c r="L1486">
        <v>3815.1</v>
      </c>
    </row>
    <row r="1487" spans="1:12" x14ac:dyDescent="0.3">
      <c r="A1487">
        <v>11</v>
      </c>
      <c r="B1487">
        <v>23</v>
      </c>
      <c r="C1487">
        <v>2</v>
      </c>
      <c r="D1487">
        <v>12</v>
      </c>
      <c r="E1487">
        <v>1</v>
      </c>
      <c r="F1487">
        <v>0</v>
      </c>
      <c r="G1487">
        <v>9</v>
      </c>
      <c r="H1487" t="s">
        <v>34</v>
      </c>
      <c r="I1487" t="s">
        <v>95</v>
      </c>
      <c r="J1487">
        <v>544</v>
      </c>
      <c r="K1487" s="3">
        <v>7.6</v>
      </c>
      <c r="L1487">
        <v>4134.3999999999996</v>
      </c>
    </row>
    <row r="1488" spans="1:12" x14ac:dyDescent="0.3">
      <c r="A1488">
        <v>11</v>
      </c>
      <c r="B1488">
        <v>22</v>
      </c>
      <c r="C1488">
        <v>1</v>
      </c>
      <c r="D1488">
        <v>14</v>
      </c>
      <c r="E1488">
        <v>1</v>
      </c>
      <c r="F1488">
        <v>0</v>
      </c>
      <c r="G1488">
        <v>9</v>
      </c>
      <c r="H1488" t="s">
        <v>16</v>
      </c>
      <c r="I1488" t="s">
        <v>73</v>
      </c>
      <c r="J1488">
        <v>583</v>
      </c>
      <c r="K1488" s="3">
        <v>8.9</v>
      </c>
      <c r="L1488">
        <v>5188.7</v>
      </c>
    </row>
    <row r="1489" spans="1:12" x14ac:dyDescent="0.3">
      <c r="A1489">
        <v>7</v>
      </c>
      <c r="B1489">
        <v>17</v>
      </c>
      <c r="C1489">
        <v>2</v>
      </c>
      <c r="D1489">
        <v>21</v>
      </c>
      <c r="E1489">
        <v>1</v>
      </c>
      <c r="F1489">
        <v>0</v>
      </c>
      <c r="G1489">
        <v>0</v>
      </c>
      <c r="H1489" t="s">
        <v>18</v>
      </c>
      <c r="I1489" t="s">
        <v>72</v>
      </c>
      <c r="J1489">
        <v>396</v>
      </c>
      <c r="K1489" s="3">
        <v>0</v>
      </c>
      <c r="L1489">
        <v>3049.2</v>
      </c>
    </row>
    <row r="1490" spans="1:12" x14ac:dyDescent="0.3">
      <c r="A1490">
        <v>11</v>
      </c>
      <c r="B1490">
        <v>0</v>
      </c>
      <c r="C1490">
        <v>3</v>
      </c>
      <c r="D1490">
        <v>8</v>
      </c>
      <c r="E1490">
        <v>1</v>
      </c>
      <c r="F1490">
        <v>0</v>
      </c>
      <c r="G1490">
        <v>11</v>
      </c>
      <c r="H1490" t="s">
        <v>35</v>
      </c>
      <c r="I1490" t="s">
        <v>71</v>
      </c>
      <c r="J1490">
        <v>560</v>
      </c>
      <c r="K1490" s="3">
        <v>8.1999999999999993</v>
      </c>
      <c r="L1490">
        <v>4592</v>
      </c>
    </row>
    <row r="1491" spans="1:12" x14ac:dyDescent="0.3">
      <c r="A1491">
        <v>17</v>
      </c>
      <c r="B1491">
        <v>22</v>
      </c>
      <c r="C1491">
        <v>0</v>
      </c>
      <c r="D1491">
        <v>19</v>
      </c>
      <c r="E1491">
        <v>1</v>
      </c>
      <c r="F1491">
        <v>0</v>
      </c>
      <c r="G1491">
        <v>12</v>
      </c>
      <c r="H1491" t="s">
        <v>33</v>
      </c>
      <c r="I1491" t="s">
        <v>133</v>
      </c>
      <c r="J1491">
        <v>525</v>
      </c>
      <c r="K1491" s="3">
        <v>9.3000000000000007</v>
      </c>
      <c r="L1491">
        <v>4882.5</v>
      </c>
    </row>
    <row r="1492" spans="1:12" x14ac:dyDescent="0.3">
      <c r="A1492">
        <v>23</v>
      </c>
      <c r="B1492">
        <v>22</v>
      </c>
      <c r="C1492">
        <v>1</v>
      </c>
      <c r="D1492">
        <v>6</v>
      </c>
      <c r="E1492">
        <v>1</v>
      </c>
      <c r="F1492">
        <v>0</v>
      </c>
      <c r="G1492">
        <v>7</v>
      </c>
      <c r="H1492" t="s">
        <v>369</v>
      </c>
      <c r="I1492" t="s">
        <v>104</v>
      </c>
      <c r="J1492">
        <v>547</v>
      </c>
      <c r="K1492" s="3">
        <v>0</v>
      </c>
      <c r="L1492">
        <v>4266.5999999999904</v>
      </c>
    </row>
    <row r="1493" spans="1:12" x14ac:dyDescent="0.3">
      <c r="A1493">
        <v>21</v>
      </c>
      <c r="B1493">
        <v>23</v>
      </c>
      <c r="C1493">
        <v>3</v>
      </c>
      <c r="D1493">
        <v>19</v>
      </c>
      <c r="E1493">
        <v>1</v>
      </c>
      <c r="F1493">
        <v>0</v>
      </c>
      <c r="G1493">
        <v>9</v>
      </c>
      <c r="H1493" t="s">
        <v>48</v>
      </c>
      <c r="I1493" t="s">
        <v>74</v>
      </c>
      <c r="J1493">
        <v>535</v>
      </c>
      <c r="K1493" s="3">
        <v>8.6999999999999993</v>
      </c>
      <c r="L1493">
        <v>4654.5</v>
      </c>
    </row>
    <row r="1494" spans="1:12" x14ac:dyDescent="0.3">
      <c r="A1494">
        <v>22</v>
      </c>
      <c r="B1494">
        <v>22</v>
      </c>
      <c r="C1494">
        <v>1</v>
      </c>
      <c r="D1494">
        <v>10</v>
      </c>
      <c r="E1494">
        <v>1</v>
      </c>
      <c r="F1494">
        <v>0</v>
      </c>
      <c r="G1494">
        <v>10</v>
      </c>
      <c r="H1494" t="s">
        <v>25</v>
      </c>
      <c r="I1494" t="s">
        <v>73</v>
      </c>
      <c r="J1494">
        <v>551</v>
      </c>
      <c r="K1494" s="3">
        <v>8.1</v>
      </c>
      <c r="L1494">
        <v>4463.0999999999904</v>
      </c>
    </row>
    <row r="1495" spans="1:12" x14ac:dyDescent="0.3">
      <c r="A1495">
        <v>13</v>
      </c>
      <c r="B1495">
        <v>23</v>
      </c>
      <c r="C1495">
        <v>2</v>
      </c>
      <c r="D1495">
        <v>13</v>
      </c>
      <c r="E1495">
        <v>1</v>
      </c>
      <c r="F1495">
        <v>0</v>
      </c>
      <c r="G1495">
        <v>11</v>
      </c>
      <c r="H1495" t="s">
        <v>48</v>
      </c>
      <c r="I1495" t="s">
        <v>77</v>
      </c>
      <c r="J1495">
        <v>553</v>
      </c>
      <c r="K1495">
        <v>8.6999999999999993</v>
      </c>
      <c r="L1495">
        <v>4811.0999999999904</v>
      </c>
    </row>
    <row r="1496" spans="1:12" x14ac:dyDescent="0.3">
      <c r="A1496">
        <v>10</v>
      </c>
      <c r="B1496">
        <v>20</v>
      </c>
      <c r="C1496">
        <v>0</v>
      </c>
      <c r="D1496">
        <v>8</v>
      </c>
      <c r="E1496">
        <v>1</v>
      </c>
      <c r="F1496">
        <v>0</v>
      </c>
      <c r="G1496">
        <v>8</v>
      </c>
      <c r="H1496" t="s">
        <v>37</v>
      </c>
      <c r="I1496" t="s">
        <v>81</v>
      </c>
      <c r="J1496">
        <v>293</v>
      </c>
      <c r="K1496" s="3">
        <v>8.3000000000000007</v>
      </c>
      <c r="L1496">
        <v>2431.9</v>
      </c>
    </row>
    <row r="1497" spans="1:12" x14ac:dyDescent="0.3">
      <c r="A1497">
        <v>6</v>
      </c>
      <c r="B1497">
        <v>18</v>
      </c>
      <c r="C1497">
        <v>0</v>
      </c>
      <c r="D1497">
        <v>12</v>
      </c>
      <c r="E1497">
        <v>1</v>
      </c>
      <c r="F1497">
        <v>0</v>
      </c>
      <c r="G1497">
        <v>11</v>
      </c>
      <c r="H1497" t="s">
        <v>53</v>
      </c>
      <c r="I1497" t="s">
        <v>92</v>
      </c>
      <c r="J1497">
        <v>344</v>
      </c>
      <c r="K1497">
        <v>7.7</v>
      </c>
      <c r="L1497">
        <v>2648.8</v>
      </c>
    </row>
    <row r="1498" spans="1:12" x14ac:dyDescent="0.3">
      <c r="A1498">
        <v>12</v>
      </c>
      <c r="B1498">
        <v>22</v>
      </c>
      <c r="C1498">
        <v>0</v>
      </c>
      <c r="D1498">
        <v>13</v>
      </c>
      <c r="E1498">
        <v>1</v>
      </c>
      <c r="F1498">
        <v>0</v>
      </c>
      <c r="G1498">
        <v>7</v>
      </c>
      <c r="H1498" t="s">
        <v>22</v>
      </c>
      <c r="I1498" t="s">
        <v>90</v>
      </c>
      <c r="J1498">
        <v>497</v>
      </c>
      <c r="K1498" s="3">
        <v>7.8</v>
      </c>
      <c r="L1498">
        <v>3876.6</v>
      </c>
    </row>
    <row r="1499" spans="1:12" x14ac:dyDescent="0.3">
      <c r="A1499">
        <v>10</v>
      </c>
      <c r="B1499">
        <v>20</v>
      </c>
      <c r="C1499">
        <v>0</v>
      </c>
      <c r="D1499">
        <v>7</v>
      </c>
      <c r="E1499">
        <v>0</v>
      </c>
      <c r="F1499">
        <v>0</v>
      </c>
      <c r="G1499">
        <v>12</v>
      </c>
      <c r="H1499" t="s">
        <v>22</v>
      </c>
      <c r="I1499" t="s">
        <v>92</v>
      </c>
      <c r="J1499">
        <v>299</v>
      </c>
      <c r="K1499" s="3">
        <v>7.8</v>
      </c>
      <c r="L1499">
        <v>2332.1999999999998</v>
      </c>
    </row>
    <row r="1500" spans="1:12" x14ac:dyDescent="0.3">
      <c r="A1500">
        <v>6</v>
      </c>
      <c r="B1500">
        <v>20</v>
      </c>
      <c r="C1500">
        <v>1</v>
      </c>
      <c r="D1500">
        <v>8</v>
      </c>
      <c r="E1500">
        <v>1</v>
      </c>
      <c r="F1500">
        <v>0</v>
      </c>
      <c r="G1500">
        <v>7</v>
      </c>
      <c r="H1500" t="s">
        <v>25</v>
      </c>
      <c r="I1500" t="s">
        <v>72</v>
      </c>
      <c r="J1500">
        <v>255</v>
      </c>
      <c r="K1500" s="3">
        <v>8.1</v>
      </c>
      <c r="L1500">
        <v>2065.5</v>
      </c>
    </row>
    <row r="1501" spans="1:12" x14ac:dyDescent="0.3">
      <c r="A1501">
        <v>19</v>
      </c>
      <c r="B1501">
        <v>23</v>
      </c>
      <c r="C1501">
        <v>3</v>
      </c>
      <c r="D1501">
        <v>19</v>
      </c>
      <c r="E1501">
        <v>1</v>
      </c>
      <c r="F1501">
        <v>0</v>
      </c>
      <c r="G1501">
        <v>10</v>
      </c>
      <c r="H1501" t="s">
        <v>23</v>
      </c>
      <c r="I1501" t="s">
        <v>96</v>
      </c>
      <c r="J1501">
        <v>557</v>
      </c>
      <c r="K1501" s="3">
        <v>8.4</v>
      </c>
      <c r="L1501">
        <v>4678.8</v>
      </c>
    </row>
    <row r="1502" spans="1:12" x14ac:dyDescent="0.3">
      <c r="A1502">
        <v>8</v>
      </c>
      <c r="B1502">
        <v>19</v>
      </c>
      <c r="C1502">
        <v>1</v>
      </c>
      <c r="D1502">
        <v>12</v>
      </c>
      <c r="E1502">
        <v>1</v>
      </c>
      <c r="F1502">
        <v>0</v>
      </c>
      <c r="G1502">
        <v>8</v>
      </c>
      <c r="H1502" t="s">
        <v>26</v>
      </c>
      <c r="I1502" t="s">
        <v>80</v>
      </c>
      <c r="J1502">
        <v>365</v>
      </c>
      <c r="K1502" s="3">
        <v>8.5</v>
      </c>
      <c r="L1502">
        <v>3102.5</v>
      </c>
    </row>
    <row r="1503" spans="1:12" x14ac:dyDescent="0.3">
      <c r="A1503">
        <v>20</v>
      </c>
      <c r="B1503">
        <v>23</v>
      </c>
      <c r="C1503">
        <v>1</v>
      </c>
      <c r="D1503">
        <v>6</v>
      </c>
      <c r="E1503">
        <v>1</v>
      </c>
      <c r="F1503">
        <v>0</v>
      </c>
      <c r="G1503">
        <v>1</v>
      </c>
      <c r="H1503" t="s">
        <v>62</v>
      </c>
      <c r="I1503" t="s">
        <v>107</v>
      </c>
      <c r="J1503">
        <v>422</v>
      </c>
      <c r="K1503" s="3">
        <v>8.5</v>
      </c>
      <c r="L1503">
        <v>3587</v>
      </c>
    </row>
    <row r="1504" spans="1:12" x14ac:dyDescent="0.3">
      <c r="A1504">
        <v>14</v>
      </c>
      <c r="B1504">
        <v>22</v>
      </c>
      <c r="C1504">
        <v>3</v>
      </c>
      <c r="D1504">
        <v>3</v>
      </c>
      <c r="E1504">
        <v>12</v>
      </c>
      <c r="F1504">
        <v>0</v>
      </c>
      <c r="G1504">
        <v>7</v>
      </c>
      <c r="H1504" t="s">
        <v>18</v>
      </c>
      <c r="I1504" t="s">
        <v>91</v>
      </c>
      <c r="J1504">
        <v>639</v>
      </c>
      <c r="K1504" s="3">
        <v>7.7</v>
      </c>
      <c r="L1504">
        <v>4920.3</v>
      </c>
    </row>
    <row r="1505" spans="1:12" x14ac:dyDescent="0.3">
      <c r="A1505">
        <v>20</v>
      </c>
      <c r="B1505">
        <v>22</v>
      </c>
      <c r="C1505">
        <v>1</v>
      </c>
      <c r="D1505">
        <v>22</v>
      </c>
      <c r="E1505">
        <v>12</v>
      </c>
      <c r="F1505">
        <v>0</v>
      </c>
      <c r="G1505">
        <v>11</v>
      </c>
      <c r="H1505" t="s">
        <v>21</v>
      </c>
      <c r="I1505" t="s">
        <v>105</v>
      </c>
      <c r="J1505">
        <v>690</v>
      </c>
      <c r="K1505" s="3">
        <v>8.6999999999999993</v>
      </c>
      <c r="L1505">
        <v>6002.99999999999</v>
      </c>
    </row>
    <row r="1506" spans="1:12" x14ac:dyDescent="0.3">
      <c r="A1506">
        <v>14</v>
      </c>
      <c r="B1506">
        <v>22</v>
      </c>
      <c r="C1506">
        <v>2</v>
      </c>
      <c r="D1506">
        <v>6</v>
      </c>
      <c r="E1506">
        <v>1</v>
      </c>
      <c r="F1506">
        <v>0</v>
      </c>
      <c r="G1506">
        <v>11</v>
      </c>
      <c r="H1506" t="s">
        <v>20</v>
      </c>
      <c r="I1506" t="s">
        <v>75</v>
      </c>
      <c r="J1506">
        <v>320</v>
      </c>
      <c r="K1506" s="3">
        <v>9.1</v>
      </c>
      <c r="L1506">
        <v>2912</v>
      </c>
    </row>
    <row r="1507" spans="1:12" x14ac:dyDescent="0.3">
      <c r="A1507">
        <v>5</v>
      </c>
      <c r="B1507">
        <v>22</v>
      </c>
      <c r="C1507">
        <v>3</v>
      </c>
      <c r="D1507">
        <v>20</v>
      </c>
      <c r="E1507">
        <v>1</v>
      </c>
      <c r="F1507">
        <v>0</v>
      </c>
      <c r="G1507">
        <v>4</v>
      </c>
      <c r="H1507" t="s">
        <v>23</v>
      </c>
      <c r="I1507" t="s">
        <v>92</v>
      </c>
      <c r="J1507">
        <v>438</v>
      </c>
      <c r="K1507" s="3">
        <v>8.4</v>
      </c>
      <c r="L1507">
        <v>3679.2</v>
      </c>
    </row>
    <row r="1508" spans="1:12" x14ac:dyDescent="0.3">
      <c r="A1508">
        <v>9</v>
      </c>
      <c r="B1508">
        <v>18</v>
      </c>
      <c r="C1508">
        <v>2</v>
      </c>
      <c r="D1508">
        <v>21</v>
      </c>
      <c r="E1508">
        <v>7</v>
      </c>
      <c r="F1508">
        <v>0</v>
      </c>
      <c r="G1508">
        <v>2</v>
      </c>
      <c r="H1508" t="s">
        <v>26</v>
      </c>
      <c r="I1508" t="s">
        <v>96</v>
      </c>
      <c r="J1508">
        <v>424</v>
      </c>
      <c r="K1508" s="3">
        <v>8.5</v>
      </c>
      <c r="L1508">
        <v>3604</v>
      </c>
    </row>
    <row r="1509" spans="1:12" x14ac:dyDescent="0.3">
      <c r="A1509">
        <v>20</v>
      </c>
      <c r="B1509">
        <v>23</v>
      </c>
      <c r="C1509">
        <v>2</v>
      </c>
      <c r="D1509">
        <v>19</v>
      </c>
      <c r="E1509">
        <v>1</v>
      </c>
      <c r="F1509">
        <v>0</v>
      </c>
      <c r="G1509">
        <v>8</v>
      </c>
      <c r="H1509" t="s">
        <v>13</v>
      </c>
      <c r="I1509" t="s">
        <v>368</v>
      </c>
      <c r="J1509">
        <v>635</v>
      </c>
      <c r="K1509" s="3">
        <v>8.3000000000000007</v>
      </c>
      <c r="L1509">
        <v>5270.5</v>
      </c>
    </row>
    <row r="1510" spans="1:12" x14ac:dyDescent="0.3">
      <c r="A1510">
        <v>10</v>
      </c>
      <c r="B1510">
        <v>17</v>
      </c>
      <c r="C1510">
        <v>0</v>
      </c>
      <c r="D1510">
        <v>18</v>
      </c>
      <c r="E1510">
        <v>7</v>
      </c>
      <c r="F1510">
        <v>0</v>
      </c>
      <c r="G1510">
        <v>11</v>
      </c>
      <c r="H1510" t="s">
        <v>23</v>
      </c>
      <c r="I1510" t="s">
        <v>118</v>
      </c>
      <c r="J1510">
        <v>561</v>
      </c>
      <c r="K1510" s="3">
        <v>8.4</v>
      </c>
      <c r="L1510">
        <v>4712.3999999999996</v>
      </c>
    </row>
    <row r="1511" spans="1:12" x14ac:dyDescent="0.3">
      <c r="A1511">
        <v>11</v>
      </c>
      <c r="B1511">
        <v>23</v>
      </c>
      <c r="C1511">
        <v>3</v>
      </c>
      <c r="D1511">
        <v>4</v>
      </c>
      <c r="E1511">
        <v>1</v>
      </c>
      <c r="F1511">
        <v>0</v>
      </c>
      <c r="G1511">
        <v>11</v>
      </c>
      <c r="H1511" t="s">
        <v>30</v>
      </c>
      <c r="I1511" t="s">
        <v>79</v>
      </c>
      <c r="J1511">
        <v>443</v>
      </c>
      <c r="K1511" s="3">
        <v>9.1999999999999993</v>
      </c>
      <c r="L1511">
        <v>0</v>
      </c>
    </row>
    <row r="1512" spans="1:12" x14ac:dyDescent="0.3">
      <c r="A1512">
        <v>21</v>
      </c>
      <c r="B1512">
        <v>23</v>
      </c>
      <c r="C1512">
        <v>0</v>
      </c>
      <c r="D1512">
        <v>13</v>
      </c>
      <c r="E1512">
        <v>1</v>
      </c>
      <c r="F1512">
        <v>0</v>
      </c>
      <c r="G1512">
        <v>8</v>
      </c>
      <c r="H1512" t="s">
        <v>24</v>
      </c>
      <c r="I1512" t="s">
        <v>88</v>
      </c>
      <c r="J1512">
        <v>0</v>
      </c>
      <c r="K1512" s="3">
        <v>7.9</v>
      </c>
      <c r="L1512">
        <v>4811.1000000000004</v>
      </c>
    </row>
    <row r="1513" spans="1:12" x14ac:dyDescent="0.3">
      <c r="A1513">
        <v>17</v>
      </c>
      <c r="B1513">
        <v>22</v>
      </c>
      <c r="C1513">
        <v>1</v>
      </c>
      <c r="D1513">
        <v>0</v>
      </c>
      <c r="E1513">
        <v>1</v>
      </c>
      <c r="F1513">
        <v>0</v>
      </c>
      <c r="G1513">
        <v>8</v>
      </c>
      <c r="H1513" t="s">
        <v>26</v>
      </c>
      <c r="I1513" t="s">
        <v>71</v>
      </c>
      <c r="J1513">
        <v>471</v>
      </c>
      <c r="K1513" s="3">
        <v>8.5</v>
      </c>
      <c r="L1513">
        <v>4003.5</v>
      </c>
    </row>
    <row r="1514" spans="1:12" x14ac:dyDescent="0.3">
      <c r="A1514">
        <v>23</v>
      </c>
      <c r="B1514">
        <v>0</v>
      </c>
      <c r="C1514">
        <v>0</v>
      </c>
      <c r="D1514">
        <v>18</v>
      </c>
      <c r="E1514">
        <v>12</v>
      </c>
      <c r="F1514">
        <v>0</v>
      </c>
      <c r="G1514">
        <v>12</v>
      </c>
      <c r="H1514" t="s">
        <v>18</v>
      </c>
      <c r="I1514" t="s">
        <v>107</v>
      </c>
      <c r="J1514">
        <v>673</v>
      </c>
      <c r="K1514" s="3">
        <v>7.7</v>
      </c>
      <c r="L1514">
        <v>5182.1000000000004</v>
      </c>
    </row>
    <row r="1515" spans="1:12" x14ac:dyDescent="0.3">
      <c r="A1515">
        <v>14</v>
      </c>
      <c r="B1515">
        <v>0</v>
      </c>
      <c r="C1515">
        <v>0</v>
      </c>
      <c r="D1515">
        <v>17</v>
      </c>
      <c r="E1515">
        <v>0</v>
      </c>
      <c r="F1515">
        <v>0</v>
      </c>
      <c r="G1515">
        <v>5</v>
      </c>
      <c r="H1515" t="s">
        <v>33</v>
      </c>
      <c r="I1515" t="s">
        <v>79</v>
      </c>
      <c r="J1515">
        <v>580</v>
      </c>
      <c r="K1515" s="3">
        <v>9.3000000000000007</v>
      </c>
      <c r="L1515">
        <v>5394</v>
      </c>
    </row>
    <row r="1516" spans="1:12" x14ac:dyDescent="0.3">
      <c r="A1516">
        <v>10</v>
      </c>
      <c r="B1516">
        <v>18</v>
      </c>
      <c r="C1516">
        <v>0</v>
      </c>
      <c r="D1516">
        <v>7</v>
      </c>
      <c r="E1516">
        <v>1</v>
      </c>
      <c r="F1516">
        <v>0</v>
      </c>
      <c r="G1516">
        <v>8</v>
      </c>
      <c r="H1516" t="s">
        <v>20</v>
      </c>
      <c r="I1516" t="s">
        <v>78</v>
      </c>
      <c r="J1516">
        <v>274</v>
      </c>
      <c r="K1516" s="3" t="s">
        <v>143</v>
      </c>
      <c r="L1516">
        <v>2493.4</v>
      </c>
    </row>
    <row r="1517" spans="1:12" x14ac:dyDescent="0.3">
      <c r="A1517">
        <v>6</v>
      </c>
      <c r="B1517">
        <v>22</v>
      </c>
      <c r="C1517">
        <v>3</v>
      </c>
      <c r="D1517">
        <v>21</v>
      </c>
      <c r="E1517">
        <v>1</v>
      </c>
      <c r="F1517">
        <v>0</v>
      </c>
      <c r="G1517">
        <v>10</v>
      </c>
      <c r="H1517" t="s">
        <v>65</v>
      </c>
      <c r="I1517" t="s">
        <v>74</v>
      </c>
      <c r="J1517">
        <v>716</v>
      </c>
      <c r="K1517" s="3">
        <v>7.4</v>
      </c>
      <c r="L1517">
        <v>5298.4</v>
      </c>
    </row>
    <row r="1518" spans="1:12" x14ac:dyDescent="0.3">
      <c r="A1518">
        <v>10</v>
      </c>
      <c r="B1518">
        <v>20</v>
      </c>
      <c r="C1518">
        <v>2</v>
      </c>
      <c r="D1518">
        <v>22</v>
      </c>
      <c r="E1518">
        <v>1</v>
      </c>
      <c r="F1518">
        <v>0</v>
      </c>
      <c r="G1518">
        <v>2</v>
      </c>
      <c r="H1518" t="s">
        <v>53</v>
      </c>
      <c r="I1518" t="s">
        <v>79</v>
      </c>
      <c r="J1518">
        <v>373</v>
      </c>
      <c r="K1518" s="3">
        <v>7.7</v>
      </c>
      <c r="L1518">
        <v>2872.1</v>
      </c>
    </row>
    <row r="1519" spans="1:12" x14ac:dyDescent="0.3">
      <c r="A1519">
        <v>0</v>
      </c>
      <c r="B1519">
        <v>22</v>
      </c>
      <c r="C1519">
        <v>0</v>
      </c>
      <c r="D1519">
        <v>9</v>
      </c>
      <c r="E1519">
        <v>1</v>
      </c>
      <c r="F1519">
        <v>0</v>
      </c>
      <c r="G1519">
        <v>12</v>
      </c>
      <c r="H1519" t="s">
        <v>41</v>
      </c>
      <c r="I1519" t="s">
        <v>109</v>
      </c>
      <c r="J1519">
        <v>485</v>
      </c>
      <c r="K1519" s="3">
        <v>8.9</v>
      </c>
      <c r="L1519">
        <v>4316.5</v>
      </c>
    </row>
    <row r="1520" spans="1:12" x14ac:dyDescent="0.3">
      <c r="A1520">
        <v>8</v>
      </c>
      <c r="B1520">
        <v>17</v>
      </c>
      <c r="C1520">
        <v>3</v>
      </c>
      <c r="D1520">
        <v>6</v>
      </c>
      <c r="E1520">
        <v>1</v>
      </c>
      <c r="F1520">
        <v>0</v>
      </c>
      <c r="G1520">
        <v>7</v>
      </c>
      <c r="H1520" t="s">
        <v>18</v>
      </c>
      <c r="I1520" t="s">
        <v>79</v>
      </c>
      <c r="J1520">
        <v>268</v>
      </c>
      <c r="K1520" s="3">
        <v>7.7</v>
      </c>
      <c r="L1520">
        <v>2063.6</v>
      </c>
    </row>
    <row r="1521" spans="1:12" x14ac:dyDescent="0.3">
      <c r="A1521">
        <v>9</v>
      </c>
      <c r="B1521">
        <v>22</v>
      </c>
      <c r="C1521">
        <v>1</v>
      </c>
      <c r="D1521">
        <v>20</v>
      </c>
      <c r="E1521">
        <v>1</v>
      </c>
      <c r="F1521">
        <v>0</v>
      </c>
      <c r="G1521">
        <v>12</v>
      </c>
      <c r="H1521" t="s">
        <v>50</v>
      </c>
      <c r="I1521" t="s">
        <v>109</v>
      </c>
      <c r="J1521">
        <v>649</v>
      </c>
      <c r="K1521" s="3">
        <v>9.3000000000000007</v>
      </c>
      <c r="L1521">
        <v>6035.7</v>
      </c>
    </row>
    <row r="1522" spans="1:12" x14ac:dyDescent="0.3">
      <c r="A1522">
        <v>23</v>
      </c>
      <c r="B1522">
        <v>22</v>
      </c>
      <c r="C1522">
        <v>3</v>
      </c>
      <c r="D1522">
        <v>20</v>
      </c>
      <c r="E1522">
        <v>1</v>
      </c>
      <c r="F1522">
        <v>0</v>
      </c>
      <c r="G1522">
        <v>5</v>
      </c>
      <c r="H1522" t="s">
        <v>18</v>
      </c>
      <c r="I1522" t="s">
        <v>90</v>
      </c>
      <c r="J1522">
        <v>675</v>
      </c>
      <c r="K1522" s="3">
        <v>7.7</v>
      </c>
      <c r="L1522">
        <v>5197.5</v>
      </c>
    </row>
    <row r="1523" spans="1:12" x14ac:dyDescent="0.3">
      <c r="A1523">
        <v>11</v>
      </c>
      <c r="B1523">
        <v>22</v>
      </c>
      <c r="C1523">
        <v>1</v>
      </c>
      <c r="D1523">
        <v>17</v>
      </c>
      <c r="E1523">
        <v>12</v>
      </c>
      <c r="F1523">
        <v>0</v>
      </c>
      <c r="G1523">
        <v>7</v>
      </c>
      <c r="H1523" t="s">
        <v>36</v>
      </c>
      <c r="I1523" t="s">
        <v>105</v>
      </c>
      <c r="J1523">
        <v>753</v>
      </c>
      <c r="K1523" s="3">
        <v>8.8000000000000007</v>
      </c>
      <c r="L1523">
        <v>6626.4</v>
      </c>
    </row>
    <row r="1524" spans="1:12" x14ac:dyDescent="0.3">
      <c r="A1524">
        <v>14</v>
      </c>
      <c r="B1524">
        <v>0</v>
      </c>
      <c r="C1524">
        <v>1</v>
      </c>
      <c r="D1524">
        <v>0</v>
      </c>
      <c r="E1524">
        <v>1</v>
      </c>
      <c r="F1524">
        <v>0</v>
      </c>
      <c r="G1524">
        <v>8</v>
      </c>
      <c r="H1524" t="s">
        <v>21</v>
      </c>
      <c r="I1524" t="s">
        <v>89</v>
      </c>
      <c r="J1524">
        <v>628</v>
      </c>
      <c r="K1524" s="3">
        <v>8.6999999999999993</v>
      </c>
      <c r="L1524">
        <v>5463.5999999999904</v>
      </c>
    </row>
    <row r="1525" spans="1:12" x14ac:dyDescent="0.3">
      <c r="A1525">
        <v>15</v>
      </c>
      <c r="B1525">
        <v>22</v>
      </c>
      <c r="C1525">
        <v>1</v>
      </c>
      <c r="D1525">
        <v>11</v>
      </c>
      <c r="E1525">
        <v>1</v>
      </c>
      <c r="F1525">
        <v>0</v>
      </c>
      <c r="G1525">
        <v>6</v>
      </c>
      <c r="H1525" t="s">
        <v>16</v>
      </c>
      <c r="I1525" t="s">
        <v>90</v>
      </c>
      <c r="J1525">
        <v>0</v>
      </c>
      <c r="K1525">
        <v>8.9</v>
      </c>
      <c r="L1525">
        <v>3978.3</v>
      </c>
    </row>
    <row r="1526" spans="1:12" x14ac:dyDescent="0.3">
      <c r="A1526">
        <v>19</v>
      </c>
      <c r="B1526">
        <v>23</v>
      </c>
      <c r="C1526">
        <v>2</v>
      </c>
      <c r="D1526">
        <v>8</v>
      </c>
      <c r="E1526">
        <v>1</v>
      </c>
      <c r="F1526">
        <v>0</v>
      </c>
      <c r="G1526">
        <v>12</v>
      </c>
      <c r="H1526" t="s">
        <v>67</v>
      </c>
      <c r="I1526" t="s">
        <v>80</v>
      </c>
      <c r="J1526">
        <v>590</v>
      </c>
      <c r="K1526" s="3">
        <v>8.3000000000000007</v>
      </c>
      <c r="L1526">
        <v>4897</v>
      </c>
    </row>
    <row r="1527" spans="1:12" x14ac:dyDescent="0.3">
      <c r="A1527">
        <v>10</v>
      </c>
      <c r="B1527">
        <v>21</v>
      </c>
      <c r="C1527">
        <v>1</v>
      </c>
      <c r="D1527">
        <v>13</v>
      </c>
      <c r="E1527">
        <v>1</v>
      </c>
      <c r="F1527">
        <v>0</v>
      </c>
      <c r="G1527">
        <v>3</v>
      </c>
      <c r="H1527" t="s">
        <v>22</v>
      </c>
      <c r="I1527" t="s">
        <v>73</v>
      </c>
      <c r="J1527">
        <v>479</v>
      </c>
      <c r="K1527">
        <v>7.8</v>
      </c>
      <c r="L1527">
        <v>3736.2</v>
      </c>
    </row>
    <row r="1528" spans="1:12" x14ac:dyDescent="0.3">
      <c r="A1528">
        <v>23</v>
      </c>
      <c r="B1528">
        <v>22</v>
      </c>
      <c r="C1528">
        <v>2</v>
      </c>
      <c r="D1528">
        <v>12</v>
      </c>
      <c r="E1528">
        <v>12</v>
      </c>
      <c r="F1528">
        <v>0</v>
      </c>
      <c r="G1528">
        <v>9</v>
      </c>
      <c r="H1528" t="s">
        <v>55</v>
      </c>
      <c r="I1528" t="s">
        <v>70</v>
      </c>
      <c r="J1528">
        <v>735</v>
      </c>
      <c r="K1528" s="3">
        <v>7.8</v>
      </c>
      <c r="L1528">
        <v>5733</v>
      </c>
    </row>
    <row r="1529" spans="1:12" x14ac:dyDescent="0.3">
      <c r="A1529">
        <v>17</v>
      </c>
      <c r="B1529">
        <v>22</v>
      </c>
      <c r="C1529">
        <v>0</v>
      </c>
      <c r="D1529">
        <v>20</v>
      </c>
      <c r="E1529">
        <v>1</v>
      </c>
      <c r="F1529">
        <v>0</v>
      </c>
      <c r="G1529">
        <v>5</v>
      </c>
      <c r="H1529" t="s">
        <v>26</v>
      </c>
      <c r="I1529" t="s">
        <v>94</v>
      </c>
      <c r="J1529">
        <v>489</v>
      </c>
      <c r="K1529" s="3">
        <v>8.5</v>
      </c>
      <c r="L1529">
        <v>4156.5</v>
      </c>
    </row>
    <row r="1530" spans="1:12" x14ac:dyDescent="0.3">
      <c r="A1530">
        <v>11</v>
      </c>
      <c r="B1530">
        <v>22</v>
      </c>
      <c r="C1530">
        <v>0</v>
      </c>
      <c r="D1530">
        <v>4</v>
      </c>
      <c r="E1530">
        <v>1</v>
      </c>
      <c r="F1530">
        <v>0</v>
      </c>
      <c r="G1530">
        <v>11</v>
      </c>
      <c r="H1530" t="s">
        <v>23</v>
      </c>
      <c r="I1530" t="s">
        <v>95</v>
      </c>
      <c r="J1530">
        <v>321</v>
      </c>
      <c r="K1530" s="3">
        <v>0</v>
      </c>
      <c r="L1530">
        <v>2696.4</v>
      </c>
    </row>
    <row r="1531" spans="1:12" x14ac:dyDescent="0.3">
      <c r="A1531">
        <v>10</v>
      </c>
      <c r="B1531">
        <v>17</v>
      </c>
      <c r="C1531">
        <v>1</v>
      </c>
      <c r="D1531">
        <v>6</v>
      </c>
      <c r="E1531">
        <v>1</v>
      </c>
      <c r="F1531">
        <v>0</v>
      </c>
      <c r="G1531">
        <v>1</v>
      </c>
      <c r="H1531" t="s">
        <v>25</v>
      </c>
      <c r="I1531" t="s">
        <v>105</v>
      </c>
      <c r="J1531">
        <v>404</v>
      </c>
      <c r="K1531" s="3">
        <v>8.1</v>
      </c>
      <c r="L1531">
        <v>3272.3999999999901</v>
      </c>
    </row>
    <row r="1532" spans="1:12" x14ac:dyDescent="0.3">
      <c r="A1532">
        <v>16</v>
      </c>
      <c r="B1532">
        <v>23</v>
      </c>
      <c r="C1532">
        <v>2</v>
      </c>
      <c r="D1532">
        <v>16</v>
      </c>
      <c r="E1532">
        <v>1</v>
      </c>
      <c r="F1532">
        <v>0</v>
      </c>
      <c r="G1532">
        <v>4</v>
      </c>
      <c r="H1532" t="s">
        <v>30</v>
      </c>
      <c r="I1532" t="s">
        <v>75</v>
      </c>
      <c r="J1532">
        <v>470</v>
      </c>
      <c r="K1532" s="3">
        <v>9.1999999999999993</v>
      </c>
      <c r="L1532">
        <v>4324</v>
      </c>
    </row>
    <row r="1533" spans="1:12" x14ac:dyDescent="0.3">
      <c r="A1533">
        <v>15</v>
      </c>
      <c r="B1533">
        <v>23</v>
      </c>
      <c r="C1533">
        <v>0</v>
      </c>
      <c r="D1533">
        <v>17</v>
      </c>
      <c r="E1533">
        <v>1</v>
      </c>
      <c r="F1533">
        <v>0</v>
      </c>
      <c r="G1533">
        <v>10</v>
      </c>
      <c r="H1533" t="s">
        <v>36</v>
      </c>
      <c r="I1533" t="s">
        <v>92</v>
      </c>
      <c r="J1533">
        <v>528</v>
      </c>
      <c r="K1533" s="3">
        <v>8.8000000000000007</v>
      </c>
      <c r="L1533">
        <v>4646.3999999999996</v>
      </c>
    </row>
    <row r="1534" spans="1:12" x14ac:dyDescent="0.3">
      <c r="A1534">
        <v>22</v>
      </c>
      <c r="B1534">
        <v>23</v>
      </c>
      <c r="C1534">
        <v>2</v>
      </c>
      <c r="D1534">
        <v>0</v>
      </c>
      <c r="E1534">
        <v>1</v>
      </c>
      <c r="F1534">
        <v>0</v>
      </c>
      <c r="G1534">
        <v>11</v>
      </c>
      <c r="H1534" t="s">
        <v>24</v>
      </c>
      <c r="I1534" t="s">
        <v>71</v>
      </c>
      <c r="J1534">
        <v>517</v>
      </c>
      <c r="K1534" s="3">
        <v>7.9</v>
      </c>
      <c r="L1534">
        <v>4084.3</v>
      </c>
    </row>
    <row r="1535" spans="1:12" x14ac:dyDescent="0.3">
      <c r="A1535">
        <v>22</v>
      </c>
      <c r="B1535">
        <v>0</v>
      </c>
      <c r="C1535">
        <v>1</v>
      </c>
      <c r="D1535">
        <v>5</v>
      </c>
      <c r="E1535">
        <v>1</v>
      </c>
      <c r="F1535">
        <v>0</v>
      </c>
      <c r="G1535">
        <v>10</v>
      </c>
      <c r="H1535" t="s">
        <v>25</v>
      </c>
      <c r="I1535" t="s">
        <v>96</v>
      </c>
      <c r="J1535">
        <v>460</v>
      </c>
      <c r="K1535" s="3">
        <v>8.1</v>
      </c>
      <c r="L1535">
        <v>3726</v>
      </c>
    </row>
    <row r="1536" spans="1:12" x14ac:dyDescent="0.3">
      <c r="A1536">
        <v>23</v>
      </c>
      <c r="B1536">
        <v>23</v>
      </c>
      <c r="C1536">
        <v>0</v>
      </c>
      <c r="D1536">
        <v>14</v>
      </c>
      <c r="E1536">
        <v>1</v>
      </c>
      <c r="F1536">
        <v>0</v>
      </c>
      <c r="G1536">
        <v>2</v>
      </c>
      <c r="H1536" t="s">
        <v>38</v>
      </c>
      <c r="I1536" t="s">
        <v>80</v>
      </c>
      <c r="J1536">
        <v>596</v>
      </c>
      <c r="K1536" s="3">
        <v>7.4</v>
      </c>
      <c r="L1536">
        <v>4410.3999999999996</v>
      </c>
    </row>
    <row r="1537" spans="1:12" x14ac:dyDescent="0.3">
      <c r="A1537">
        <v>5</v>
      </c>
      <c r="B1537">
        <v>19</v>
      </c>
      <c r="C1537">
        <v>0</v>
      </c>
      <c r="D1537">
        <v>13</v>
      </c>
      <c r="E1537">
        <v>1</v>
      </c>
      <c r="F1537">
        <v>0</v>
      </c>
      <c r="G1537">
        <v>12</v>
      </c>
      <c r="H1537" t="s">
        <v>34</v>
      </c>
      <c r="I1537" t="s">
        <v>85</v>
      </c>
      <c r="J1537">
        <v>257</v>
      </c>
      <c r="K1537" s="3">
        <v>7.6</v>
      </c>
      <c r="L1537">
        <v>1953.19999999999</v>
      </c>
    </row>
    <row r="1538" spans="1:12" x14ac:dyDescent="0.3">
      <c r="A1538">
        <v>19</v>
      </c>
      <c r="B1538">
        <v>22</v>
      </c>
      <c r="C1538">
        <v>0</v>
      </c>
      <c r="D1538">
        <v>10</v>
      </c>
      <c r="E1538">
        <v>12</v>
      </c>
      <c r="F1538">
        <v>0</v>
      </c>
      <c r="G1538">
        <v>2</v>
      </c>
      <c r="H1538" t="s">
        <v>21</v>
      </c>
      <c r="I1538" t="s">
        <v>83</v>
      </c>
      <c r="J1538">
        <v>401</v>
      </c>
      <c r="K1538" s="3">
        <v>8.6999999999999993</v>
      </c>
      <c r="L1538">
        <v>3488.7</v>
      </c>
    </row>
    <row r="1539" spans="1:12" x14ac:dyDescent="0.3">
      <c r="A1539">
        <v>23</v>
      </c>
      <c r="B1539">
        <v>22</v>
      </c>
      <c r="C1539">
        <v>0</v>
      </c>
      <c r="D1539">
        <v>7</v>
      </c>
      <c r="E1539">
        <v>1</v>
      </c>
      <c r="F1539">
        <v>0</v>
      </c>
      <c r="G1539">
        <v>12</v>
      </c>
      <c r="H1539" t="s">
        <v>21</v>
      </c>
      <c r="I1539" t="s">
        <v>90</v>
      </c>
      <c r="J1539">
        <v>575</v>
      </c>
      <c r="K1539" s="3">
        <v>8.6999999999999993</v>
      </c>
      <c r="L1539">
        <v>0</v>
      </c>
    </row>
    <row r="1540" spans="1:12" x14ac:dyDescent="0.3">
      <c r="A1540">
        <v>19</v>
      </c>
      <c r="B1540">
        <v>22</v>
      </c>
      <c r="C1540">
        <v>0</v>
      </c>
      <c r="D1540">
        <v>9</v>
      </c>
      <c r="E1540">
        <v>12</v>
      </c>
      <c r="F1540">
        <v>0</v>
      </c>
      <c r="G1540">
        <v>5</v>
      </c>
      <c r="H1540" t="s">
        <v>16</v>
      </c>
      <c r="I1540" t="s">
        <v>78</v>
      </c>
      <c r="J1540">
        <v>683</v>
      </c>
      <c r="K1540" s="3">
        <v>8.9</v>
      </c>
      <c r="L1540">
        <v>6078.7</v>
      </c>
    </row>
    <row r="1541" spans="1:12" x14ac:dyDescent="0.3">
      <c r="A1541">
        <v>21</v>
      </c>
      <c r="B1541">
        <v>23</v>
      </c>
      <c r="C1541">
        <v>3</v>
      </c>
      <c r="D1541">
        <v>8</v>
      </c>
      <c r="E1541">
        <v>1</v>
      </c>
      <c r="F1541">
        <v>0</v>
      </c>
      <c r="G1541">
        <v>12</v>
      </c>
      <c r="H1541" t="s">
        <v>48</v>
      </c>
      <c r="I1541" t="s">
        <v>96</v>
      </c>
      <c r="J1541">
        <v>505</v>
      </c>
      <c r="K1541">
        <v>8.6999999999999993</v>
      </c>
      <c r="L1541">
        <v>4393.5</v>
      </c>
    </row>
    <row r="1542" spans="1:12" x14ac:dyDescent="0.3">
      <c r="A1542">
        <v>14</v>
      </c>
      <c r="B1542">
        <v>23</v>
      </c>
      <c r="C1542">
        <v>2</v>
      </c>
      <c r="D1542">
        <v>16</v>
      </c>
      <c r="E1542">
        <v>1</v>
      </c>
      <c r="F1542">
        <v>0</v>
      </c>
      <c r="G1542">
        <v>5</v>
      </c>
      <c r="H1542" t="s">
        <v>21</v>
      </c>
      <c r="I1542" t="s">
        <v>70</v>
      </c>
      <c r="J1542">
        <v>709</v>
      </c>
      <c r="K1542" s="3">
        <v>8.6999999999999993</v>
      </c>
      <c r="L1542">
        <v>6168.2999999999902</v>
      </c>
    </row>
    <row r="1543" spans="1:12" x14ac:dyDescent="0.3">
      <c r="A1543">
        <v>15</v>
      </c>
      <c r="B1543">
        <v>22</v>
      </c>
      <c r="C1543">
        <v>1</v>
      </c>
      <c r="D1543">
        <v>3</v>
      </c>
      <c r="E1543">
        <v>12</v>
      </c>
      <c r="F1543">
        <v>0</v>
      </c>
      <c r="G1543">
        <v>5</v>
      </c>
      <c r="H1543" t="s">
        <v>22</v>
      </c>
      <c r="I1543" t="s">
        <v>106</v>
      </c>
      <c r="J1543">
        <v>501</v>
      </c>
      <c r="K1543" s="3">
        <v>7.8</v>
      </c>
      <c r="L1543">
        <v>3907.7999999999902</v>
      </c>
    </row>
    <row r="1544" spans="1:12" x14ac:dyDescent="0.3">
      <c r="A1544">
        <v>9</v>
      </c>
      <c r="B1544">
        <v>20</v>
      </c>
      <c r="C1544">
        <v>2</v>
      </c>
      <c r="D1544">
        <v>0</v>
      </c>
      <c r="E1544">
        <v>7</v>
      </c>
      <c r="F1544">
        <v>0</v>
      </c>
      <c r="G1544">
        <v>9</v>
      </c>
      <c r="H1544" t="s">
        <v>18</v>
      </c>
      <c r="I1544" t="s">
        <v>90</v>
      </c>
      <c r="J1544">
        <v>607</v>
      </c>
      <c r="K1544" s="3">
        <v>7.7</v>
      </c>
      <c r="L1544">
        <v>4673.8999999999996</v>
      </c>
    </row>
    <row r="1545" spans="1:12" x14ac:dyDescent="0.3">
      <c r="A1545">
        <v>11</v>
      </c>
      <c r="B1545">
        <v>22</v>
      </c>
      <c r="C1545">
        <v>3</v>
      </c>
      <c r="D1545">
        <v>14</v>
      </c>
      <c r="E1545">
        <v>1</v>
      </c>
      <c r="F1545">
        <v>0</v>
      </c>
      <c r="G1545">
        <v>6</v>
      </c>
      <c r="H1545" t="s">
        <v>23</v>
      </c>
      <c r="I1545" t="s">
        <v>111</v>
      </c>
      <c r="J1545">
        <v>528</v>
      </c>
      <c r="K1545" s="3">
        <v>8.4</v>
      </c>
      <c r="L1545">
        <v>4435.2</v>
      </c>
    </row>
    <row r="1546" spans="1:12" x14ac:dyDescent="0.3">
      <c r="A1546">
        <v>11</v>
      </c>
      <c r="B1546">
        <v>23</v>
      </c>
      <c r="C1546">
        <v>2</v>
      </c>
      <c r="D1546">
        <v>11</v>
      </c>
      <c r="E1546">
        <v>1</v>
      </c>
      <c r="F1546">
        <v>0</v>
      </c>
      <c r="G1546">
        <v>2</v>
      </c>
      <c r="H1546" t="s">
        <v>57</v>
      </c>
      <c r="I1546" t="s">
        <v>109</v>
      </c>
      <c r="J1546">
        <v>457</v>
      </c>
      <c r="K1546" s="3">
        <v>9.1999999999999993</v>
      </c>
      <c r="L1546">
        <v>4204.3999999999996</v>
      </c>
    </row>
    <row r="1547" spans="1:12" x14ac:dyDescent="0.3">
      <c r="A1547">
        <v>16</v>
      </c>
      <c r="B1547">
        <v>23</v>
      </c>
      <c r="C1547">
        <v>2</v>
      </c>
      <c r="D1547">
        <v>4</v>
      </c>
      <c r="E1547">
        <v>1</v>
      </c>
      <c r="F1547">
        <v>0</v>
      </c>
      <c r="G1547">
        <v>1</v>
      </c>
      <c r="H1547" t="s">
        <v>22</v>
      </c>
      <c r="I1547" t="s">
        <v>368</v>
      </c>
      <c r="J1547">
        <v>459</v>
      </c>
      <c r="K1547" s="3">
        <v>7.8</v>
      </c>
      <c r="L1547">
        <v>3580.2</v>
      </c>
    </row>
    <row r="1548" spans="1:12" x14ac:dyDescent="0.3">
      <c r="A1548">
        <v>9</v>
      </c>
      <c r="B1548">
        <v>19</v>
      </c>
      <c r="C1548">
        <v>3</v>
      </c>
      <c r="D1548">
        <v>17</v>
      </c>
      <c r="E1548">
        <v>1</v>
      </c>
      <c r="F1548">
        <v>0</v>
      </c>
      <c r="G1548">
        <v>7</v>
      </c>
      <c r="H1548" t="s">
        <v>20</v>
      </c>
      <c r="I1548" t="s">
        <v>97</v>
      </c>
      <c r="J1548">
        <v>396</v>
      </c>
      <c r="K1548" s="3">
        <v>9.1</v>
      </c>
      <c r="L1548">
        <v>0</v>
      </c>
    </row>
    <row r="1549" spans="1:12" x14ac:dyDescent="0.3">
      <c r="A1549">
        <v>23</v>
      </c>
      <c r="B1549">
        <v>23</v>
      </c>
      <c r="C1549">
        <v>3</v>
      </c>
      <c r="D1549">
        <v>13</v>
      </c>
      <c r="E1549">
        <v>1</v>
      </c>
      <c r="F1549">
        <v>0</v>
      </c>
      <c r="G1549">
        <v>3</v>
      </c>
      <c r="H1549" t="s">
        <v>43</v>
      </c>
      <c r="I1549" t="s">
        <v>97</v>
      </c>
      <c r="J1549">
        <v>689</v>
      </c>
      <c r="K1549">
        <v>7.6</v>
      </c>
      <c r="L1549">
        <v>5236.3999999999996</v>
      </c>
    </row>
    <row r="1550" spans="1:12" x14ac:dyDescent="0.3">
      <c r="A1550">
        <v>11</v>
      </c>
      <c r="B1550">
        <v>0</v>
      </c>
      <c r="C1550">
        <v>3</v>
      </c>
      <c r="D1550">
        <v>7</v>
      </c>
      <c r="E1550">
        <v>1</v>
      </c>
      <c r="F1550">
        <v>0</v>
      </c>
      <c r="G1550">
        <v>5</v>
      </c>
      <c r="H1550" t="s">
        <v>15</v>
      </c>
      <c r="I1550" t="s">
        <v>93</v>
      </c>
      <c r="J1550">
        <v>623</v>
      </c>
      <c r="K1550" s="3">
        <v>8.3000000000000007</v>
      </c>
      <c r="L1550">
        <v>5170.8999999999996</v>
      </c>
    </row>
    <row r="1551" spans="1:12" x14ac:dyDescent="0.3">
      <c r="A1551">
        <v>16</v>
      </c>
      <c r="B1551">
        <v>23</v>
      </c>
      <c r="C1551">
        <v>1</v>
      </c>
      <c r="D1551">
        <v>3</v>
      </c>
      <c r="E1551">
        <v>0</v>
      </c>
      <c r="F1551">
        <v>0</v>
      </c>
      <c r="G1551">
        <v>6</v>
      </c>
      <c r="H1551" t="s">
        <v>24</v>
      </c>
      <c r="I1551" t="s">
        <v>94</v>
      </c>
      <c r="J1551">
        <v>626</v>
      </c>
      <c r="K1551" s="3">
        <v>7.9</v>
      </c>
      <c r="L1551">
        <v>4945.3999999999996</v>
      </c>
    </row>
    <row r="1552" spans="1:12" x14ac:dyDescent="0.3">
      <c r="A1552">
        <v>20</v>
      </c>
      <c r="B1552">
        <v>23</v>
      </c>
      <c r="C1552">
        <v>2</v>
      </c>
      <c r="D1552">
        <v>22</v>
      </c>
      <c r="E1552">
        <v>1</v>
      </c>
      <c r="F1552">
        <v>0</v>
      </c>
      <c r="G1552">
        <v>11</v>
      </c>
      <c r="H1552" t="s">
        <v>32</v>
      </c>
      <c r="I1552" t="s">
        <v>112</v>
      </c>
      <c r="J1552">
        <v>528</v>
      </c>
      <c r="K1552" s="3">
        <v>7.6</v>
      </c>
      <c r="L1552">
        <v>0</v>
      </c>
    </row>
    <row r="1553" spans="1:12" x14ac:dyDescent="0.3">
      <c r="A1553">
        <v>11</v>
      </c>
      <c r="B1553">
        <v>22</v>
      </c>
      <c r="C1553">
        <v>0</v>
      </c>
      <c r="D1553">
        <v>5</v>
      </c>
      <c r="E1553">
        <v>12</v>
      </c>
      <c r="F1553">
        <v>0</v>
      </c>
      <c r="G1553">
        <v>5</v>
      </c>
      <c r="H1553" t="s">
        <v>24</v>
      </c>
      <c r="I1553" t="s">
        <v>82</v>
      </c>
      <c r="J1553">
        <v>611</v>
      </c>
      <c r="K1553" s="3">
        <v>7.9</v>
      </c>
      <c r="L1553">
        <v>4826.8999999999996</v>
      </c>
    </row>
    <row r="1554" spans="1:12" x14ac:dyDescent="0.3">
      <c r="A1554">
        <v>6</v>
      </c>
      <c r="B1554">
        <v>23</v>
      </c>
      <c r="C1554">
        <v>1</v>
      </c>
      <c r="D1554">
        <v>18</v>
      </c>
      <c r="E1554">
        <v>1</v>
      </c>
      <c r="F1554">
        <v>0</v>
      </c>
      <c r="G1554">
        <v>4</v>
      </c>
      <c r="H1554" t="s">
        <v>32</v>
      </c>
      <c r="I1554" t="s">
        <v>105</v>
      </c>
      <c r="J1554">
        <v>432</v>
      </c>
      <c r="K1554" s="3">
        <v>7.6</v>
      </c>
      <c r="L1554">
        <v>3283.2</v>
      </c>
    </row>
    <row r="1555" spans="1:12" x14ac:dyDescent="0.3">
      <c r="A1555">
        <v>11</v>
      </c>
      <c r="B1555">
        <v>23</v>
      </c>
      <c r="C1555">
        <v>0</v>
      </c>
      <c r="D1555">
        <v>7</v>
      </c>
      <c r="E1555">
        <v>1</v>
      </c>
      <c r="F1555">
        <v>0</v>
      </c>
      <c r="G1555">
        <v>6</v>
      </c>
      <c r="H1555" t="s">
        <v>23</v>
      </c>
      <c r="I1555" t="s">
        <v>72</v>
      </c>
      <c r="J1555">
        <v>394</v>
      </c>
      <c r="K1555" s="3">
        <v>8.4</v>
      </c>
      <c r="L1555">
        <v>3309.6</v>
      </c>
    </row>
    <row r="1556" spans="1:12" x14ac:dyDescent="0.3">
      <c r="A1556">
        <v>21</v>
      </c>
      <c r="B1556">
        <v>23</v>
      </c>
      <c r="C1556">
        <v>2</v>
      </c>
      <c r="D1556">
        <v>18</v>
      </c>
      <c r="E1556">
        <v>1</v>
      </c>
      <c r="F1556">
        <v>0</v>
      </c>
      <c r="G1556">
        <v>7</v>
      </c>
      <c r="H1556" t="s">
        <v>51</v>
      </c>
      <c r="I1556" t="s">
        <v>114</v>
      </c>
      <c r="J1556">
        <v>0</v>
      </c>
      <c r="K1556" s="3">
        <v>8.8000000000000007</v>
      </c>
      <c r="L1556">
        <v>6468</v>
      </c>
    </row>
    <row r="1557" spans="1:12" x14ac:dyDescent="0.3">
      <c r="A1557">
        <v>7</v>
      </c>
      <c r="B1557">
        <v>19</v>
      </c>
      <c r="C1557">
        <v>3</v>
      </c>
      <c r="D1557">
        <v>5</v>
      </c>
      <c r="E1557">
        <v>1</v>
      </c>
      <c r="F1557">
        <v>0</v>
      </c>
      <c r="G1557">
        <v>8</v>
      </c>
      <c r="H1557" t="s">
        <v>61</v>
      </c>
      <c r="I1557" t="s">
        <v>110</v>
      </c>
      <c r="J1557">
        <v>470</v>
      </c>
      <c r="K1557" s="3">
        <v>7.4</v>
      </c>
      <c r="L1557">
        <v>3478</v>
      </c>
    </row>
    <row r="1558" spans="1:12" x14ac:dyDescent="0.3">
      <c r="A1558">
        <v>21</v>
      </c>
      <c r="B1558">
        <v>22</v>
      </c>
      <c r="C1558">
        <v>0</v>
      </c>
      <c r="D1558">
        <v>4</v>
      </c>
      <c r="E1558">
        <v>1</v>
      </c>
      <c r="F1558">
        <v>0</v>
      </c>
      <c r="G1558">
        <v>7</v>
      </c>
      <c r="H1558" t="s">
        <v>36</v>
      </c>
      <c r="I1558" t="s">
        <v>77</v>
      </c>
      <c r="J1558">
        <v>452</v>
      </c>
      <c r="K1558">
        <v>8.8000000000000007</v>
      </c>
      <c r="L1558">
        <v>3977.6</v>
      </c>
    </row>
    <row r="1559" spans="1:12" x14ac:dyDescent="0.3">
      <c r="A1559">
        <v>18</v>
      </c>
      <c r="B1559">
        <v>22</v>
      </c>
      <c r="C1559">
        <v>3</v>
      </c>
      <c r="D1559">
        <v>11</v>
      </c>
      <c r="E1559">
        <v>1</v>
      </c>
      <c r="F1559">
        <v>0</v>
      </c>
      <c r="G1559">
        <v>1</v>
      </c>
      <c r="H1559" t="s">
        <v>18</v>
      </c>
      <c r="I1559" t="s">
        <v>71</v>
      </c>
      <c r="J1559">
        <v>538</v>
      </c>
      <c r="K1559" s="3">
        <v>7.7</v>
      </c>
      <c r="L1559">
        <v>4142.6000000000004</v>
      </c>
    </row>
    <row r="1560" spans="1:12" x14ac:dyDescent="0.3">
      <c r="A1560">
        <v>12</v>
      </c>
      <c r="B1560">
        <v>22</v>
      </c>
      <c r="C1560">
        <v>1</v>
      </c>
      <c r="D1560">
        <v>19</v>
      </c>
      <c r="E1560">
        <v>12</v>
      </c>
      <c r="F1560">
        <v>0</v>
      </c>
      <c r="G1560">
        <v>10</v>
      </c>
      <c r="H1560" t="s">
        <v>36</v>
      </c>
      <c r="I1560" t="s">
        <v>71</v>
      </c>
      <c r="J1560">
        <v>706</v>
      </c>
      <c r="K1560" s="3">
        <v>0</v>
      </c>
      <c r="L1560">
        <v>6212.8</v>
      </c>
    </row>
    <row r="1561" spans="1:12" x14ac:dyDescent="0.3">
      <c r="A1561">
        <v>23</v>
      </c>
      <c r="B1561">
        <v>22</v>
      </c>
      <c r="C1561">
        <v>2</v>
      </c>
      <c r="D1561">
        <v>11</v>
      </c>
      <c r="E1561">
        <v>0</v>
      </c>
      <c r="F1561">
        <v>0</v>
      </c>
      <c r="G1561">
        <v>4</v>
      </c>
      <c r="H1561" t="s">
        <v>20</v>
      </c>
      <c r="I1561" t="s">
        <v>70</v>
      </c>
      <c r="J1561">
        <v>419</v>
      </c>
      <c r="K1561" s="3">
        <v>9.1</v>
      </c>
      <c r="L1561">
        <v>3812.8999999999901</v>
      </c>
    </row>
    <row r="1562" spans="1:12" x14ac:dyDescent="0.3">
      <c r="A1562">
        <v>6</v>
      </c>
      <c r="B1562">
        <v>22</v>
      </c>
      <c r="C1562">
        <v>1</v>
      </c>
      <c r="D1562">
        <v>16</v>
      </c>
      <c r="E1562">
        <v>1</v>
      </c>
      <c r="F1562">
        <v>0</v>
      </c>
      <c r="G1562">
        <v>8</v>
      </c>
      <c r="H1562" t="s">
        <v>33</v>
      </c>
      <c r="I1562" t="s">
        <v>94</v>
      </c>
      <c r="J1562">
        <v>437</v>
      </c>
      <c r="K1562" s="3">
        <v>9.3000000000000007</v>
      </c>
      <c r="L1562">
        <v>4064.1</v>
      </c>
    </row>
    <row r="1563" spans="1:12" x14ac:dyDescent="0.3">
      <c r="A1563">
        <v>23</v>
      </c>
      <c r="B1563">
        <v>23</v>
      </c>
      <c r="C1563">
        <v>3</v>
      </c>
      <c r="D1563">
        <v>10</v>
      </c>
      <c r="E1563">
        <v>1</v>
      </c>
      <c r="F1563">
        <v>0</v>
      </c>
      <c r="G1563">
        <v>11</v>
      </c>
      <c r="H1563" t="s">
        <v>15</v>
      </c>
      <c r="I1563" t="s">
        <v>70</v>
      </c>
      <c r="J1563">
        <v>530</v>
      </c>
      <c r="K1563" s="3">
        <v>8.3000000000000007</v>
      </c>
      <c r="L1563">
        <v>4399</v>
      </c>
    </row>
    <row r="1564" spans="1:12" x14ac:dyDescent="0.3">
      <c r="A1564">
        <v>14</v>
      </c>
      <c r="B1564">
        <v>22</v>
      </c>
      <c r="C1564">
        <v>3</v>
      </c>
      <c r="D1564">
        <v>22</v>
      </c>
      <c r="E1564">
        <v>1</v>
      </c>
      <c r="F1564">
        <v>0</v>
      </c>
      <c r="G1564">
        <v>3</v>
      </c>
      <c r="H1564" t="s">
        <v>22</v>
      </c>
      <c r="I1564" t="s">
        <v>73</v>
      </c>
      <c r="J1564">
        <v>733</v>
      </c>
      <c r="K1564" s="3">
        <v>7.8</v>
      </c>
      <c r="L1564">
        <v>5717.4</v>
      </c>
    </row>
    <row r="1565" spans="1:12" x14ac:dyDescent="0.3">
      <c r="A1565">
        <v>5</v>
      </c>
      <c r="B1565">
        <v>23</v>
      </c>
      <c r="C1565">
        <v>3</v>
      </c>
      <c r="D1565">
        <v>15</v>
      </c>
      <c r="E1565">
        <v>1</v>
      </c>
      <c r="F1565">
        <v>0</v>
      </c>
      <c r="G1565">
        <v>5</v>
      </c>
      <c r="H1565" t="s">
        <v>26</v>
      </c>
      <c r="I1565" t="s">
        <v>106</v>
      </c>
      <c r="J1565">
        <v>673</v>
      </c>
      <c r="K1565" s="3">
        <v>8.5</v>
      </c>
      <c r="L1565">
        <v>5720.5</v>
      </c>
    </row>
    <row r="1566" spans="1:12" x14ac:dyDescent="0.3">
      <c r="A1566">
        <v>9</v>
      </c>
      <c r="B1566">
        <v>22</v>
      </c>
      <c r="C1566">
        <v>3</v>
      </c>
      <c r="D1566">
        <v>14</v>
      </c>
      <c r="E1566">
        <v>1</v>
      </c>
      <c r="F1566">
        <v>0</v>
      </c>
      <c r="G1566">
        <v>0</v>
      </c>
      <c r="H1566" t="s">
        <v>32</v>
      </c>
      <c r="I1566" t="s">
        <v>76</v>
      </c>
      <c r="J1566">
        <v>671</v>
      </c>
      <c r="K1566" s="3">
        <v>7.6</v>
      </c>
      <c r="L1566">
        <v>5099.5999999999904</v>
      </c>
    </row>
    <row r="1567" spans="1:12" x14ac:dyDescent="0.3">
      <c r="A1567">
        <v>23</v>
      </c>
      <c r="B1567">
        <v>23</v>
      </c>
      <c r="C1567">
        <v>3</v>
      </c>
      <c r="D1567">
        <v>7</v>
      </c>
      <c r="E1567">
        <v>1</v>
      </c>
      <c r="F1567">
        <v>0</v>
      </c>
      <c r="G1567">
        <v>11</v>
      </c>
      <c r="H1567" t="s">
        <v>28</v>
      </c>
      <c r="I1567" t="s">
        <v>74</v>
      </c>
      <c r="J1567">
        <v>500</v>
      </c>
      <c r="K1567" s="3">
        <v>7.7</v>
      </c>
      <c r="L1567">
        <v>3850</v>
      </c>
    </row>
    <row r="1568" spans="1:12" x14ac:dyDescent="0.3">
      <c r="A1568">
        <v>7</v>
      </c>
      <c r="B1568">
        <v>20</v>
      </c>
      <c r="C1568">
        <v>3</v>
      </c>
      <c r="D1568">
        <v>16</v>
      </c>
      <c r="E1568">
        <v>1</v>
      </c>
      <c r="F1568">
        <v>0</v>
      </c>
      <c r="G1568">
        <v>12</v>
      </c>
      <c r="H1568" t="s">
        <v>25</v>
      </c>
      <c r="I1568" t="s">
        <v>119</v>
      </c>
      <c r="J1568">
        <v>578</v>
      </c>
      <c r="K1568" s="3">
        <v>8.1</v>
      </c>
      <c r="L1568">
        <v>4681.8</v>
      </c>
    </row>
    <row r="1569" spans="1:12" x14ac:dyDescent="0.3">
      <c r="A1569">
        <v>13</v>
      </c>
      <c r="B1569">
        <v>22</v>
      </c>
      <c r="C1569">
        <v>2</v>
      </c>
      <c r="D1569">
        <v>9</v>
      </c>
      <c r="E1569">
        <v>12</v>
      </c>
      <c r="F1569">
        <v>0</v>
      </c>
      <c r="G1569">
        <v>7</v>
      </c>
      <c r="H1569" t="s">
        <v>30</v>
      </c>
      <c r="I1569" t="s">
        <v>105</v>
      </c>
      <c r="J1569">
        <v>534</v>
      </c>
      <c r="K1569" s="3">
        <v>9.1999999999999993</v>
      </c>
      <c r="L1569">
        <v>4912.7999999999902</v>
      </c>
    </row>
    <row r="1570" spans="1:12" x14ac:dyDescent="0.3">
      <c r="A1570">
        <v>19</v>
      </c>
      <c r="B1570">
        <v>22</v>
      </c>
      <c r="C1570">
        <v>1</v>
      </c>
      <c r="D1570">
        <v>5</v>
      </c>
      <c r="E1570">
        <v>12</v>
      </c>
      <c r="F1570">
        <v>0</v>
      </c>
      <c r="G1570">
        <v>2</v>
      </c>
      <c r="H1570" t="s">
        <v>33</v>
      </c>
      <c r="I1570" t="s">
        <v>105</v>
      </c>
      <c r="J1570">
        <v>0</v>
      </c>
      <c r="K1570" s="3">
        <v>9.3000000000000007</v>
      </c>
      <c r="L1570">
        <v>3729.3</v>
      </c>
    </row>
    <row r="1571" spans="1:12" x14ac:dyDescent="0.3">
      <c r="A1571">
        <v>16</v>
      </c>
      <c r="B1571">
        <v>22</v>
      </c>
      <c r="C1571">
        <v>2</v>
      </c>
      <c r="D1571">
        <v>21</v>
      </c>
      <c r="E1571">
        <v>12</v>
      </c>
      <c r="F1571">
        <v>0</v>
      </c>
      <c r="G1571">
        <v>7</v>
      </c>
      <c r="H1571" t="s">
        <v>30</v>
      </c>
      <c r="I1571" t="s">
        <v>70</v>
      </c>
      <c r="J1571">
        <v>814</v>
      </c>
      <c r="K1571" s="3">
        <v>9.1999999999999993</v>
      </c>
      <c r="L1571">
        <v>7488.7999999999902</v>
      </c>
    </row>
    <row r="1572" spans="1:12" x14ac:dyDescent="0.3">
      <c r="A1572">
        <v>13</v>
      </c>
      <c r="B1572">
        <v>23</v>
      </c>
      <c r="C1572">
        <v>0</v>
      </c>
      <c r="D1572">
        <v>16</v>
      </c>
      <c r="E1572">
        <v>1</v>
      </c>
      <c r="F1572">
        <v>0</v>
      </c>
      <c r="G1572">
        <v>12</v>
      </c>
      <c r="H1572" t="s">
        <v>51</v>
      </c>
      <c r="I1572" t="s">
        <v>73</v>
      </c>
      <c r="J1572">
        <v>567</v>
      </c>
      <c r="K1572" s="3">
        <v>8.8000000000000007</v>
      </c>
      <c r="L1572">
        <v>4989.6000000000004</v>
      </c>
    </row>
    <row r="1573" spans="1:12" x14ac:dyDescent="0.3">
      <c r="A1573">
        <v>13</v>
      </c>
      <c r="B1573">
        <v>23</v>
      </c>
      <c r="C1573">
        <v>3</v>
      </c>
      <c r="D1573">
        <v>16</v>
      </c>
      <c r="E1573">
        <v>1</v>
      </c>
      <c r="F1573">
        <v>0</v>
      </c>
      <c r="G1573">
        <v>12</v>
      </c>
      <c r="H1573" t="s">
        <v>20</v>
      </c>
      <c r="I1573" t="s">
        <v>110</v>
      </c>
      <c r="J1573">
        <v>699</v>
      </c>
      <c r="K1573" s="3">
        <v>9.1</v>
      </c>
      <c r="L1573">
        <v>6360.9</v>
      </c>
    </row>
    <row r="1574" spans="1:12" x14ac:dyDescent="0.3">
      <c r="A1574">
        <v>19</v>
      </c>
      <c r="B1574">
        <v>22</v>
      </c>
      <c r="C1574">
        <v>2</v>
      </c>
      <c r="D1574">
        <v>3</v>
      </c>
      <c r="E1574">
        <v>1</v>
      </c>
      <c r="F1574">
        <v>0</v>
      </c>
      <c r="G1574">
        <v>12</v>
      </c>
      <c r="H1574" t="s">
        <v>64</v>
      </c>
      <c r="I1574" t="s">
        <v>368</v>
      </c>
      <c r="J1574">
        <v>489</v>
      </c>
      <c r="K1574" s="3">
        <v>8.1999999999999993</v>
      </c>
      <c r="L1574">
        <v>4009.7999999999902</v>
      </c>
    </row>
    <row r="1575" spans="1:12" x14ac:dyDescent="0.3">
      <c r="A1575">
        <v>13</v>
      </c>
      <c r="B1575">
        <v>22</v>
      </c>
      <c r="C1575">
        <v>0</v>
      </c>
      <c r="D1575">
        <v>9</v>
      </c>
      <c r="E1575">
        <v>1</v>
      </c>
      <c r="F1575">
        <v>0</v>
      </c>
      <c r="G1575">
        <v>8</v>
      </c>
      <c r="H1575" t="s">
        <v>32</v>
      </c>
      <c r="I1575" t="s">
        <v>73</v>
      </c>
      <c r="J1575">
        <v>363</v>
      </c>
      <c r="K1575" s="3">
        <v>7.6</v>
      </c>
      <c r="L1575">
        <v>2758.7999999999902</v>
      </c>
    </row>
    <row r="1576" spans="1:12" x14ac:dyDescent="0.3">
      <c r="A1576">
        <v>16</v>
      </c>
      <c r="B1576">
        <v>22</v>
      </c>
      <c r="C1576">
        <v>2</v>
      </c>
      <c r="D1576">
        <v>7</v>
      </c>
      <c r="E1576">
        <v>1</v>
      </c>
      <c r="F1576">
        <v>0</v>
      </c>
      <c r="G1576">
        <v>9</v>
      </c>
      <c r="H1576" t="s">
        <v>23</v>
      </c>
      <c r="I1576" t="s">
        <v>85</v>
      </c>
      <c r="J1576">
        <v>482</v>
      </c>
      <c r="K1576" s="3">
        <v>8.4</v>
      </c>
      <c r="L1576">
        <v>4048.8</v>
      </c>
    </row>
    <row r="1577" spans="1:12" x14ac:dyDescent="0.3">
      <c r="A1577">
        <v>10</v>
      </c>
      <c r="B1577">
        <v>19</v>
      </c>
      <c r="C1577">
        <v>2</v>
      </c>
      <c r="D1577">
        <v>10</v>
      </c>
      <c r="E1577">
        <v>1</v>
      </c>
      <c r="F1577">
        <v>0</v>
      </c>
      <c r="G1577">
        <v>1</v>
      </c>
      <c r="H1577" t="s">
        <v>18</v>
      </c>
      <c r="I1577" t="s">
        <v>70</v>
      </c>
      <c r="J1577">
        <v>542</v>
      </c>
      <c r="K1577" s="3">
        <v>7.7</v>
      </c>
      <c r="L1577">
        <v>4173.3999999999996</v>
      </c>
    </row>
    <row r="1578" spans="1:12" x14ac:dyDescent="0.3">
      <c r="A1578">
        <v>13</v>
      </c>
      <c r="B1578">
        <v>22</v>
      </c>
      <c r="C1578">
        <v>1</v>
      </c>
      <c r="D1578">
        <v>21</v>
      </c>
      <c r="E1578">
        <v>12</v>
      </c>
      <c r="F1578">
        <v>0</v>
      </c>
      <c r="G1578">
        <v>11</v>
      </c>
      <c r="H1578" t="s">
        <v>26</v>
      </c>
      <c r="I1578" t="s">
        <v>70</v>
      </c>
      <c r="J1578">
        <v>646</v>
      </c>
      <c r="K1578" s="3">
        <v>8.5</v>
      </c>
      <c r="L1578">
        <v>5491</v>
      </c>
    </row>
    <row r="1579" spans="1:12" x14ac:dyDescent="0.3">
      <c r="A1579">
        <v>11</v>
      </c>
      <c r="B1579">
        <v>22</v>
      </c>
      <c r="C1579">
        <v>0</v>
      </c>
      <c r="D1579">
        <v>12</v>
      </c>
      <c r="E1579">
        <v>1</v>
      </c>
      <c r="F1579">
        <v>0</v>
      </c>
      <c r="G1579">
        <v>11</v>
      </c>
      <c r="H1579" t="s">
        <v>26</v>
      </c>
      <c r="I1579" t="s">
        <v>87</v>
      </c>
      <c r="J1579">
        <v>479</v>
      </c>
      <c r="K1579" s="3">
        <v>8.5</v>
      </c>
      <c r="L1579">
        <v>4071.5</v>
      </c>
    </row>
    <row r="1580" spans="1:12" x14ac:dyDescent="0.3">
      <c r="A1580">
        <v>13</v>
      </c>
      <c r="B1580">
        <v>22</v>
      </c>
      <c r="C1580">
        <v>0</v>
      </c>
      <c r="D1580">
        <v>6</v>
      </c>
      <c r="E1580">
        <v>1</v>
      </c>
      <c r="F1580">
        <v>0</v>
      </c>
      <c r="G1580">
        <v>10</v>
      </c>
      <c r="H1580" t="s">
        <v>26</v>
      </c>
      <c r="I1580" t="s">
        <v>85</v>
      </c>
      <c r="J1580">
        <v>361</v>
      </c>
      <c r="K1580" s="3">
        <v>0</v>
      </c>
      <c r="L1580">
        <v>3068.5</v>
      </c>
    </row>
    <row r="1581" spans="1:12" x14ac:dyDescent="0.3">
      <c r="A1581">
        <v>19</v>
      </c>
      <c r="B1581">
        <v>22</v>
      </c>
      <c r="C1581">
        <v>0</v>
      </c>
      <c r="D1581">
        <v>7</v>
      </c>
      <c r="E1581">
        <v>12</v>
      </c>
      <c r="F1581">
        <v>0</v>
      </c>
      <c r="G1581">
        <v>5</v>
      </c>
      <c r="H1581" t="s">
        <v>34</v>
      </c>
      <c r="I1581" t="s">
        <v>70</v>
      </c>
      <c r="J1581">
        <v>636</v>
      </c>
      <c r="K1581" s="3">
        <v>7.6</v>
      </c>
      <c r="L1581">
        <v>4833.5999999999904</v>
      </c>
    </row>
    <row r="1582" spans="1:12" x14ac:dyDescent="0.3">
      <c r="A1582">
        <v>10</v>
      </c>
      <c r="B1582">
        <v>23</v>
      </c>
      <c r="C1582">
        <v>2</v>
      </c>
      <c r="D1582">
        <v>19</v>
      </c>
      <c r="E1582">
        <v>1</v>
      </c>
      <c r="F1582">
        <v>0</v>
      </c>
      <c r="G1582">
        <v>4</v>
      </c>
      <c r="H1582" t="s">
        <v>18</v>
      </c>
      <c r="I1582" t="s">
        <v>101</v>
      </c>
      <c r="J1582">
        <v>472</v>
      </c>
      <c r="K1582" s="3">
        <v>7.7</v>
      </c>
      <c r="L1582">
        <v>3634.4</v>
      </c>
    </row>
    <row r="1583" spans="1:12" x14ac:dyDescent="0.3">
      <c r="A1583">
        <v>17</v>
      </c>
      <c r="B1583">
        <v>23</v>
      </c>
      <c r="C1583">
        <v>3</v>
      </c>
      <c r="D1583">
        <v>3</v>
      </c>
      <c r="E1583">
        <v>1</v>
      </c>
      <c r="F1583">
        <v>0</v>
      </c>
      <c r="G1583">
        <v>1</v>
      </c>
      <c r="H1583" t="s">
        <v>36</v>
      </c>
      <c r="I1583" t="s">
        <v>73</v>
      </c>
      <c r="J1583">
        <v>513</v>
      </c>
      <c r="K1583" s="3">
        <v>8.8000000000000007</v>
      </c>
      <c r="L1583">
        <v>4514.3999999999996</v>
      </c>
    </row>
    <row r="1584" spans="1:12" x14ac:dyDescent="0.3">
      <c r="A1584">
        <v>0</v>
      </c>
      <c r="B1584">
        <v>22</v>
      </c>
      <c r="C1584">
        <v>2</v>
      </c>
      <c r="D1584">
        <v>9</v>
      </c>
      <c r="E1584">
        <v>1</v>
      </c>
      <c r="F1584">
        <v>0</v>
      </c>
      <c r="G1584">
        <v>2</v>
      </c>
      <c r="H1584" t="s">
        <v>16</v>
      </c>
      <c r="I1584" t="s">
        <v>71</v>
      </c>
      <c r="J1584">
        <v>531</v>
      </c>
      <c r="K1584" s="3">
        <v>8.9</v>
      </c>
      <c r="L1584">
        <v>4725.8999999999996</v>
      </c>
    </row>
    <row r="1585" spans="1:12" x14ac:dyDescent="0.3">
      <c r="A1585">
        <v>23</v>
      </c>
      <c r="B1585">
        <v>22</v>
      </c>
      <c r="C1585">
        <v>1</v>
      </c>
      <c r="D1585">
        <v>18</v>
      </c>
      <c r="E1585">
        <v>1</v>
      </c>
      <c r="F1585">
        <v>0</v>
      </c>
      <c r="G1585">
        <v>0</v>
      </c>
      <c r="H1585" t="s">
        <v>15</v>
      </c>
      <c r="I1585" t="s">
        <v>90</v>
      </c>
      <c r="J1585">
        <v>454</v>
      </c>
      <c r="K1585" s="3">
        <v>8.3000000000000007</v>
      </c>
      <c r="L1585">
        <v>3768.2</v>
      </c>
    </row>
    <row r="1586" spans="1:12" x14ac:dyDescent="0.3">
      <c r="A1586">
        <v>19</v>
      </c>
      <c r="B1586">
        <v>22</v>
      </c>
      <c r="C1586">
        <v>2</v>
      </c>
      <c r="D1586">
        <v>12</v>
      </c>
      <c r="E1586">
        <v>1</v>
      </c>
      <c r="F1586">
        <v>0</v>
      </c>
      <c r="G1586">
        <v>8</v>
      </c>
      <c r="H1586" t="s">
        <v>18</v>
      </c>
      <c r="I1586" t="s">
        <v>104</v>
      </c>
      <c r="J1586">
        <v>524</v>
      </c>
      <c r="K1586" s="3">
        <v>0</v>
      </c>
      <c r="L1586">
        <v>4034.8</v>
      </c>
    </row>
    <row r="1587" spans="1:12" x14ac:dyDescent="0.3">
      <c r="A1587">
        <v>5</v>
      </c>
      <c r="B1587">
        <v>23</v>
      </c>
      <c r="C1587">
        <v>1</v>
      </c>
      <c r="D1587">
        <v>10</v>
      </c>
      <c r="E1587">
        <v>1</v>
      </c>
      <c r="F1587">
        <v>0</v>
      </c>
      <c r="G1587">
        <v>3</v>
      </c>
      <c r="H1587" t="s">
        <v>23</v>
      </c>
      <c r="I1587" t="s">
        <v>72</v>
      </c>
      <c r="J1587">
        <v>389</v>
      </c>
      <c r="K1587" s="3">
        <v>8.4</v>
      </c>
      <c r="L1587">
        <v>3267.6</v>
      </c>
    </row>
    <row r="1588" spans="1:12" x14ac:dyDescent="0.3">
      <c r="A1588">
        <v>19</v>
      </c>
      <c r="B1588">
        <v>23</v>
      </c>
      <c r="C1588">
        <v>1</v>
      </c>
      <c r="D1588">
        <v>17</v>
      </c>
      <c r="E1588">
        <v>1</v>
      </c>
      <c r="F1588">
        <v>0</v>
      </c>
      <c r="G1588">
        <v>12</v>
      </c>
      <c r="H1588" t="s">
        <v>24</v>
      </c>
      <c r="I1588" t="s">
        <v>70</v>
      </c>
      <c r="J1588">
        <v>560</v>
      </c>
      <c r="K1588" s="3">
        <v>7.9</v>
      </c>
      <c r="L1588">
        <v>4424</v>
      </c>
    </row>
    <row r="1589" spans="1:12" x14ac:dyDescent="0.3">
      <c r="A1589">
        <v>23</v>
      </c>
      <c r="B1589">
        <v>22</v>
      </c>
      <c r="C1589">
        <v>0</v>
      </c>
      <c r="D1589">
        <v>6</v>
      </c>
      <c r="E1589">
        <v>1</v>
      </c>
      <c r="F1589">
        <v>0</v>
      </c>
      <c r="G1589">
        <v>0</v>
      </c>
      <c r="H1589" t="s">
        <v>64</v>
      </c>
      <c r="I1589" t="s">
        <v>74</v>
      </c>
      <c r="J1589">
        <v>584</v>
      </c>
      <c r="K1589" s="3">
        <v>8.1999999999999993</v>
      </c>
      <c r="L1589">
        <v>4788.7999999999902</v>
      </c>
    </row>
    <row r="1590" spans="1:12" x14ac:dyDescent="0.3">
      <c r="A1590">
        <v>5</v>
      </c>
      <c r="B1590">
        <v>18</v>
      </c>
      <c r="C1590">
        <v>2</v>
      </c>
      <c r="D1590">
        <v>22</v>
      </c>
      <c r="E1590">
        <v>1</v>
      </c>
      <c r="F1590">
        <v>0</v>
      </c>
      <c r="G1590">
        <v>1</v>
      </c>
      <c r="H1590" t="s">
        <v>35</v>
      </c>
      <c r="I1590" t="s">
        <v>76</v>
      </c>
      <c r="J1590">
        <v>363</v>
      </c>
      <c r="K1590" s="3">
        <v>8.1999999999999993</v>
      </c>
      <c r="L1590">
        <v>2976.6</v>
      </c>
    </row>
    <row r="1591" spans="1:12" x14ac:dyDescent="0.3">
      <c r="A1591">
        <v>6</v>
      </c>
      <c r="B1591">
        <v>17</v>
      </c>
      <c r="C1591">
        <v>1</v>
      </c>
      <c r="D1591">
        <v>5</v>
      </c>
      <c r="E1591">
        <v>7</v>
      </c>
      <c r="F1591">
        <v>0</v>
      </c>
      <c r="G1591">
        <v>1</v>
      </c>
      <c r="H1591" t="s">
        <v>38</v>
      </c>
      <c r="I1591" t="s">
        <v>84</v>
      </c>
      <c r="J1591">
        <v>364</v>
      </c>
      <c r="K1591" s="3">
        <v>7.4</v>
      </c>
      <c r="L1591">
        <v>2693.6</v>
      </c>
    </row>
    <row r="1592" spans="1:12" x14ac:dyDescent="0.3">
      <c r="A1592">
        <v>15</v>
      </c>
      <c r="B1592">
        <v>22</v>
      </c>
      <c r="C1592">
        <v>2</v>
      </c>
      <c r="D1592">
        <v>10</v>
      </c>
      <c r="E1592">
        <v>12</v>
      </c>
      <c r="F1592">
        <v>0</v>
      </c>
      <c r="G1592">
        <v>4</v>
      </c>
      <c r="H1592" t="s">
        <v>26</v>
      </c>
      <c r="I1592" t="s">
        <v>82</v>
      </c>
      <c r="J1592">
        <v>514</v>
      </c>
      <c r="K1592" s="3">
        <v>8.5</v>
      </c>
      <c r="L1592">
        <v>4369</v>
      </c>
    </row>
    <row r="1593" spans="1:12" x14ac:dyDescent="0.3">
      <c r="A1593">
        <v>22</v>
      </c>
      <c r="B1593">
        <v>22</v>
      </c>
      <c r="C1593">
        <v>2</v>
      </c>
      <c r="D1593">
        <v>18</v>
      </c>
      <c r="E1593">
        <v>1</v>
      </c>
      <c r="F1593">
        <v>0</v>
      </c>
      <c r="G1593">
        <v>4</v>
      </c>
      <c r="H1593" t="s">
        <v>369</v>
      </c>
      <c r="I1593" t="s">
        <v>93</v>
      </c>
      <c r="J1593">
        <v>660</v>
      </c>
      <c r="K1593" s="3">
        <v>8.9</v>
      </c>
      <c r="L1593">
        <v>5874</v>
      </c>
    </row>
    <row r="1594" spans="1:12" x14ac:dyDescent="0.3">
      <c r="A1594">
        <v>12</v>
      </c>
      <c r="B1594">
        <v>23</v>
      </c>
      <c r="C1594">
        <v>2</v>
      </c>
      <c r="D1594">
        <v>18</v>
      </c>
      <c r="E1594">
        <v>12</v>
      </c>
      <c r="F1594">
        <v>0</v>
      </c>
      <c r="G1594">
        <v>8</v>
      </c>
      <c r="H1594" t="s">
        <v>18</v>
      </c>
      <c r="I1594" t="s">
        <v>87</v>
      </c>
      <c r="J1594">
        <v>746</v>
      </c>
      <c r="K1594" s="3">
        <v>7.7</v>
      </c>
      <c r="L1594">
        <v>5744.2</v>
      </c>
    </row>
    <row r="1595" spans="1:12" x14ac:dyDescent="0.3">
      <c r="A1595">
        <v>9</v>
      </c>
      <c r="B1595">
        <v>19</v>
      </c>
      <c r="C1595">
        <v>1</v>
      </c>
      <c r="D1595">
        <v>21</v>
      </c>
      <c r="E1595">
        <v>1</v>
      </c>
      <c r="F1595">
        <v>0</v>
      </c>
      <c r="G1595">
        <v>5</v>
      </c>
      <c r="H1595" t="s">
        <v>26</v>
      </c>
      <c r="I1595" t="s">
        <v>81</v>
      </c>
      <c r="J1595">
        <v>490</v>
      </c>
      <c r="K1595" s="3">
        <v>8.5</v>
      </c>
      <c r="L1595">
        <v>4165</v>
      </c>
    </row>
    <row r="1596" spans="1:12" x14ac:dyDescent="0.3">
      <c r="A1596">
        <v>19</v>
      </c>
      <c r="B1596">
        <v>22</v>
      </c>
      <c r="C1596">
        <v>3</v>
      </c>
      <c r="D1596">
        <v>16</v>
      </c>
      <c r="E1596">
        <v>1</v>
      </c>
      <c r="F1596">
        <v>0</v>
      </c>
      <c r="G1596">
        <v>11</v>
      </c>
      <c r="H1596" t="s">
        <v>18</v>
      </c>
      <c r="I1596" t="s">
        <v>95</v>
      </c>
      <c r="J1596">
        <v>710</v>
      </c>
      <c r="K1596" s="3">
        <v>7.7</v>
      </c>
      <c r="L1596">
        <v>5467</v>
      </c>
    </row>
    <row r="1597" spans="1:12" x14ac:dyDescent="0.3">
      <c r="A1597">
        <v>0</v>
      </c>
      <c r="B1597">
        <v>0</v>
      </c>
      <c r="C1597">
        <v>2</v>
      </c>
      <c r="D1597">
        <v>9</v>
      </c>
      <c r="E1597">
        <v>1</v>
      </c>
      <c r="F1597">
        <v>0</v>
      </c>
      <c r="G1597">
        <v>4</v>
      </c>
      <c r="H1597" t="s">
        <v>24</v>
      </c>
      <c r="I1597" t="s">
        <v>84</v>
      </c>
      <c r="J1597">
        <v>501</v>
      </c>
      <c r="K1597" s="3">
        <v>7.9</v>
      </c>
      <c r="L1597">
        <v>3957.9</v>
      </c>
    </row>
    <row r="1598" spans="1:12" x14ac:dyDescent="0.3">
      <c r="A1598">
        <v>17</v>
      </c>
      <c r="B1598">
        <v>22</v>
      </c>
      <c r="C1598">
        <v>3</v>
      </c>
      <c r="D1598">
        <v>18</v>
      </c>
      <c r="E1598">
        <v>1</v>
      </c>
      <c r="F1598">
        <v>0</v>
      </c>
      <c r="G1598">
        <v>7</v>
      </c>
      <c r="H1598" t="s">
        <v>35</v>
      </c>
      <c r="I1598" t="s">
        <v>130</v>
      </c>
      <c r="J1598">
        <v>537</v>
      </c>
      <c r="K1598" s="3">
        <v>8.1999999999999993</v>
      </c>
      <c r="L1598">
        <v>4403.3999999999996</v>
      </c>
    </row>
    <row r="1599" spans="1:12" x14ac:dyDescent="0.3">
      <c r="A1599">
        <v>14</v>
      </c>
      <c r="B1599">
        <v>23</v>
      </c>
      <c r="C1599">
        <v>0</v>
      </c>
      <c r="D1599">
        <v>17</v>
      </c>
      <c r="E1599">
        <v>1</v>
      </c>
      <c r="F1599">
        <v>0</v>
      </c>
      <c r="G1599">
        <v>7</v>
      </c>
      <c r="H1599" t="s">
        <v>55</v>
      </c>
      <c r="I1599" t="s">
        <v>104</v>
      </c>
      <c r="J1599">
        <v>553</v>
      </c>
      <c r="K1599" s="3">
        <v>7.8</v>
      </c>
      <c r="L1599">
        <v>4313.3999999999996</v>
      </c>
    </row>
    <row r="1600" spans="1:12" x14ac:dyDescent="0.3">
      <c r="A1600">
        <v>15</v>
      </c>
      <c r="B1600">
        <v>23</v>
      </c>
      <c r="C1600">
        <v>1</v>
      </c>
      <c r="D1600">
        <v>17</v>
      </c>
      <c r="E1600">
        <v>0</v>
      </c>
      <c r="F1600">
        <v>0</v>
      </c>
      <c r="G1600">
        <v>5</v>
      </c>
      <c r="H1600" t="s">
        <v>14</v>
      </c>
      <c r="I1600" t="s">
        <v>70</v>
      </c>
      <c r="J1600">
        <v>537</v>
      </c>
      <c r="K1600" s="3">
        <v>8.9</v>
      </c>
      <c r="L1600">
        <v>4779.3</v>
      </c>
    </row>
    <row r="1601" spans="1:12" x14ac:dyDescent="0.3">
      <c r="A1601">
        <v>8</v>
      </c>
      <c r="B1601">
        <v>20</v>
      </c>
      <c r="C1601">
        <v>1</v>
      </c>
      <c r="D1601">
        <v>7</v>
      </c>
      <c r="E1601">
        <v>7</v>
      </c>
      <c r="F1601">
        <v>0</v>
      </c>
      <c r="G1601">
        <v>6</v>
      </c>
      <c r="H1601" t="s">
        <v>26</v>
      </c>
      <c r="I1601" t="s">
        <v>71</v>
      </c>
      <c r="J1601">
        <v>495</v>
      </c>
      <c r="K1601" s="3">
        <v>8.5</v>
      </c>
      <c r="L1601">
        <v>4207.5</v>
      </c>
    </row>
    <row r="1602" spans="1:12" x14ac:dyDescent="0.3">
      <c r="A1602">
        <v>16</v>
      </c>
      <c r="B1602">
        <v>23</v>
      </c>
      <c r="C1602">
        <v>0</v>
      </c>
      <c r="D1602">
        <v>9</v>
      </c>
      <c r="E1602">
        <v>1</v>
      </c>
      <c r="F1602">
        <v>0</v>
      </c>
      <c r="G1602">
        <v>12</v>
      </c>
      <c r="H1602" t="s">
        <v>21</v>
      </c>
      <c r="I1602" t="s">
        <v>73</v>
      </c>
      <c r="J1602">
        <v>640</v>
      </c>
      <c r="K1602" s="3">
        <v>8.6999999999999993</v>
      </c>
      <c r="L1602">
        <v>5568</v>
      </c>
    </row>
    <row r="1603" spans="1:12" x14ac:dyDescent="0.3">
      <c r="A1603">
        <v>20</v>
      </c>
      <c r="B1603">
        <v>23</v>
      </c>
      <c r="C1603">
        <v>3</v>
      </c>
      <c r="D1603">
        <v>4</v>
      </c>
      <c r="E1603">
        <v>1</v>
      </c>
      <c r="F1603">
        <v>0</v>
      </c>
      <c r="G1603">
        <v>11</v>
      </c>
      <c r="H1603" t="s">
        <v>33</v>
      </c>
      <c r="I1603" t="s">
        <v>132</v>
      </c>
      <c r="J1603">
        <v>523</v>
      </c>
      <c r="K1603" s="3">
        <v>9.3000000000000007</v>
      </c>
      <c r="L1603">
        <v>4863.8999999999996</v>
      </c>
    </row>
    <row r="1604" spans="1:12" x14ac:dyDescent="0.3">
      <c r="A1604">
        <v>10</v>
      </c>
      <c r="B1604">
        <v>23</v>
      </c>
      <c r="C1604">
        <v>0</v>
      </c>
      <c r="D1604">
        <v>22</v>
      </c>
      <c r="E1604">
        <v>1</v>
      </c>
      <c r="F1604">
        <v>0</v>
      </c>
      <c r="G1604">
        <v>10</v>
      </c>
      <c r="H1604" t="s">
        <v>31</v>
      </c>
      <c r="I1604" t="s">
        <v>78</v>
      </c>
      <c r="J1604">
        <v>657</v>
      </c>
      <c r="K1604" s="3">
        <v>7.9</v>
      </c>
      <c r="L1604">
        <v>5190.3</v>
      </c>
    </row>
    <row r="1605" spans="1:12" x14ac:dyDescent="0.3">
      <c r="A1605">
        <v>21</v>
      </c>
      <c r="B1605">
        <v>23</v>
      </c>
      <c r="C1605">
        <v>3</v>
      </c>
      <c r="D1605">
        <v>12</v>
      </c>
      <c r="E1605">
        <v>1</v>
      </c>
      <c r="F1605">
        <v>0</v>
      </c>
      <c r="G1605">
        <v>11</v>
      </c>
      <c r="H1605" t="s">
        <v>38</v>
      </c>
      <c r="I1605" t="s">
        <v>80</v>
      </c>
      <c r="J1605">
        <v>511</v>
      </c>
      <c r="K1605" s="3">
        <v>7.4</v>
      </c>
      <c r="L1605">
        <v>3781.4</v>
      </c>
    </row>
    <row r="1606" spans="1:12" x14ac:dyDescent="0.3">
      <c r="A1606">
        <v>11</v>
      </c>
      <c r="B1606">
        <v>22</v>
      </c>
      <c r="C1606">
        <v>3</v>
      </c>
      <c r="D1606">
        <v>8</v>
      </c>
      <c r="E1606">
        <v>1</v>
      </c>
      <c r="F1606">
        <v>0</v>
      </c>
      <c r="G1606">
        <v>7</v>
      </c>
      <c r="H1606" t="s">
        <v>16</v>
      </c>
      <c r="I1606" t="s">
        <v>82</v>
      </c>
      <c r="J1606">
        <v>529</v>
      </c>
      <c r="K1606" s="3">
        <v>8.9</v>
      </c>
      <c r="L1606">
        <v>4708.1000000000004</v>
      </c>
    </row>
    <row r="1607" spans="1:12" x14ac:dyDescent="0.3">
      <c r="A1607">
        <v>17</v>
      </c>
      <c r="B1607">
        <v>22</v>
      </c>
      <c r="C1607">
        <v>0</v>
      </c>
      <c r="D1607">
        <v>3</v>
      </c>
      <c r="E1607">
        <v>1</v>
      </c>
      <c r="F1607">
        <v>0</v>
      </c>
      <c r="G1607">
        <v>4</v>
      </c>
      <c r="H1607" t="s">
        <v>32</v>
      </c>
      <c r="I1607" t="s">
        <v>76</v>
      </c>
      <c r="J1607">
        <v>355</v>
      </c>
      <c r="K1607" s="3">
        <v>7.6</v>
      </c>
      <c r="L1607">
        <v>2698</v>
      </c>
    </row>
    <row r="1608" spans="1:12" x14ac:dyDescent="0.3">
      <c r="A1608">
        <v>6</v>
      </c>
      <c r="B1608">
        <v>22</v>
      </c>
      <c r="C1608">
        <v>1</v>
      </c>
      <c r="D1608">
        <v>20</v>
      </c>
      <c r="E1608">
        <v>1</v>
      </c>
      <c r="F1608">
        <v>0</v>
      </c>
      <c r="G1608">
        <v>4</v>
      </c>
      <c r="H1608" t="s">
        <v>36</v>
      </c>
      <c r="I1608" t="s">
        <v>97</v>
      </c>
      <c r="J1608">
        <v>407</v>
      </c>
      <c r="K1608" s="3">
        <v>8.8000000000000007</v>
      </c>
      <c r="L1608">
        <v>3581.6</v>
      </c>
    </row>
    <row r="1609" spans="1:12" x14ac:dyDescent="0.3">
      <c r="A1609">
        <v>10</v>
      </c>
      <c r="B1609">
        <v>21</v>
      </c>
      <c r="C1609">
        <v>0</v>
      </c>
      <c r="D1609">
        <v>20</v>
      </c>
      <c r="E1609">
        <v>1</v>
      </c>
      <c r="F1609">
        <v>0</v>
      </c>
      <c r="G1609">
        <v>3</v>
      </c>
      <c r="H1609" t="s">
        <v>44</v>
      </c>
      <c r="I1609" t="s">
        <v>96</v>
      </c>
      <c r="J1609">
        <v>425</v>
      </c>
      <c r="K1609" s="3">
        <v>8.1999999999999993</v>
      </c>
      <c r="L1609">
        <v>3484.99999999999</v>
      </c>
    </row>
    <row r="1610" spans="1:12" x14ac:dyDescent="0.3">
      <c r="A1610">
        <v>21</v>
      </c>
      <c r="B1610">
        <v>22</v>
      </c>
      <c r="C1610">
        <v>3</v>
      </c>
      <c r="D1610">
        <v>20</v>
      </c>
      <c r="E1610">
        <v>1</v>
      </c>
      <c r="F1610">
        <v>0</v>
      </c>
      <c r="G1610">
        <v>9</v>
      </c>
      <c r="H1610" t="s">
        <v>31</v>
      </c>
      <c r="I1610" t="s">
        <v>71</v>
      </c>
      <c r="J1610">
        <v>522</v>
      </c>
      <c r="K1610" s="3">
        <v>7.9</v>
      </c>
      <c r="L1610">
        <v>4123.8</v>
      </c>
    </row>
    <row r="1611" spans="1:12" x14ac:dyDescent="0.3">
      <c r="A1611">
        <v>11</v>
      </c>
      <c r="B1611">
        <v>23</v>
      </c>
      <c r="C1611">
        <v>2</v>
      </c>
      <c r="D1611">
        <v>0</v>
      </c>
      <c r="E1611">
        <v>1</v>
      </c>
      <c r="F1611">
        <v>0</v>
      </c>
      <c r="G1611">
        <v>2</v>
      </c>
      <c r="H1611" t="s">
        <v>58</v>
      </c>
      <c r="I1611" t="s">
        <v>87</v>
      </c>
      <c r="J1611">
        <v>397</v>
      </c>
      <c r="K1611" s="3">
        <v>8.4</v>
      </c>
      <c r="L1611">
        <v>3334.8</v>
      </c>
    </row>
    <row r="1612" spans="1:12" x14ac:dyDescent="0.3">
      <c r="A1612">
        <v>21</v>
      </c>
      <c r="B1612">
        <v>23</v>
      </c>
      <c r="C1612">
        <v>3</v>
      </c>
      <c r="D1612">
        <v>21</v>
      </c>
      <c r="E1612">
        <v>1</v>
      </c>
      <c r="F1612">
        <v>0</v>
      </c>
      <c r="G1612">
        <v>4</v>
      </c>
      <c r="H1612" t="s">
        <v>23</v>
      </c>
      <c r="I1612" t="s">
        <v>97</v>
      </c>
      <c r="J1612">
        <v>671</v>
      </c>
      <c r="K1612" s="3">
        <v>8.4</v>
      </c>
      <c r="L1612">
        <v>5636.4</v>
      </c>
    </row>
    <row r="1613" spans="1:12" x14ac:dyDescent="0.3">
      <c r="A1613">
        <v>13</v>
      </c>
      <c r="B1613">
        <v>23</v>
      </c>
      <c r="C1613">
        <v>2</v>
      </c>
      <c r="D1613">
        <v>21</v>
      </c>
      <c r="E1613">
        <v>0</v>
      </c>
      <c r="F1613">
        <v>0</v>
      </c>
      <c r="G1613">
        <v>11</v>
      </c>
      <c r="H1613" t="s">
        <v>20</v>
      </c>
      <c r="I1613" t="s">
        <v>368</v>
      </c>
      <c r="J1613">
        <v>577</v>
      </c>
      <c r="K1613" s="3">
        <v>9.1</v>
      </c>
      <c r="L1613">
        <v>5250.7</v>
      </c>
    </row>
    <row r="1614" spans="1:12" x14ac:dyDescent="0.3">
      <c r="A1614">
        <v>13</v>
      </c>
      <c r="B1614">
        <v>22</v>
      </c>
      <c r="C1614">
        <v>0</v>
      </c>
      <c r="D1614">
        <v>21</v>
      </c>
      <c r="E1614">
        <v>12</v>
      </c>
      <c r="F1614">
        <v>0</v>
      </c>
      <c r="G1614">
        <v>10</v>
      </c>
      <c r="H1614" t="s">
        <v>32</v>
      </c>
      <c r="I1614" t="s">
        <v>88</v>
      </c>
      <c r="J1614">
        <v>744</v>
      </c>
      <c r="K1614" s="3">
        <v>7.6</v>
      </c>
      <c r="L1614">
        <v>5654.4</v>
      </c>
    </row>
    <row r="1615" spans="1:12" x14ac:dyDescent="0.3">
      <c r="A1615">
        <v>17</v>
      </c>
      <c r="B1615">
        <v>22</v>
      </c>
      <c r="C1615">
        <v>1</v>
      </c>
      <c r="D1615">
        <v>20</v>
      </c>
      <c r="E1615">
        <v>1</v>
      </c>
      <c r="F1615">
        <v>0</v>
      </c>
      <c r="G1615">
        <v>9</v>
      </c>
      <c r="H1615" t="s">
        <v>32</v>
      </c>
      <c r="I1615" t="s">
        <v>82</v>
      </c>
      <c r="J1615">
        <v>568</v>
      </c>
      <c r="K1615" s="3">
        <v>7.6</v>
      </c>
      <c r="L1615">
        <v>4316.8</v>
      </c>
    </row>
    <row r="1616" spans="1:12" x14ac:dyDescent="0.3">
      <c r="A1616">
        <v>9</v>
      </c>
      <c r="B1616">
        <v>21</v>
      </c>
      <c r="C1616">
        <v>0</v>
      </c>
      <c r="D1616">
        <v>20</v>
      </c>
      <c r="E1616">
        <v>1</v>
      </c>
      <c r="F1616">
        <v>0</v>
      </c>
      <c r="G1616">
        <v>7</v>
      </c>
      <c r="H1616" t="s">
        <v>23</v>
      </c>
      <c r="I1616" t="s">
        <v>83</v>
      </c>
      <c r="J1616">
        <v>627</v>
      </c>
      <c r="K1616" s="3">
        <v>8.4</v>
      </c>
      <c r="L1616">
        <v>5266.8</v>
      </c>
    </row>
    <row r="1617" spans="1:12" x14ac:dyDescent="0.3">
      <c r="A1617">
        <v>10</v>
      </c>
      <c r="B1617">
        <v>23</v>
      </c>
      <c r="C1617">
        <v>3</v>
      </c>
      <c r="D1617">
        <v>14</v>
      </c>
      <c r="E1617">
        <v>1</v>
      </c>
      <c r="F1617">
        <v>0</v>
      </c>
      <c r="G1617">
        <v>5</v>
      </c>
      <c r="H1617" t="s">
        <v>16</v>
      </c>
      <c r="I1617" t="s">
        <v>88</v>
      </c>
      <c r="J1617">
        <v>494</v>
      </c>
      <c r="K1617" s="3">
        <v>8.9</v>
      </c>
      <c r="L1617">
        <v>4396.6000000000004</v>
      </c>
    </row>
    <row r="1618" spans="1:12" x14ac:dyDescent="0.3">
      <c r="A1618">
        <v>21</v>
      </c>
      <c r="B1618">
        <v>0</v>
      </c>
      <c r="C1618">
        <v>2</v>
      </c>
      <c r="D1618">
        <v>4</v>
      </c>
      <c r="E1618">
        <v>1</v>
      </c>
      <c r="F1618">
        <v>0</v>
      </c>
      <c r="G1618">
        <v>2</v>
      </c>
      <c r="H1618" t="s">
        <v>26</v>
      </c>
      <c r="I1618" t="s">
        <v>121</v>
      </c>
      <c r="J1618">
        <v>430</v>
      </c>
      <c r="K1618" s="3">
        <v>8.5</v>
      </c>
      <c r="L1618">
        <v>3655</v>
      </c>
    </row>
    <row r="1619" spans="1:12" x14ac:dyDescent="0.3">
      <c r="A1619">
        <v>16</v>
      </c>
      <c r="B1619">
        <v>22</v>
      </c>
      <c r="C1619">
        <v>0</v>
      </c>
      <c r="D1619">
        <v>14</v>
      </c>
      <c r="E1619">
        <v>12</v>
      </c>
      <c r="F1619">
        <v>0</v>
      </c>
      <c r="G1619">
        <v>7</v>
      </c>
      <c r="H1619" t="s">
        <v>369</v>
      </c>
      <c r="I1619" t="s">
        <v>72</v>
      </c>
      <c r="J1619">
        <v>603</v>
      </c>
      <c r="K1619" s="3">
        <v>8.9</v>
      </c>
      <c r="L1619">
        <v>5366.7</v>
      </c>
    </row>
    <row r="1620" spans="1:12" x14ac:dyDescent="0.3">
      <c r="A1620">
        <v>9</v>
      </c>
      <c r="B1620">
        <v>23</v>
      </c>
      <c r="C1620">
        <v>2</v>
      </c>
      <c r="D1620">
        <v>7</v>
      </c>
      <c r="E1620">
        <v>1</v>
      </c>
      <c r="F1620">
        <v>0</v>
      </c>
      <c r="G1620">
        <v>3</v>
      </c>
      <c r="H1620" t="s">
        <v>45</v>
      </c>
      <c r="I1620" t="s">
        <v>105</v>
      </c>
      <c r="J1620">
        <v>601</v>
      </c>
      <c r="K1620" s="3">
        <v>7.9</v>
      </c>
      <c r="L1620">
        <v>4747.8999999999996</v>
      </c>
    </row>
    <row r="1621" spans="1:12" x14ac:dyDescent="0.3">
      <c r="A1621">
        <v>14</v>
      </c>
      <c r="B1621">
        <v>23</v>
      </c>
      <c r="C1621">
        <v>0</v>
      </c>
      <c r="D1621">
        <v>0</v>
      </c>
      <c r="E1621">
        <v>0</v>
      </c>
      <c r="F1621">
        <v>0</v>
      </c>
      <c r="G1621">
        <v>7</v>
      </c>
      <c r="H1621" t="s">
        <v>35</v>
      </c>
      <c r="I1621" t="s">
        <v>95</v>
      </c>
      <c r="J1621">
        <v>585</v>
      </c>
      <c r="K1621" s="3">
        <v>8.1999999999999993</v>
      </c>
      <c r="L1621">
        <v>4797</v>
      </c>
    </row>
    <row r="1622" spans="1:12" x14ac:dyDescent="0.3">
      <c r="A1622">
        <v>8</v>
      </c>
      <c r="B1622">
        <v>20</v>
      </c>
      <c r="C1622">
        <v>3</v>
      </c>
      <c r="D1622">
        <v>22</v>
      </c>
      <c r="E1622">
        <v>1</v>
      </c>
      <c r="F1622">
        <v>0</v>
      </c>
      <c r="G1622">
        <v>0</v>
      </c>
      <c r="H1622" t="s">
        <v>32</v>
      </c>
      <c r="I1622" t="s">
        <v>74</v>
      </c>
      <c r="J1622">
        <v>715</v>
      </c>
      <c r="K1622" s="3">
        <v>7.6</v>
      </c>
      <c r="L1622">
        <v>5434</v>
      </c>
    </row>
    <row r="1623" spans="1:12" x14ac:dyDescent="0.3">
      <c r="A1623">
        <v>5</v>
      </c>
      <c r="B1623">
        <v>17</v>
      </c>
      <c r="C1623">
        <v>0</v>
      </c>
      <c r="D1623">
        <v>10</v>
      </c>
      <c r="E1623">
        <v>1</v>
      </c>
      <c r="F1623">
        <v>0</v>
      </c>
      <c r="G1623">
        <v>4</v>
      </c>
      <c r="H1623" t="s">
        <v>49</v>
      </c>
      <c r="I1623" t="s">
        <v>87</v>
      </c>
      <c r="J1623">
        <v>404</v>
      </c>
      <c r="K1623" s="3">
        <v>8.5</v>
      </c>
      <c r="L1623">
        <v>3434</v>
      </c>
    </row>
    <row r="1624" spans="1:12" x14ac:dyDescent="0.3">
      <c r="A1624">
        <v>23</v>
      </c>
      <c r="B1624">
        <v>22</v>
      </c>
      <c r="C1624">
        <v>0</v>
      </c>
      <c r="D1624">
        <v>19</v>
      </c>
      <c r="E1624">
        <v>1</v>
      </c>
      <c r="F1624">
        <v>0</v>
      </c>
      <c r="G1624">
        <v>5</v>
      </c>
      <c r="H1624" t="s">
        <v>20</v>
      </c>
      <c r="I1624" t="s">
        <v>83</v>
      </c>
      <c r="J1624">
        <v>640</v>
      </c>
      <c r="K1624" s="3">
        <v>9.1</v>
      </c>
      <c r="L1624">
        <v>5824</v>
      </c>
    </row>
    <row r="1625" spans="1:12" x14ac:dyDescent="0.3">
      <c r="A1625">
        <v>0</v>
      </c>
      <c r="B1625">
        <v>23</v>
      </c>
      <c r="C1625">
        <v>3</v>
      </c>
      <c r="D1625">
        <v>17</v>
      </c>
      <c r="E1625">
        <v>1</v>
      </c>
      <c r="F1625">
        <v>0</v>
      </c>
      <c r="G1625">
        <v>4</v>
      </c>
      <c r="H1625" t="s">
        <v>24</v>
      </c>
      <c r="I1625" t="s">
        <v>109</v>
      </c>
      <c r="J1625">
        <v>592</v>
      </c>
      <c r="K1625" s="3">
        <v>7.9</v>
      </c>
      <c r="L1625">
        <v>4676.8</v>
      </c>
    </row>
    <row r="1626" spans="1:12" x14ac:dyDescent="0.3">
      <c r="A1626">
        <v>21</v>
      </c>
      <c r="B1626">
        <v>23</v>
      </c>
      <c r="C1626">
        <v>1</v>
      </c>
      <c r="D1626">
        <v>9</v>
      </c>
      <c r="E1626">
        <v>1</v>
      </c>
      <c r="F1626">
        <v>0</v>
      </c>
      <c r="G1626">
        <v>11</v>
      </c>
      <c r="H1626" t="s">
        <v>20</v>
      </c>
      <c r="I1626" t="s">
        <v>85</v>
      </c>
      <c r="J1626">
        <v>418</v>
      </c>
      <c r="K1626" s="3">
        <v>9.1</v>
      </c>
      <c r="L1626">
        <v>3803.7999999999902</v>
      </c>
    </row>
    <row r="1627" spans="1:12" x14ac:dyDescent="0.3">
      <c r="A1627">
        <v>9</v>
      </c>
      <c r="B1627">
        <v>22</v>
      </c>
      <c r="C1627">
        <v>0</v>
      </c>
      <c r="D1627">
        <v>8</v>
      </c>
      <c r="E1627">
        <v>1</v>
      </c>
      <c r="F1627">
        <v>0</v>
      </c>
      <c r="G1627">
        <v>9</v>
      </c>
      <c r="H1627" t="s">
        <v>24</v>
      </c>
      <c r="I1627" t="s">
        <v>84</v>
      </c>
      <c r="J1627">
        <v>493</v>
      </c>
      <c r="K1627" s="3">
        <v>7.9</v>
      </c>
      <c r="L1627">
        <v>3894.7</v>
      </c>
    </row>
    <row r="1628" spans="1:12" x14ac:dyDescent="0.3">
      <c r="A1628">
        <v>12</v>
      </c>
      <c r="B1628">
        <v>23</v>
      </c>
      <c r="C1628">
        <v>3</v>
      </c>
      <c r="D1628">
        <v>9</v>
      </c>
      <c r="E1628">
        <v>1</v>
      </c>
      <c r="F1628">
        <v>0</v>
      </c>
      <c r="G1628">
        <v>12</v>
      </c>
      <c r="H1628" t="s">
        <v>39</v>
      </c>
      <c r="I1628" t="s">
        <v>78</v>
      </c>
      <c r="J1628">
        <v>404</v>
      </c>
      <c r="K1628" s="3">
        <v>8.8000000000000007</v>
      </c>
      <c r="L1628">
        <v>3555.2</v>
      </c>
    </row>
    <row r="1629" spans="1:12" x14ac:dyDescent="0.3">
      <c r="A1629">
        <v>21</v>
      </c>
      <c r="B1629">
        <v>23</v>
      </c>
      <c r="C1629">
        <v>3</v>
      </c>
      <c r="D1629">
        <v>5</v>
      </c>
      <c r="E1629">
        <v>1</v>
      </c>
      <c r="F1629">
        <v>0</v>
      </c>
      <c r="G1629">
        <v>7</v>
      </c>
      <c r="H1629" t="s">
        <v>35</v>
      </c>
      <c r="I1629" t="s">
        <v>88</v>
      </c>
      <c r="J1629">
        <v>546</v>
      </c>
      <c r="K1629" s="3">
        <v>8.1999999999999993</v>
      </c>
      <c r="L1629">
        <v>4477.2</v>
      </c>
    </row>
    <row r="1630" spans="1:12" x14ac:dyDescent="0.3">
      <c r="A1630">
        <v>20</v>
      </c>
      <c r="B1630">
        <v>22</v>
      </c>
      <c r="C1630">
        <v>2</v>
      </c>
      <c r="D1630">
        <v>4</v>
      </c>
      <c r="E1630">
        <v>1</v>
      </c>
      <c r="F1630">
        <v>0</v>
      </c>
      <c r="G1630">
        <v>8</v>
      </c>
      <c r="H1630" t="s">
        <v>59</v>
      </c>
      <c r="I1630" t="s">
        <v>91</v>
      </c>
      <c r="J1630">
        <v>508</v>
      </c>
      <c r="K1630" s="3">
        <v>8.1</v>
      </c>
      <c r="L1630">
        <v>4114.8</v>
      </c>
    </row>
    <row r="1631" spans="1:12" x14ac:dyDescent="0.3">
      <c r="A1631">
        <v>13</v>
      </c>
      <c r="B1631">
        <v>23</v>
      </c>
      <c r="C1631">
        <v>3</v>
      </c>
      <c r="D1631">
        <v>21</v>
      </c>
      <c r="E1631">
        <v>1</v>
      </c>
      <c r="F1631">
        <v>0</v>
      </c>
      <c r="G1631">
        <v>1</v>
      </c>
      <c r="H1631" t="s">
        <v>18</v>
      </c>
      <c r="I1631" t="s">
        <v>74</v>
      </c>
      <c r="J1631">
        <v>618</v>
      </c>
      <c r="K1631" s="3">
        <v>7.7</v>
      </c>
      <c r="L1631">
        <v>4758.6000000000004</v>
      </c>
    </row>
    <row r="1632" spans="1:12" x14ac:dyDescent="0.3">
      <c r="A1632">
        <v>9</v>
      </c>
      <c r="B1632">
        <v>0</v>
      </c>
      <c r="C1632">
        <v>2</v>
      </c>
      <c r="D1632">
        <v>4</v>
      </c>
      <c r="E1632">
        <v>1</v>
      </c>
      <c r="F1632">
        <v>0</v>
      </c>
      <c r="G1632">
        <v>5</v>
      </c>
      <c r="H1632" t="s">
        <v>21</v>
      </c>
      <c r="I1632" t="s">
        <v>368</v>
      </c>
      <c r="J1632">
        <v>403</v>
      </c>
      <c r="K1632" s="3">
        <v>8.6999999999999993</v>
      </c>
      <c r="L1632">
        <v>3506.1</v>
      </c>
    </row>
    <row r="1633" spans="1:12" x14ac:dyDescent="0.3">
      <c r="A1633">
        <v>19</v>
      </c>
      <c r="B1633">
        <v>22</v>
      </c>
      <c r="C1633">
        <v>3</v>
      </c>
      <c r="D1633">
        <v>15</v>
      </c>
      <c r="E1633">
        <v>1</v>
      </c>
      <c r="F1633">
        <v>0</v>
      </c>
      <c r="G1633">
        <v>9</v>
      </c>
      <c r="H1633" t="s">
        <v>62</v>
      </c>
      <c r="I1633" t="s">
        <v>81</v>
      </c>
      <c r="J1633">
        <v>661</v>
      </c>
      <c r="K1633" s="3">
        <v>8.5</v>
      </c>
      <c r="L1633">
        <v>0</v>
      </c>
    </row>
    <row r="1634" spans="1:12" x14ac:dyDescent="0.3">
      <c r="A1634">
        <v>9</v>
      </c>
      <c r="B1634">
        <v>21</v>
      </c>
      <c r="C1634">
        <v>3</v>
      </c>
      <c r="D1634">
        <v>6</v>
      </c>
      <c r="E1634">
        <v>1</v>
      </c>
      <c r="F1634">
        <v>0</v>
      </c>
      <c r="G1634">
        <v>2</v>
      </c>
      <c r="H1634" t="s">
        <v>36</v>
      </c>
      <c r="I1634" t="s">
        <v>81</v>
      </c>
      <c r="J1634">
        <v>349</v>
      </c>
      <c r="K1634" s="3">
        <v>8.8000000000000007</v>
      </c>
      <c r="L1634">
        <v>3071.2</v>
      </c>
    </row>
    <row r="1635" spans="1:12" x14ac:dyDescent="0.3">
      <c r="A1635">
        <v>19</v>
      </c>
      <c r="B1635">
        <v>22</v>
      </c>
      <c r="C1635">
        <v>2</v>
      </c>
      <c r="D1635">
        <v>5</v>
      </c>
      <c r="E1635">
        <v>1</v>
      </c>
      <c r="F1635">
        <v>0</v>
      </c>
      <c r="G1635">
        <v>2</v>
      </c>
      <c r="H1635" t="s">
        <v>23</v>
      </c>
      <c r="I1635" t="s">
        <v>83</v>
      </c>
      <c r="J1635">
        <v>564</v>
      </c>
      <c r="K1635" s="3">
        <v>0</v>
      </c>
      <c r="L1635">
        <v>4737.6000000000004</v>
      </c>
    </row>
    <row r="1636" spans="1:12" x14ac:dyDescent="0.3">
      <c r="A1636">
        <v>21</v>
      </c>
      <c r="B1636">
        <v>22</v>
      </c>
      <c r="C1636">
        <v>0</v>
      </c>
      <c r="D1636">
        <v>5</v>
      </c>
      <c r="E1636">
        <v>12</v>
      </c>
      <c r="F1636">
        <v>0</v>
      </c>
      <c r="G1636">
        <v>5</v>
      </c>
      <c r="H1636" t="s">
        <v>24</v>
      </c>
      <c r="I1636" t="s">
        <v>118</v>
      </c>
      <c r="J1636">
        <v>593</v>
      </c>
      <c r="K1636" s="3">
        <v>7.9</v>
      </c>
      <c r="L1636">
        <v>4684.7</v>
      </c>
    </row>
    <row r="1637" spans="1:12" x14ac:dyDescent="0.3">
      <c r="A1637">
        <v>16</v>
      </c>
      <c r="B1637">
        <v>22</v>
      </c>
      <c r="C1637">
        <v>0</v>
      </c>
      <c r="D1637">
        <v>4</v>
      </c>
      <c r="E1637">
        <v>1</v>
      </c>
      <c r="F1637">
        <v>0</v>
      </c>
      <c r="G1637">
        <v>8</v>
      </c>
      <c r="H1637" t="s">
        <v>12</v>
      </c>
      <c r="I1637" t="s">
        <v>72</v>
      </c>
      <c r="J1637">
        <v>388</v>
      </c>
      <c r="K1637" s="3">
        <v>8.1</v>
      </c>
      <c r="L1637">
        <v>3142.7999999999902</v>
      </c>
    </row>
    <row r="1638" spans="1:12" x14ac:dyDescent="0.3">
      <c r="A1638">
        <v>18</v>
      </c>
      <c r="B1638">
        <v>23</v>
      </c>
      <c r="C1638">
        <v>0</v>
      </c>
      <c r="D1638">
        <v>14</v>
      </c>
      <c r="E1638">
        <v>1</v>
      </c>
      <c r="F1638">
        <v>0</v>
      </c>
      <c r="G1638">
        <v>8</v>
      </c>
      <c r="H1638" t="s">
        <v>24</v>
      </c>
      <c r="I1638" t="s">
        <v>80</v>
      </c>
      <c r="J1638">
        <v>652</v>
      </c>
      <c r="K1638" s="3">
        <v>7.9</v>
      </c>
      <c r="L1638">
        <v>5150.8</v>
      </c>
    </row>
    <row r="1639" spans="1:12" x14ac:dyDescent="0.3">
      <c r="A1639">
        <v>13</v>
      </c>
      <c r="B1639">
        <v>22</v>
      </c>
      <c r="C1639">
        <v>0</v>
      </c>
      <c r="D1639">
        <v>13</v>
      </c>
      <c r="E1639">
        <v>12</v>
      </c>
      <c r="F1639">
        <v>0</v>
      </c>
      <c r="G1639">
        <v>12</v>
      </c>
      <c r="H1639" t="s">
        <v>21</v>
      </c>
      <c r="I1639" t="s">
        <v>88</v>
      </c>
      <c r="J1639">
        <v>505</v>
      </c>
      <c r="K1639" s="3">
        <v>8.6999999999999993</v>
      </c>
      <c r="L1639">
        <v>4393.5</v>
      </c>
    </row>
    <row r="1640" spans="1:12" x14ac:dyDescent="0.3">
      <c r="A1640">
        <v>16</v>
      </c>
      <c r="B1640">
        <v>23</v>
      </c>
      <c r="C1640">
        <v>3</v>
      </c>
      <c r="D1640">
        <v>6</v>
      </c>
      <c r="E1640">
        <v>1</v>
      </c>
      <c r="F1640">
        <v>0</v>
      </c>
      <c r="G1640">
        <v>10</v>
      </c>
      <c r="H1640" t="s">
        <v>16</v>
      </c>
      <c r="I1640" t="s">
        <v>107</v>
      </c>
      <c r="J1640">
        <v>412</v>
      </c>
      <c r="K1640" s="3">
        <v>8.9</v>
      </c>
      <c r="L1640">
        <v>3666.8</v>
      </c>
    </row>
    <row r="1641" spans="1:12" x14ac:dyDescent="0.3">
      <c r="A1641">
        <v>13</v>
      </c>
      <c r="B1641">
        <v>22</v>
      </c>
      <c r="C1641">
        <v>0</v>
      </c>
      <c r="D1641">
        <v>8</v>
      </c>
      <c r="E1641">
        <v>1</v>
      </c>
      <c r="F1641">
        <v>0</v>
      </c>
      <c r="G1641">
        <v>7</v>
      </c>
      <c r="H1641" t="s">
        <v>369</v>
      </c>
      <c r="I1641" t="s">
        <v>104</v>
      </c>
      <c r="J1641">
        <v>459</v>
      </c>
      <c r="K1641" s="3">
        <v>7.4</v>
      </c>
      <c r="L1641">
        <v>3396.6</v>
      </c>
    </row>
    <row r="1642" spans="1:12" x14ac:dyDescent="0.3">
      <c r="A1642">
        <v>0</v>
      </c>
      <c r="B1642">
        <v>23</v>
      </c>
      <c r="C1642">
        <v>0</v>
      </c>
      <c r="D1642">
        <v>21</v>
      </c>
      <c r="E1642">
        <v>1</v>
      </c>
      <c r="F1642">
        <v>0</v>
      </c>
      <c r="G1642">
        <v>6</v>
      </c>
      <c r="H1642" t="s">
        <v>22</v>
      </c>
      <c r="I1642" t="s">
        <v>109</v>
      </c>
      <c r="J1642">
        <v>545</v>
      </c>
      <c r="K1642" s="3">
        <v>7.8</v>
      </c>
      <c r="L1642">
        <v>4251</v>
      </c>
    </row>
    <row r="1643" spans="1:12" x14ac:dyDescent="0.3">
      <c r="A1643">
        <v>23</v>
      </c>
      <c r="B1643">
        <v>0</v>
      </c>
      <c r="C1643">
        <v>2</v>
      </c>
      <c r="D1643">
        <v>7</v>
      </c>
      <c r="E1643">
        <v>1</v>
      </c>
      <c r="F1643">
        <v>0</v>
      </c>
      <c r="G1643">
        <v>6</v>
      </c>
      <c r="H1643" t="s">
        <v>57</v>
      </c>
      <c r="I1643" t="s">
        <v>77</v>
      </c>
      <c r="J1643">
        <v>520</v>
      </c>
      <c r="K1643" s="3">
        <v>9.1999999999999993</v>
      </c>
      <c r="L1643">
        <v>4784</v>
      </c>
    </row>
    <row r="1644" spans="1:12" x14ac:dyDescent="0.3">
      <c r="A1644">
        <v>11</v>
      </c>
      <c r="B1644">
        <v>23</v>
      </c>
      <c r="C1644">
        <v>1</v>
      </c>
      <c r="D1644">
        <v>3</v>
      </c>
      <c r="E1644">
        <v>1</v>
      </c>
      <c r="F1644">
        <v>0</v>
      </c>
      <c r="G1644">
        <v>3</v>
      </c>
      <c r="H1644" t="s">
        <v>17</v>
      </c>
      <c r="I1644" t="s">
        <v>104</v>
      </c>
      <c r="J1644">
        <v>345</v>
      </c>
      <c r="K1644" s="3">
        <v>8.6999999999999993</v>
      </c>
      <c r="L1644">
        <v>3001.49999999999</v>
      </c>
    </row>
    <row r="1645" spans="1:12" x14ac:dyDescent="0.3">
      <c r="A1645">
        <v>21</v>
      </c>
      <c r="B1645">
        <v>0</v>
      </c>
      <c r="C1645">
        <v>3</v>
      </c>
      <c r="D1645">
        <v>7</v>
      </c>
      <c r="E1645">
        <v>1</v>
      </c>
      <c r="F1645">
        <v>0</v>
      </c>
      <c r="G1645">
        <v>7</v>
      </c>
      <c r="H1645" t="s">
        <v>41</v>
      </c>
      <c r="I1645" t="s">
        <v>97</v>
      </c>
      <c r="J1645">
        <v>668</v>
      </c>
      <c r="K1645" s="3">
        <v>8.5</v>
      </c>
      <c r="L1645">
        <v>0</v>
      </c>
    </row>
    <row r="1646" spans="1:12" x14ac:dyDescent="0.3">
      <c r="A1646">
        <v>15</v>
      </c>
      <c r="B1646">
        <v>23</v>
      </c>
      <c r="C1646">
        <v>3</v>
      </c>
      <c r="D1646">
        <v>19</v>
      </c>
      <c r="E1646">
        <v>1</v>
      </c>
      <c r="F1646">
        <v>0</v>
      </c>
      <c r="G1646">
        <v>8</v>
      </c>
      <c r="H1646" t="s">
        <v>20</v>
      </c>
      <c r="I1646" t="s">
        <v>97</v>
      </c>
      <c r="J1646">
        <v>515</v>
      </c>
      <c r="K1646" s="3">
        <v>9.1</v>
      </c>
      <c r="L1646">
        <v>4686.5</v>
      </c>
    </row>
    <row r="1647" spans="1:12" x14ac:dyDescent="0.3">
      <c r="A1647">
        <v>21</v>
      </c>
      <c r="B1647">
        <v>0</v>
      </c>
      <c r="C1647">
        <v>2</v>
      </c>
      <c r="D1647">
        <v>14</v>
      </c>
      <c r="E1647">
        <v>0</v>
      </c>
      <c r="F1647">
        <v>0</v>
      </c>
      <c r="G1647">
        <v>6</v>
      </c>
      <c r="H1647" t="s">
        <v>55</v>
      </c>
      <c r="I1647" t="s">
        <v>368</v>
      </c>
      <c r="J1647">
        <v>643</v>
      </c>
      <c r="K1647" s="3">
        <v>0</v>
      </c>
      <c r="L1647">
        <v>5015.3999999999996</v>
      </c>
    </row>
    <row r="1648" spans="1:12" x14ac:dyDescent="0.3">
      <c r="A1648">
        <v>13</v>
      </c>
      <c r="B1648">
        <v>22</v>
      </c>
      <c r="C1648">
        <v>0</v>
      </c>
      <c r="D1648">
        <v>19</v>
      </c>
      <c r="E1648">
        <v>1</v>
      </c>
      <c r="F1648">
        <v>0</v>
      </c>
      <c r="G1648">
        <v>6</v>
      </c>
      <c r="H1648" t="s">
        <v>33</v>
      </c>
      <c r="I1648" t="s">
        <v>87</v>
      </c>
      <c r="J1648">
        <v>588</v>
      </c>
      <c r="K1648" s="3">
        <v>9.3000000000000007</v>
      </c>
      <c r="L1648">
        <v>5468.4</v>
      </c>
    </row>
    <row r="1649" spans="1:12" x14ac:dyDescent="0.3">
      <c r="A1649">
        <v>16</v>
      </c>
      <c r="B1649">
        <v>22</v>
      </c>
      <c r="C1649">
        <v>2</v>
      </c>
      <c r="D1649">
        <v>8</v>
      </c>
      <c r="E1649">
        <v>12</v>
      </c>
      <c r="F1649">
        <v>0</v>
      </c>
      <c r="G1649">
        <v>4</v>
      </c>
      <c r="H1649" t="s">
        <v>36</v>
      </c>
      <c r="I1649" t="s">
        <v>79</v>
      </c>
      <c r="J1649">
        <v>488</v>
      </c>
      <c r="K1649" s="3">
        <v>8.8000000000000007</v>
      </c>
      <c r="L1649">
        <v>4294.3999999999996</v>
      </c>
    </row>
    <row r="1650" spans="1:12" x14ac:dyDescent="0.3">
      <c r="A1650">
        <v>7</v>
      </c>
      <c r="B1650">
        <v>23</v>
      </c>
      <c r="C1650">
        <v>0</v>
      </c>
      <c r="D1650">
        <v>19</v>
      </c>
      <c r="E1650">
        <v>1</v>
      </c>
      <c r="F1650">
        <v>0</v>
      </c>
      <c r="G1650">
        <v>8</v>
      </c>
      <c r="H1650" t="s">
        <v>18</v>
      </c>
      <c r="I1650" t="s">
        <v>87</v>
      </c>
      <c r="J1650">
        <v>0</v>
      </c>
      <c r="K1650" s="3">
        <v>7.7</v>
      </c>
      <c r="L1650">
        <v>0</v>
      </c>
    </row>
    <row r="1651" spans="1:12" x14ac:dyDescent="0.3">
      <c r="A1651">
        <v>22</v>
      </c>
      <c r="B1651">
        <v>23</v>
      </c>
      <c r="C1651">
        <v>2</v>
      </c>
      <c r="D1651">
        <v>11</v>
      </c>
      <c r="E1651">
        <v>1</v>
      </c>
      <c r="F1651">
        <v>0</v>
      </c>
      <c r="G1651">
        <v>8</v>
      </c>
      <c r="H1651" t="s">
        <v>25</v>
      </c>
      <c r="I1651" t="s">
        <v>95</v>
      </c>
      <c r="J1651">
        <v>664</v>
      </c>
      <c r="K1651" s="3">
        <v>8.1</v>
      </c>
      <c r="L1651">
        <v>5378.4</v>
      </c>
    </row>
    <row r="1652" spans="1:12" x14ac:dyDescent="0.3">
      <c r="A1652">
        <v>0</v>
      </c>
      <c r="B1652">
        <v>23</v>
      </c>
      <c r="C1652">
        <v>0</v>
      </c>
      <c r="D1652">
        <v>21</v>
      </c>
      <c r="E1652">
        <v>1</v>
      </c>
      <c r="F1652">
        <v>0</v>
      </c>
      <c r="G1652">
        <v>11</v>
      </c>
      <c r="H1652" t="s">
        <v>30</v>
      </c>
      <c r="I1652" t="s">
        <v>80</v>
      </c>
      <c r="J1652">
        <v>607</v>
      </c>
      <c r="K1652" s="3">
        <v>9.1999999999999993</v>
      </c>
      <c r="L1652">
        <v>5584.4</v>
      </c>
    </row>
    <row r="1653" spans="1:12" x14ac:dyDescent="0.3">
      <c r="A1653">
        <v>16</v>
      </c>
      <c r="B1653">
        <v>22</v>
      </c>
      <c r="C1653">
        <v>2</v>
      </c>
      <c r="D1653">
        <v>16</v>
      </c>
      <c r="E1653">
        <v>1</v>
      </c>
      <c r="F1653">
        <v>0</v>
      </c>
      <c r="G1653">
        <v>5</v>
      </c>
      <c r="H1653" t="s">
        <v>18</v>
      </c>
      <c r="I1653" t="s">
        <v>105</v>
      </c>
      <c r="J1653">
        <v>465</v>
      </c>
      <c r="K1653" s="3">
        <v>7.7</v>
      </c>
      <c r="L1653">
        <v>3580.5</v>
      </c>
    </row>
    <row r="1654" spans="1:12" x14ac:dyDescent="0.3">
      <c r="A1654">
        <v>21</v>
      </c>
      <c r="B1654">
        <v>22</v>
      </c>
      <c r="C1654">
        <v>2</v>
      </c>
      <c r="D1654">
        <v>19</v>
      </c>
      <c r="E1654">
        <v>12</v>
      </c>
      <c r="F1654">
        <v>0</v>
      </c>
      <c r="G1654">
        <v>0</v>
      </c>
      <c r="H1654" t="s">
        <v>51</v>
      </c>
      <c r="I1654" t="s">
        <v>124</v>
      </c>
      <c r="J1654">
        <v>756</v>
      </c>
      <c r="K1654" s="3">
        <v>8.8000000000000007</v>
      </c>
      <c r="L1654">
        <v>6652.8</v>
      </c>
    </row>
    <row r="1655" spans="1:12" x14ac:dyDescent="0.3">
      <c r="A1655">
        <v>6</v>
      </c>
      <c r="B1655">
        <v>23</v>
      </c>
      <c r="C1655">
        <v>2</v>
      </c>
      <c r="D1655">
        <v>3</v>
      </c>
      <c r="E1655">
        <v>1</v>
      </c>
      <c r="F1655">
        <v>0</v>
      </c>
      <c r="G1655">
        <v>7</v>
      </c>
      <c r="H1655" t="s">
        <v>15</v>
      </c>
      <c r="I1655" t="s">
        <v>87</v>
      </c>
      <c r="J1655">
        <v>316</v>
      </c>
      <c r="K1655" s="3">
        <v>8.3000000000000007</v>
      </c>
      <c r="L1655">
        <v>2622.8</v>
      </c>
    </row>
    <row r="1656" spans="1:12" x14ac:dyDescent="0.3">
      <c r="A1656">
        <v>22</v>
      </c>
      <c r="B1656">
        <v>22</v>
      </c>
      <c r="C1656">
        <v>2</v>
      </c>
      <c r="D1656">
        <v>20</v>
      </c>
      <c r="E1656">
        <v>1</v>
      </c>
      <c r="F1656">
        <v>0</v>
      </c>
      <c r="G1656">
        <v>12</v>
      </c>
      <c r="H1656" t="s">
        <v>24</v>
      </c>
      <c r="I1656" t="s">
        <v>131</v>
      </c>
      <c r="J1656">
        <v>614</v>
      </c>
      <c r="K1656" s="3">
        <v>7.9</v>
      </c>
      <c r="L1656">
        <v>4850.6000000000004</v>
      </c>
    </row>
    <row r="1657" spans="1:12" x14ac:dyDescent="0.3">
      <c r="A1657">
        <v>7</v>
      </c>
      <c r="B1657">
        <v>20</v>
      </c>
      <c r="C1657">
        <v>0</v>
      </c>
      <c r="D1657">
        <v>18</v>
      </c>
      <c r="E1657">
        <v>1</v>
      </c>
      <c r="F1657">
        <v>0</v>
      </c>
      <c r="G1657">
        <v>1</v>
      </c>
      <c r="H1657" t="s">
        <v>35</v>
      </c>
      <c r="I1657" t="s">
        <v>73</v>
      </c>
      <c r="J1657">
        <v>307</v>
      </c>
      <c r="K1657" s="3">
        <v>8.1999999999999993</v>
      </c>
      <c r="L1657">
        <v>2517.3999999999901</v>
      </c>
    </row>
    <row r="1658" spans="1:12" x14ac:dyDescent="0.3">
      <c r="A1658">
        <v>5</v>
      </c>
      <c r="B1658">
        <v>23</v>
      </c>
      <c r="C1658">
        <v>2</v>
      </c>
      <c r="D1658">
        <v>20</v>
      </c>
      <c r="E1658">
        <v>1</v>
      </c>
      <c r="F1658">
        <v>0</v>
      </c>
      <c r="G1658">
        <v>5</v>
      </c>
      <c r="H1658" t="s">
        <v>55</v>
      </c>
      <c r="I1658" t="s">
        <v>106</v>
      </c>
      <c r="J1658">
        <v>575</v>
      </c>
      <c r="K1658" s="3">
        <v>7.8</v>
      </c>
      <c r="L1658">
        <v>4485</v>
      </c>
    </row>
    <row r="1659" spans="1:12" x14ac:dyDescent="0.3">
      <c r="A1659">
        <v>18</v>
      </c>
      <c r="B1659">
        <v>22</v>
      </c>
      <c r="C1659">
        <v>0</v>
      </c>
      <c r="D1659">
        <v>3</v>
      </c>
      <c r="E1659">
        <v>12</v>
      </c>
      <c r="F1659">
        <v>0</v>
      </c>
      <c r="G1659">
        <v>4</v>
      </c>
      <c r="H1659" t="s">
        <v>61</v>
      </c>
      <c r="I1659" t="s">
        <v>91</v>
      </c>
      <c r="J1659">
        <v>524</v>
      </c>
      <c r="K1659" s="3">
        <v>7.4</v>
      </c>
      <c r="L1659">
        <v>3877.6</v>
      </c>
    </row>
    <row r="1660" spans="1:12" x14ac:dyDescent="0.3">
      <c r="A1660">
        <v>18</v>
      </c>
      <c r="B1660">
        <v>22</v>
      </c>
      <c r="C1660">
        <v>0</v>
      </c>
      <c r="D1660">
        <v>3</v>
      </c>
      <c r="E1660">
        <v>1</v>
      </c>
      <c r="F1660">
        <v>0</v>
      </c>
      <c r="G1660">
        <v>1</v>
      </c>
      <c r="H1660" t="s">
        <v>38</v>
      </c>
      <c r="I1660" t="s">
        <v>94</v>
      </c>
      <c r="J1660">
        <v>306</v>
      </c>
      <c r="K1660" s="3">
        <v>7.4</v>
      </c>
      <c r="L1660">
        <v>2264.4</v>
      </c>
    </row>
    <row r="1661" spans="1:12" x14ac:dyDescent="0.3">
      <c r="A1661">
        <v>16</v>
      </c>
      <c r="B1661">
        <v>23</v>
      </c>
      <c r="C1661">
        <v>0</v>
      </c>
      <c r="D1661">
        <v>15</v>
      </c>
      <c r="E1661">
        <v>1</v>
      </c>
      <c r="F1661">
        <v>0</v>
      </c>
      <c r="G1661">
        <v>12</v>
      </c>
      <c r="H1661" t="s">
        <v>23</v>
      </c>
      <c r="I1661" t="s">
        <v>81</v>
      </c>
      <c r="J1661">
        <v>684</v>
      </c>
      <c r="K1661" s="3">
        <v>8.4</v>
      </c>
      <c r="L1661">
        <v>5745.6</v>
      </c>
    </row>
    <row r="1662" spans="1:12" x14ac:dyDescent="0.3">
      <c r="A1662">
        <v>11</v>
      </c>
      <c r="B1662">
        <v>23</v>
      </c>
      <c r="C1662">
        <v>0</v>
      </c>
      <c r="D1662">
        <v>9</v>
      </c>
      <c r="E1662">
        <v>1</v>
      </c>
      <c r="F1662">
        <v>0</v>
      </c>
      <c r="G1662">
        <v>9</v>
      </c>
      <c r="H1662" t="s">
        <v>15</v>
      </c>
      <c r="I1662" t="s">
        <v>80</v>
      </c>
      <c r="J1662">
        <v>442</v>
      </c>
      <c r="K1662" s="3">
        <v>8.3000000000000007</v>
      </c>
      <c r="L1662">
        <v>3668.6</v>
      </c>
    </row>
    <row r="1663" spans="1:12" x14ac:dyDescent="0.3">
      <c r="A1663">
        <v>19</v>
      </c>
      <c r="B1663">
        <v>22</v>
      </c>
      <c r="C1663">
        <v>3</v>
      </c>
      <c r="D1663">
        <v>14</v>
      </c>
      <c r="E1663">
        <v>12</v>
      </c>
      <c r="F1663">
        <v>0</v>
      </c>
      <c r="G1663">
        <v>10</v>
      </c>
      <c r="H1663" t="s">
        <v>52</v>
      </c>
      <c r="I1663" t="s">
        <v>72</v>
      </c>
      <c r="J1663">
        <v>692</v>
      </c>
      <c r="K1663" s="3">
        <v>9.3000000000000007</v>
      </c>
      <c r="L1663">
        <v>6435.6</v>
      </c>
    </row>
    <row r="1664" spans="1:12" x14ac:dyDescent="0.3">
      <c r="A1664">
        <v>14</v>
      </c>
      <c r="B1664">
        <v>22</v>
      </c>
      <c r="C1664">
        <v>0</v>
      </c>
      <c r="D1664">
        <v>4</v>
      </c>
      <c r="E1664">
        <v>1</v>
      </c>
      <c r="F1664">
        <v>0</v>
      </c>
      <c r="G1664">
        <v>4</v>
      </c>
      <c r="H1664" t="s">
        <v>33</v>
      </c>
      <c r="I1664" t="s">
        <v>75</v>
      </c>
      <c r="J1664">
        <v>0</v>
      </c>
      <c r="K1664" s="3">
        <v>9.3000000000000007</v>
      </c>
      <c r="L1664">
        <v>2538.9</v>
      </c>
    </row>
    <row r="1665" spans="1:12" x14ac:dyDescent="0.3">
      <c r="A1665">
        <v>16</v>
      </c>
      <c r="B1665">
        <v>22</v>
      </c>
      <c r="C1665">
        <v>3</v>
      </c>
      <c r="D1665">
        <v>20</v>
      </c>
      <c r="E1665">
        <v>1</v>
      </c>
      <c r="F1665">
        <v>0</v>
      </c>
      <c r="G1665">
        <v>4</v>
      </c>
      <c r="H1665" t="s">
        <v>21</v>
      </c>
      <c r="I1665" t="s">
        <v>96</v>
      </c>
      <c r="J1665">
        <v>626</v>
      </c>
      <c r="K1665" s="3">
        <v>8.6999999999999993</v>
      </c>
      <c r="L1665">
        <v>5446.2</v>
      </c>
    </row>
    <row r="1666" spans="1:12" x14ac:dyDescent="0.3">
      <c r="A1666">
        <v>22</v>
      </c>
      <c r="B1666">
        <v>23</v>
      </c>
      <c r="C1666">
        <v>2</v>
      </c>
      <c r="D1666">
        <v>13</v>
      </c>
      <c r="E1666">
        <v>1</v>
      </c>
      <c r="F1666">
        <v>0</v>
      </c>
      <c r="G1666">
        <v>12</v>
      </c>
      <c r="H1666" t="s">
        <v>21</v>
      </c>
      <c r="I1666" t="s">
        <v>109</v>
      </c>
      <c r="J1666">
        <v>727</v>
      </c>
      <c r="K1666" s="3">
        <v>8.6999999999999993</v>
      </c>
      <c r="L1666">
        <v>6324.9</v>
      </c>
    </row>
    <row r="1667" spans="1:12" x14ac:dyDescent="0.3">
      <c r="A1667">
        <v>22</v>
      </c>
      <c r="B1667">
        <v>22</v>
      </c>
      <c r="C1667">
        <v>0</v>
      </c>
      <c r="D1667">
        <v>11</v>
      </c>
      <c r="E1667">
        <v>1</v>
      </c>
      <c r="F1667">
        <v>0</v>
      </c>
      <c r="G1667">
        <v>10</v>
      </c>
      <c r="H1667" t="s">
        <v>26</v>
      </c>
      <c r="I1667" t="s">
        <v>84</v>
      </c>
      <c r="J1667">
        <v>607</v>
      </c>
      <c r="K1667" s="3">
        <v>8.5</v>
      </c>
      <c r="L1667">
        <v>5159.5</v>
      </c>
    </row>
    <row r="1668" spans="1:12" x14ac:dyDescent="0.3">
      <c r="A1668">
        <v>13</v>
      </c>
      <c r="B1668">
        <v>22</v>
      </c>
      <c r="C1668">
        <v>2</v>
      </c>
      <c r="D1668">
        <v>0</v>
      </c>
      <c r="E1668">
        <v>1</v>
      </c>
      <c r="F1668">
        <v>0</v>
      </c>
      <c r="G1668">
        <v>9</v>
      </c>
      <c r="H1668" t="s">
        <v>16</v>
      </c>
      <c r="I1668" t="s">
        <v>92</v>
      </c>
      <c r="J1668">
        <v>680</v>
      </c>
      <c r="K1668" s="3">
        <v>8.9</v>
      </c>
      <c r="L1668">
        <v>6052</v>
      </c>
    </row>
    <row r="1669" spans="1:12" x14ac:dyDescent="0.3">
      <c r="A1669">
        <v>5</v>
      </c>
      <c r="B1669">
        <v>22</v>
      </c>
      <c r="C1669">
        <v>0</v>
      </c>
      <c r="D1669">
        <v>19</v>
      </c>
      <c r="E1669">
        <v>1</v>
      </c>
      <c r="F1669">
        <v>0</v>
      </c>
      <c r="G1669">
        <v>1</v>
      </c>
      <c r="H1669" t="s">
        <v>16</v>
      </c>
      <c r="I1669" t="s">
        <v>80</v>
      </c>
      <c r="J1669">
        <v>651</v>
      </c>
      <c r="K1669" s="3">
        <v>8.9</v>
      </c>
      <c r="L1669">
        <v>0</v>
      </c>
    </row>
    <row r="1670" spans="1:12" x14ac:dyDescent="0.3">
      <c r="A1670">
        <v>11</v>
      </c>
      <c r="B1670">
        <v>22</v>
      </c>
      <c r="C1670">
        <v>3</v>
      </c>
      <c r="D1670">
        <v>4</v>
      </c>
      <c r="E1670">
        <v>1</v>
      </c>
      <c r="F1670">
        <v>0</v>
      </c>
      <c r="G1670">
        <v>6</v>
      </c>
      <c r="H1670" t="s">
        <v>20</v>
      </c>
      <c r="I1670" t="s">
        <v>96</v>
      </c>
      <c r="J1670">
        <v>340</v>
      </c>
      <c r="K1670" s="3">
        <v>9.1</v>
      </c>
      <c r="L1670">
        <v>3094</v>
      </c>
    </row>
    <row r="1671" spans="1:12" x14ac:dyDescent="0.3">
      <c r="A1671">
        <v>14</v>
      </c>
      <c r="B1671">
        <v>22</v>
      </c>
      <c r="C1671">
        <v>1</v>
      </c>
      <c r="D1671">
        <v>0</v>
      </c>
      <c r="E1671">
        <v>12</v>
      </c>
      <c r="F1671">
        <v>0</v>
      </c>
      <c r="G1671">
        <v>2</v>
      </c>
      <c r="H1671" t="s">
        <v>21</v>
      </c>
      <c r="I1671" t="s">
        <v>94</v>
      </c>
      <c r="J1671">
        <v>633</v>
      </c>
      <c r="K1671" s="3">
        <v>8.6999999999999993</v>
      </c>
      <c r="L1671">
        <v>5507.0999999999904</v>
      </c>
    </row>
    <row r="1672" spans="1:12" x14ac:dyDescent="0.3">
      <c r="A1672">
        <v>8</v>
      </c>
      <c r="B1672">
        <v>20</v>
      </c>
      <c r="C1672">
        <v>3</v>
      </c>
      <c r="D1672">
        <v>16</v>
      </c>
      <c r="E1672">
        <v>1</v>
      </c>
      <c r="F1672">
        <v>0</v>
      </c>
      <c r="G1672">
        <v>10</v>
      </c>
      <c r="H1672" t="s">
        <v>45</v>
      </c>
      <c r="I1672" t="s">
        <v>105</v>
      </c>
      <c r="J1672">
        <v>535</v>
      </c>
      <c r="K1672" s="3">
        <v>7.9</v>
      </c>
      <c r="L1672">
        <v>4226.5</v>
      </c>
    </row>
    <row r="1673" spans="1:12" x14ac:dyDescent="0.3">
      <c r="A1673">
        <v>6</v>
      </c>
      <c r="B1673">
        <v>17</v>
      </c>
      <c r="C1673">
        <v>0</v>
      </c>
      <c r="D1673">
        <v>21</v>
      </c>
      <c r="E1673">
        <v>1</v>
      </c>
      <c r="F1673">
        <v>0</v>
      </c>
      <c r="G1673">
        <v>10</v>
      </c>
      <c r="H1673" t="s">
        <v>15</v>
      </c>
      <c r="I1673" t="s">
        <v>77</v>
      </c>
      <c r="J1673">
        <v>0</v>
      </c>
      <c r="K1673" s="3">
        <v>8.3000000000000007</v>
      </c>
      <c r="L1673">
        <v>4374.1000000000004</v>
      </c>
    </row>
    <row r="1674" spans="1:12" x14ac:dyDescent="0.3">
      <c r="A1674">
        <v>5</v>
      </c>
      <c r="B1674">
        <v>0</v>
      </c>
      <c r="C1674">
        <v>2</v>
      </c>
      <c r="D1674">
        <v>6</v>
      </c>
      <c r="E1674">
        <v>1</v>
      </c>
      <c r="F1674">
        <v>0</v>
      </c>
      <c r="G1674">
        <v>10</v>
      </c>
      <c r="H1674" t="s">
        <v>23</v>
      </c>
      <c r="I1674" t="s">
        <v>92</v>
      </c>
      <c r="J1674">
        <v>419</v>
      </c>
      <c r="K1674" s="3">
        <v>8.4</v>
      </c>
      <c r="L1674">
        <v>3519.6</v>
      </c>
    </row>
    <row r="1675" spans="1:12" x14ac:dyDescent="0.3">
      <c r="A1675">
        <v>6</v>
      </c>
      <c r="B1675">
        <v>21</v>
      </c>
      <c r="C1675">
        <v>0</v>
      </c>
      <c r="D1675">
        <v>3</v>
      </c>
      <c r="E1675">
        <v>7</v>
      </c>
      <c r="F1675">
        <v>0</v>
      </c>
      <c r="G1675">
        <v>8</v>
      </c>
      <c r="H1675" t="s">
        <v>24</v>
      </c>
      <c r="I1675" t="s">
        <v>70</v>
      </c>
      <c r="J1675">
        <v>298</v>
      </c>
      <c r="K1675" s="3">
        <v>7.9</v>
      </c>
      <c r="L1675">
        <v>2354.1999999999998</v>
      </c>
    </row>
    <row r="1676" spans="1:12" x14ac:dyDescent="0.3">
      <c r="A1676">
        <v>15</v>
      </c>
      <c r="B1676">
        <v>22</v>
      </c>
      <c r="C1676">
        <v>2</v>
      </c>
      <c r="D1676">
        <v>6</v>
      </c>
      <c r="E1676">
        <v>1</v>
      </c>
      <c r="F1676">
        <v>0</v>
      </c>
      <c r="G1676">
        <v>7</v>
      </c>
      <c r="H1676" t="s">
        <v>58</v>
      </c>
      <c r="I1676" t="s">
        <v>87</v>
      </c>
      <c r="J1676">
        <v>569</v>
      </c>
      <c r="K1676" s="3">
        <v>8.4</v>
      </c>
      <c r="L1676">
        <v>4779.6000000000004</v>
      </c>
    </row>
    <row r="1677" spans="1:12" x14ac:dyDescent="0.3">
      <c r="A1677">
        <v>19</v>
      </c>
      <c r="B1677">
        <v>23</v>
      </c>
      <c r="C1677">
        <v>2</v>
      </c>
      <c r="D1677">
        <v>6</v>
      </c>
      <c r="E1677">
        <v>1</v>
      </c>
      <c r="F1677">
        <v>0</v>
      </c>
      <c r="G1677">
        <v>3</v>
      </c>
      <c r="H1677" t="s">
        <v>36</v>
      </c>
      <c r="I1677" t="s">
        <v>80</v>
      </c>
      <c r="J1677">
        <v>578</v>
      </c>
      <c r="K1677" s="3">
        <v>8.8000000000000007</v>
      </c>
      <c r="L1677">
        <v>5086.3999999999996</v>
      </c>
    </row>
    <row r="1678" spans="1:12" x14ac:dyDescent="0.3">
      <c r="A1678">
        <v>18</v>
      </c>
      <c r="B1678">
        <v>23</v>
      </c>
      <c r="C1678">
        <v>0</v>
      </c>
      <c r="D1678">
        <v>6</v>
      </c>
      <c r="E1678">
        <v>12</v>
      </c>
      <c r="F1678">
        <v>0</v>
      </c>
      <c r="G1678">
        <v>12</v>
      </c>
      <c r="H1678" t="s">
        <v>38</v>
      </c>
      <c r="I1678" t="s">
        <v>105</v>
      </c>
      <c r="J1678">
        <v>682</v>
      </c>
      <c r="K1678" s="3">
        <v>7.4</v>
      </c>
      <c r="L1678">
        <v>5046.8</v>
      </c>
    </row>
    <row r="1679" spans="1:12" x14ac:dyDescent="0.3">
      <c r="A1679">
        <v>16</v>
      </c>
      <c r="B1679">
        <v>23</v>
      </c>
      <c r="C1679">
        <v>0</v>
      </c>
      <c r="D1679">
        <v>10</v>
      </c>
      <c r="E1679">
        <v>1</v>
      </c>
      <c r="F1679">
        <v>0</v>
      </c>
      <c r="G1679">
        <v>9</v>
      </c>
      <c r="H1679" t="s">
        <v>32</v>
      </c>
      <c r="I1679" t="s">
        <v>87</v>
      </c>
      <c r="J1679">
        <v>366</v>
      </c>
      <c r="K1679" s="3">
        <v>7.6</v>
      </c>
      <c r="L1679">
        <v>2781.6</v>
      </c>
    </row>
    <row r="1680" spans="1:12" x14ac:dyDescent="0.3">
      <c r="A1680">
        <v>16</v>
      </c>
      <c r="B1680">
        <v>0</v>
      </c>
      <c r="C1680">
        <v>2</v>
      </c>
      <c r="D1680">
        <v>13</v>
      </c>
      <c r="E1680">
        <v>12</v>
      </c>
      <c r="F1680">
        <v>0</v>
      </c>
      <c r="G1680">
        <v>4</v>
      </c>
      <c r="H1680" t="s">
        <v>25</v>
      </c>
      <c r="I1680" t="s">
        <v>80</v>
      </c>
      <c r="J1680">
        <v>556</v>
      </c>
      <c r="K1680" s="3">
        <v>8.1</v>
      </c>
      <c r="L1680">
        <v>0</v>
      </c>
    </row>
    <row r="1681" spans="1:12" x14ac:dyDescent="0.3">
      <c r="A1681">
        <v>18</v>
      </c>
      <c r="B1681">
        <v>22</v>
      </c>
      <c r="C1681">
        <v>3</v>
      </c>
      <c r="D1681">
        <v>14</v>
      </c>
      <c r="E1681">
        <v>1</v>
      </c>
      <c r="F1681">
        <v>0</v>
      </c>
      <c r="G1681">
        <v>0</v>
      </c>
      <c r="H1681" t="s">
        <v>61</v>
      </c>
      <c r="I1681" t="s">
        <v>96</v>
      </c>
      <c r="J1681">
        <v>0</v>
      </c>
      <c r="K1681" s="3">
        <v>7.4</v>
      </c>
      <c r="L1681">
        <v>4699</v>
      </c>
    </row>
    <row r="1682" spans="1:12" x14ac:dyDescent="0.3">
      <c r="A1682">
        <v>7</v>
      </c>
      <c r="B1682">
        <v>18</v>
      </c>
      <c r="C1682">
        <v>0</v>
      </c>
      <c r="D1682">
        <v>8</v>
      </c>
      <c r="E1682">
        <v>1</v>
      </c>
      <c r="F1682">
        <v>0</v>
      </c>
      <c r="G1682">
        <v>4</v>
      </c>
      <c r="H1682" t="s">
        <v>36</v>
      </c>
      <c r="I1682" t="s">
        <v>77</v>
      </c>
      <c r="J1682">
        <v>217</v>
      </c>
      <c r="K1682" s="3">
        <v>8.8000000000000007</v>
      </c>
      <c r="L1682">
        <v>0</v>
      </c>
    </row>
    <row r="1683" spans="1:12" x14ac:dyDescent="0.3">
      <c r="A1683">
        <v>18</v>
      </c>
      <c r="B1683">
        <v>23</v>
      </c>
      <c r="C1683">
        <v>3</v>
      </c>
      <c r="D1683">
        <v>0</v>
      </c>
      <c r="E1683">
        <v>1</v>
      </c>
      <c r="F1683">
        <v>0</v>
      </c>
      <c r="G1683">
        <v>9</v>
      </c>
      <c r="H1683" t="s">
        <v>61</v>
      </c>
      <c r="I1683" t="s">
        <v>85</v>
      </c>
      <c r="J1683">
        <v>650</v>
      </c>
      <c r="K1683" s="3">
        <v>7.4</v>
      </c>
      <c r="L1683">
        <v>4810</v>
      </c>
    </row>
    <row r="1684" spans="1:12" x14ac:dyDescent="0.3">
      <c r="A1684">
        <v>20</v>
      </c>
      <c r="B1684">
        <v>22</v>
      </c>
      <c r="C1684">
        <v>3</v>
      </c>
      <c r="D1684">
        <v>9</v>
      </c>
      <c r="E1684">
        <v>1</v>
      </c>
      <c r="F1684">
        <v>0</v>
      </c>
      <c r="G1684">
        <v>7</v>
      </c>
      <c r="H1684" t="s">
        <v>38</v>
      </c>
      <c r="I1684" t="s">
        <v>89</v>
      </c>
      <c r="J1684">
        <v>584</v>
      </c>
      <c r="K1684" s="3">
        <v>0</v>
      </c>
      <c r="L1684">
        <v>4321.6000000000004</v>
      </c>
    </row>
    <row r="1685" spans="1:12" x14ac:dyDescent="0.3">
      <c r="A1685">
        <v>0</v>
      </c>
      <c r="B1685">
        <v>23</v>
      </c>
      <c r="C1685">
        <v>3</v>
      </c>
      <c r="D1685">
        <v>3</v>
      </c>
      <c r="E1685">
        <v>1</v>
      </c>
      <c r="F1685">
        <v>0</v>
      </c>
      <c r="G1685">
        <v>4</v>
      </c>
      <c r="H1685" t="s">
        <v>21</v>
      </c>
      <c r="I1685" t="s">
        <v>97</v>
      </c>
      <c r="J1685">
        <v>508</v>
      </c>
      <c r="K1685" s="3">
        <v>8.6999999999999993</v>
      </c>
      <c r="L1685">
        <v>4419.5999999999904</v>
      </c>
    </row>
    <row r="1686" spans="1:12" x14ac:dyDescent="0.3">
      <c r="A1686">
        <v>8</v>
      </c>
      <c r="B1686">
        <v>0</v>
      </c>
      <c r="C1686">
        <v>0</v>
      </c>
      <c r="D1686">
        <v>20</v>
      </c>
      <c r="E1686">
        <v>7</v>
      </c>
      <c r="F1686">
        <v>0</v>
      </c>
      <c r="G1686">
        <v>8</v>
      </c>
      <c r="H1686" t="s">
        <v>43</v>
      </c>
      <c r="I1686" t="s">
        <v>79</v>
      </c>
      <c r="J1686">
        <v>395</v>
      </c>
      <c r="K1686" s="3">
        <v>7.6</v>
      </c>
      <c r="L1686">
        <v>3002</v>
      </c>
    </row>
    <row r="1687" spans="1:12" x14ac:dyDescent="0.3">
      <c r="A1687">
        <v>19</v>
      </c>
      <c r="B1687">
        <v>23</v>
      </c>
      <c r="C1687">
        <v>0</v>
      </c>
      <c r="D1687">
        <v>15</v>
      </c>
      <c r="E1687">
        <v>12</v>
      </c>
      <c r="F1687">
        <v>0</v>
      </c>
      <c r="G1687">
        <v>11</v>
      </c>
      <c r="H1687" t="s">
        <v>22</v>
      </c>
      <c r="I1687" t="s">
        <v>76</v>
      </c>
      <c r="J1687">
        <v>657</v>
      </c>
      <c r="K1687" s="3">
        <v>7.8</v>
      </c>
      <c r="L1687">
        <v>5124.5999999999904</v>
      </c>
    </row>
    <row r="1688" spans="1:12" x14ac:dyDescent="0.3">
      <c r="A1688">
        <v>9</v>
      </c>
      <c r="B1688">
        <v>17</v>
      </c>
      <c r="C1688">
        <v>0</v>
      </c>
      <c r="D1688">
        <v>16</v>
      </c>
      <c r="E1688">
        <v>1</v>
      </c>
      <c r="F1688">
        <v>0</v>
      </c>
      <c r="G1688">
        <v>6</v>
      </c>
      <c r="H1688" t="s">
        <v>18</v>
      </c>
      <c r="I1688" t="s">
        <v>109</v>
      </c>
      <c r="J1688">
        <v>398</v>
      </c>
      <c r="K1688" s="3">
        <v>7.7</v>
      </c>
      <c r="L1688">
        <v>3064.6</v>
      </c>
    </row>
    <row r="1689" spans="1:12" x14ac:dyDescent="0.3">
      <c r="A1689">
        <v>19</v>
      </c>
      <c r="B1689">
        <v>22</v>
      </c>
      <c r="C1689">
        <v>2</v>
      </c>
      <c r="D1689">
        <v>21</v>
      </c>
      <c r="E1689">
        <v>12</v>
      </c>
      <c r="F1689">
        <v>0</v>
      </c>
      <c r="G1689">
        <v>3</v>
      </c>
      <c r="H1689" t="s">
        <v>18</v>
      </c>
      <c r="I1689" t="s">
        <v>82</v>
      </c>
      <c r="J1689">
        <v>829</v>
      </c>
      <c r="K1689" s="3">
        <v>7.7</v>
      </c>
      <c r="L1689">
        <v>6383.3</v>
      </c>
    </row>
    <row r="1690" spans="1:12" x14ac:dyDescent="0.3">
      <c r="A1690">
        <v>9</v>
      </c>
      <c r="B1690">
        <v>20</v>
      </c>
      <c r="C1690">
        <v>2</v>
      </c>
      <c r="D1690">
        <v>16</v>
      </c>
      <c r="E1690">
        <v>1</v>
      </c>
      <c r="F1690">
        <v>0</v>
      </c>
      <c r="G1690">
        <v>11</v>
      </c>
      <c r="H1690" t="s">
        <v>58</v>
      </c>
      <c r="I1690" t="s">
        <v>72</v>
      </c>
      <c r="J1690">
        <v>529</v>
      </c>
      <c r="K1690" s="3">
        <v>8.4</v>
      </c>
      <c r="L1690">
        <v>4443.6000000000004</v>
      </c>
    </row>
    <row r="1691" spans="1:12" x14ac:dyDescent="0.3">
      <c r="A1691">
        <v>22</v>
      </c>
      <c r="B1691">
        <v>22</v>
      </c>
      <c r="C1691">
        <v>0</v>
      </c>
      <c r="D1691">
        <v>7</v>
      </c>
      <c r="E1691">
        <v>12</v>
      </c>
      <c r="F1691">
        <v>0</v>
      </c>
      <c r="G1691">
        <v>4</v>
      </c>
      <c r="H1691" t="s">
        <v>23</v>
      </c>
      <c r="I1691" t="s">
        <v>92</v>
      </c>
      <c r="J1691">
        <v>673</v>
      </c>
      <c r="K1691" s="3">
        <v>8.4</v>
      </c>
      <c r="L1691">
        <v>5653.2</v>
      </c>
    </row>
    <row r="1692" spans="1:12" x14ac:dyDescent="0.3">
      <c r="A1692">
        <v>18</v>
      </c>
      <c r="B1692">
        <v>23</v>
      </c>
      <c r="C1692">
        <v>2</v>
      </c>
      <c r="D1692">
        <v>13</v>
      </c>
      <c r="E1692">
        <v>1</v>
      </c>
      <c r="F1692">
        <v>0</v>
      </c>
      <c r="G1692">
        <v>8</v>
      </c>
      <c r="H1692" t="s">
        <v>33</v>
      </c>
      <c r="I1692" t="s">
        <v>115</v>
      </c>
      <c r="J1692">
        <v>0</v>
      </c>
      <c r="K1692" s="3">
        <v>9.3000000000000007</v>
      </c>
      <c r="L1692">
        <v>5468.4</v>
      </c>
    </row>
    <row r="1693" spans="1:12" x14ac:dyDescent="0.3">
      <c r="A1693">
        <v>18</v>
      </c>
      <c r="B1693">
        <v>23</v>
      </c>
      <c r="C1693">
        <v>1</v>
      </c>
      <c r="D1693">
        <v>18</v>
      </c>
      <c r="E1693">
        <v>12</v>
      </c>
      <c r="F1693">
        <v>0</v>
      </c>
      <c r="G1693">
        <v>0</v>
      </c>
      <c r="H1693" t="s">
        <v>369</v>
      </c>
      <c r="I1693" t="s">
        <v>78</v>
      </c>
      <c r="J1693">
        <v>0</v>
      </c>
      <c r="K1693" s="3">
        <v>7.6</v>
      </c>
      <c r="L1693">
        <v>5700</v>
      </c>
    </row>
    <row r="1694" spans="1:12" x14ac:dyDescent="0.3">
      <c r="A1694">
        <v>11</v>
      </c>
      <c r="B1694">
        <v>23</v>
      </c>
      <c r="C1694">
        <v>0</v>
      </c>
      <c r="D1694">
        <v>21</v>
      </c>
      <c r="E1694">
        <v>12</v>
      </c>
      <c r="F1694">
        <v>0</v>
      </c>
      <c r="G1694">
        <v>11</v>
      </c>
      <c r="H1694" t="s">
        <v>48</v>
      </c>
      <c r="I1694" t="s">
        <v>78</v>
      </c>
      <c r="J1694">
        <v>574</v>
      </c>
      <c r="K1694">
        <v>8.6999999999999993</v>
      </c>
      <c r="L1694">
        <v>4993.7999999999902</v>
      </c>
    </row>
    <row r="1695" spans="1:12" x14ac:dyDescent="0.3">
      <c r="A1695">
        <v>9</v>
      </c>
      <c r="B1695">
        <v>18</v>
      </c>
      <c r="C1695">
        <v>0</v>
      </c>
      <c r="D1695">
        <v>0</v>
      </c>
      <c r="E1695">
        <v>1</v>
      </c>
      <c r="F1695">
        <v>0</v>
      </c>
      <c r="G1695">
        <v>8</v>
      </c>
      <c r="H1695" t="s">
        <v>35</v>
      </c>
      <c r="I1695" t="s">
        <v>83</v>
      </c>
      <c r="J1695">
        <v>327</v>
      </c>
      <c r="K1695" s="3">
        <v>8.1999999999999993</v>
      </c>
      <c r="L1695">
        <v>2681.3999999999901</v>
      </c>
    </row>
    <row r="1696" spans="1:12" x14ac:dyDescent="0.3">
      <c r="A1696">
        <v>13</v>
      </c>
      <c r="B1696">
        <v>22</v>
      </c>
      <c r="C1696">
        <v>0</v>
      </c>
      <c r="D1696">
        <v>10</v>
      </c>
      <c r="E1696">
        <v>12</v>
      </c>
      <c r="F1696">
        <v>0</v>
      </c>
      <c r="G1696">
        <v>12</v>
      </c>
      <c r="H1696" t="s">
        <v>18</v>
      </c>
      <c r="I1696" t="s">
        <v>107</v>
      </c>
      <c r="J1696">
        <v>547</v>
      </c>
      <c r="K1696" s="3">
        <v>7.7</v>
      </c>
      <c r="L1696">
        <v>4211.8999999999996</v>
      </c>
    </row>
    <row r="1697" spans="1:12" x14ac:dyDescent="0.3">
      <c r="A1697">
        <v>17</v>
      </c>
      <c r="B1697">
        <v>22</v>
      </c>
      <c r="C1697">
        <v>0</v>
      </c>
      <c r="D1697">
        <v>15</v>
      </c>
      <c r="E1697">
        <v>1</v>
      </c>
      <c r="F1697">
        <v>0</v>
      </c>
      <c r="G1697">
        <v>2</v>
      </c>
      <c r="H1697" t="s">
        <v>38</v>
      </c>
      <c r="I1697" t="s">
        <v>109</v>
      </c>
      <c r="J1697">
        <v>0</v>
      </c>
      <c r="K1697" s="3">
        <v>7.4</v>
      </c>
      <c r="L1697">
        <v>4551</v>
      </c>
    </row>
    <row r="1698" spans="1:12" x14ac:dyDescent="0.3">
      <c r="A1698">
        <v>6</v>
      </c>
      <c r="B1698">
        <v>23</v>
      </c>
      <c r="C1698">
        <v>1</v>
      </c>
      <c r="D1698">
        <v>5</v>
      </c>
      <c r="E1698">
        <v>1</v>
      </c>
      <c r="F1698">
        <v>0</v>
      </c>
      <c r="G1698">
        <v>6</v>
      </c>
      <c r="H1698" t="s">
        <v>52</v>
      </c>
      <c r="I1698" t="s">
        <v>76</v>
      </c>
      <c r="J1698">
        <v>327</v>
      </c>
      <c r="K1698">
        <v>9.3000000000000007</v>
      </c>
      <c r="L1698">
        <v>3041.1</v>
      </c>
    </row>
    <row r="1699" spans="1:12" x14ac:dyDescent="0.3">
      <c r="A1699">
        <v>20</v>
      </c>
      <c r="B1699">
        <v>23</v>
      </c>
      <c r="C1699">
        <v>3</v>
      </c>
      <c r="D1699">
        <v>6</v>
      </c>
      <c r="E1699">
        <v>1</v>
      </c>
      <c r="F1699">
        <v>0</v>
      </c>
      <c r="G1699">
        <v>3</v>
      </c>
      <c r="H1699" t="s">
        <v>33</v>
      </c>
      <c r="I1699" t="s">
        <v>91</v>
      </c>
      <c r="J1699">
        <v>545</v>
      </c>
      <c r="K1699" s="3">
        <v>9.3000000000000007</v>
      </c>
      <c r="L1699">
        <v>5068.5</v>
      </c>
    </row>
    <row r="1700" spans="1:12" x14ac:dyDescent="0.3">
      <c r="A1700">
        <v>13</v>
      </c>
      <c r="B1700">
        <v>22</v>
      </c>
      <c r="C1700">
        <v>0</v>
      </c>
      <c r="D1700">
        <v>4</v>
      </c>
      <c r="E1700">
        <v>12</v>
      </c>
      <c r="F1700">
        <v>0</v>
      </c>
      <c r="G1700">
        <v>1</v>
      </c>
      <c r="H1700" t="s">
        <v>33</v>
      </c>
      <c r="I1700" t="s">
        <v>80</v>
      </c>
      <c r="J1700">
        <v>653</v>
      </c>
      <c r="K1700" s="3">
        <v>9.3000000000000007</v>
      </c>
      <c r="L1700">
        <v>6072.9</v>
      </c>
    </row>
    <row r="1701" spans="1:12" x14ac:dyDescent="0.3">
      <c r="A1701">
        <v>12</v>
      </c>
      <c r="B1701">
        <v>23</v>
      </c>
      <c r="C1701">
        <v>3</v>
      </c>
      <c r="D1701">
        <v>16</v>
      </c>
      <c r="E1701">
        <v>1</v>
      </c>
      <c r="F1701">
        <v>0</v>
      </c>
      <c r="G1701">
        <v>7</v>
      </c>
      <c r="H1701" t="s">
        <v>32</v>
      </c>
      <c r="I1701" t="s">
        <v>109</v>
      </c>
      <c r="J1701">
        <v>0</v>
      </c>
      <c r="K1701" s="3">
        <v>7.6</v>
      </c>
      <c r="L1701">
        <v>4164.8</v>
      </c>
    </row>
    <row r="1702" spans="1:12" x14ac:dyDescent="0.3">
      <c r="A1702">
        <v>12</v>
      </c>
      <c r="B1702">
        <v>22</v>
      </c>
      <c r="C1702">
        <v>3</v>
      </c>
      <c r="D1702">
        <v>12</v>
      </c>
      <c r="E1702">
        <v>1</v>
      </c>
      <c r="F1702">
        <v>0</v>
      </c>
      <c r="G1702">
        <v>7</v>
      </c>
      <c r="H1702" t="s">
        <v>19</v>
      </c>
      <c r="I1702" t="s">
        <v>90</v>
      </c>
      <c r="J1702">
        <v>432</v>
      </c>
      <c r="K1702">
        <v>8.9</v>
      </c>
      <c r="L1702">
        <v>3844.8</v>
      </c>
    </row>
    <row r="1703" spans="1:12" x14ac:dyDescent="0.3">
      <c r="A1703">
        <v>5</v>
      </c>
      <c r="B1703">
        <v>19</v>
      </c>
      <c r="C1703">
        <v>2</v>
      </c>
      <c r="D1703">
        <v>16</v>
      </c>
      <c r="E1703">
        <v>1</v>
      </c>
      <c r="F1703">
        <v>0</v>
      </c>
      <c r="G1703">
        <v>0</v>
      </c>
      <c r="H1703" t="s">
        <v>15</v>
      </c>
      <c r="I1703" t="s">
        <v>93</v>
      </c>
      <c r="J1703">
        <v>455</v>
      </c>
      <c r="K1703" s="3">
        <v>8.3000000000000007</v>
      </c>
      <c r="L1703">
        <v>3776.5</v>
      </c>
    </row>
    <row r="1704" spans="1:12" x14ac:dyDescent="0.3">
      <c r="A1704">
        <v>10</v>
      </c>
      <c r="B1704">
        <v>18</v>
      </c>
      <c r="C1704">
        <v>2</v>
      </c>
      <c r="D1704">
        <v>8</v>
      </c>
      <c r="E1704">
        <v>7</v>
      </c>
      <c r="F1704">
        <v>0</v>
      </c>
      <c r="G1704">
        <v>6</v>
      </c>
      <c r="H1704" t="s">
        <v>35</v>
      </c>
      <c r="I1704" t="s">
        <v>120</v>
      </c>
      <c r="J1704">
        <v>559</v>
      </c>
      <c r="K1704" s="3">
        <v>8.1999999999999993</v>
      </c>
      <c r="L1704">
        <v>4583.7999999999902</v>
      </c>
    </row>
    <row r="1705" spans="1:12" x14ac:dyDescent="0.3">
      <c r="A1705">
        <v>22</v>
      </c>
      <c r="B1705">
        <v>23</v>
      </c>
      <c r="C1705">
        <v>3</v>
      </c>
      <c r="D1705">
        <v>0</v>
      </c>
      <c r="E1705">
        <v>1</v>
      </c>
      <c r="F1705">
        <v>0</v>
      </c>
      <c r="G1705">
        <v>1</v>
      </c>
      <c r="H1705" t="s">
        <v>47</v>
      </c>
      <c r="I1705" t="s">
        <v>76</v>
      </c>
      <c r="J1705">
        <v>700</v>
      </c>
      <c r="K1705" s="3">
        <v>9.1</v>
      </c>
      <c r="L1705">
        <v>6370</v>
      </c>
    </row>
    <row r="1706" spans="1:12" x14ac:dyDescent="0.3">
      <c r="A1706">
        <v>11</v>
      </c>
      <c r="B1706">
        <v>22</v>
      </c>
      <c r="C1706">
        <v>2</v>
      </c>
      <c r="D1706">
        <v>0</v>
      </c>
      <c r="E1706">
        <v>1</v>
      </c>
      <c r="F1706">
        <v>0</v>
      </c>
      <c r="G1706">
        <v>0</v>
      </c>
      <c r="H1706" t="s">
        <v>36</v>
      </c>
      <c r="I1706" t="s">
        <v>124</v>
      </c>
      <c r="J1706">
        <v>589</v>
      </c>
      <c r="K1706" s="3">
        <v>8.8000000000000007</v>
      </c>
      <c r="L1706">
        <v>5183.2</v>
      </c>
    </row>
    <row r="1707" spans="1:12" x14ac:dyDescent="0.3">
      <c r="A1707">
        <v>16</v>
      </c>
      <c r="B1707">
        <v>22</v>
      </c>
      <c r="C1707">
        <v>3</v>
      </c>
      <c r="D1707">
        <v>14</v>
      </c>
      <c r="E1707">
        <v>1</v>
      </c>
      <c r="F1707">
        <v>0</v>
      </c>
      <c r="G1707">
        <v>10</v>
      </c>
      <c r="H1707" t="s">
        <v>20</v>
      </c>
      <c r="I1707" t="s">
        <v>75</v>
      </c>
      <c r="J1707">
        <v>470</v>
      </c>
      <c r="K1707" s="3">
        <v>9.1</v>
      </c>
      <c r="L1707">
        <v>4277</v>
      </c>
    </row>
    <row r="1708" spans="1:12" x14ac:dyDescent="0.3">
      <c r="A1708">
        <v>8</v>
      </c>
      <c r="B1708">
        <v>0</v>
      </c>
      <c r="C1708">
        <v>2</v>
      </c>
      <c r="D1708">
        <v>8</v>
      </c>
      <c r="E1708">
        <v>1</v>
      </c>
      <c r="F1708">
        <v>0</v>
      </c>
      <c r="G1708">
        <v>8</v>
      </c>
      <c r="H1708" t="s">
        <v>49</v>
      </c>
      <c r="I1708" t="s">
        <v>87</v>
      </c>
      <c r="J1708">
        <v>546</v>
      </c>
      <c r="K1708" s="3">
        <v>8.5</v>
      </c>
      <c r="L1708">
        <v>4641</v>
      </c>
    </row>
    <row r="1709" spans="1:12" x14ac:dyDescent="0.3">
      <c r="A1709">
        <v>18</v>
      </c>
      <c r="B1709">
        <v>23</v>
      </c>
      <c r="C1709">
        <v>0</v>
      </c>
      <c r="D1709">
        <v>11</v>
      </c>
      <c r="E1709">
        <v>1</v>
      </c>
      <c r="F1709">
        <v>0</v>
      </c>
      <c r="G1709">
        <v>6</v>
      </c>
      <c r="H1709" t="s">
        <v>18</v>
      </c>
      <c r="I1709" t="s">
        <v>117</v>
      </c>
      <c r="J1709">
        <v>491</v>
      </c>
      <c r="K1709" s="3">
        <v>7.7</v>
      </c>
      <c r="L1709">
        <v>3780.7</v>
      </c>
    </row>
    <row r="1710" spans="1:12" x14ac:dyDescent="0.3">
      <c r="A1710">
        <v>22</v>
      </c>
      <c r="B1710">
        <v>22</v>
      </c>
      <c r="C1710">
        <v>3</v>
      </c>
      <c r="D1710">
        <v>5</v>
      </c>
      <c r="E1710">
        <v>1</v>
      </c>
      <c r="F1710">
        <v>0</v>
      </c>
      <c r="G1710">
        <v>5</v>
      </c>
      <c r="H1710" t="s">
        <v>26</v>
      </c>
      <c r="I1710" t="s">
        <v>104</v>
      </c>
      <c r="J1710">
        <v>593</v>
      </c>
      <c r="K1710" s="3">
        <v>8.5</v>
      </c>
      <c r="L1710">
        <v>5040.5</v>
      </c>
    </row>
    <row r="1711" spans="1:12" x14ac:dyDescent="0.3">
      <c r="A1711">
        <v>6</v>
      </c>
      <c r="B1711">
        <v>19</v>
      </c>
      <c r="C1711">
        <v>3</v>
      </c>
      <c r="D1711">
        <v>10</v>
      </c>
      <c r="E1711">
        <v>1</v>
      </c>
      <c r="F1711">
        <v>0</v>
      </c>
      <c r="G1711">
        <v>2</v>
      </c>
      <c r="H1711" t="s">
        <v>23</v>
      </c>
      <c r="I1711" t="s">
        <v>94</v>
      </c>
      <c r="J1711">
        <v>445</v>
      </c>
      <c r="K1711" s="3">
        <v>8.4</v>
      </c>
      <c r="L1711">
        <v>3738</v>
      </c>
    </row>
    <row r="1712" spans="1:12" x14ac:dyDescent="0.3">
      <c r="A1712">
        <v>19</v>
      </c>
      <c r="B1712">
        <v>22</v>
      </c>
      <c r="C1712">
        <v>2</v>
      </c>
      <c r="D1712">
        <v>9</v>
      </c>
      <c r="E1712">
        <v>1</v>
      </c>
      <c r="F1712">
        <v>0</v>
      </c>
      <c r="G1712">
        <v>3</v>
      </c>
      <c r="H1712" t="s">
        <v>26</v>
      </c>
      <c r="I1712" t="s">
        <v>90</v>
      </c>
      <c r="J1712">
        <v>666</v>
      </c>
      <c r="K1712" s="3">
        <v>0</v>
      </c>
      <c r="L1712">
        <v>0</v>
      </c>
    </row>
    <row r="1713" spans="1:12" x14ac:dyDescent="0.3">
      <c r="A1713">
        <v>0</v>
      </c>
      <c r="B1713">
        <v>23</v>
      </c>
      <c r="C1713">
        <v>1</v>
      </c>
      <c r="D1713">
        <v>17</v>
      </c>
      <c r="E1713">
        <v>7</v>
      </c>
      <c r="F1713">
        <v>0</v>
      </c>
      <c r="G1713">
        <v>9</v>
      </c>
      <c r="H1713" t="s">
        <v>33</v>
      </c>
      <c r="I1713" t="s">
        <v>75</v>
      </c>
      <c r="J1713">
        <v>541</v>
      </c>
      <c r="K1713" s="3">
        <v>9.3000000000000007</v>
      </c>
      <c r="L1713">
        <v>5031.3</v>
      </c>
    </row>
    <row r="1714" spans="1:12" x14ac:dyDescent="0.3">
      <c r="A1714">
        <v>15</v>
      </c>
      <c r="B1714">
        <v>22</v>
      </c>
      <c r="C1714">
        <v>1</v>
      </c>
      <c r="D1714">
        <v>14</v>
      </c>
      <c r="E1714">
        <v>1</v>
      </c>
      <c r="F1714">
        <v>0</v>
      </c>
      <c r="G1714">
        <v>10</v>
      </c>
      <c r="H1714" t="s">
        <v>20</v>
      </c>
      <c r="I1714" t="s">
        <v>95</v>
      </c>
      <c r="J1714">
        <v>397</v>
      </c>
      <c r="K1714" s="3">
        <v>9.1</v>
      </c>
      <c r="L1714">
        <v>3612.7</v>
      </c>
    </row>
    <row r="1715" spans="1:12" x14ac:dyDescent="0.3">
      <c r="A1715">
        <v>18</v>
      </c>
      <c r="B1715">
        <v>23</v>
      </c>
      <c r="C1715">
        <v>0</v>
      </c>
      <c r="D1715">
        <v>13</v>
      </c>
      <c r="E1715">
        <v>1</v>
      </c>
      <c r="F1715">
        <v>0</v>
      </c>
      <c r="G1715">
        <v>6</v>
      </c>
      <c r="H1715" t="s">
        <v>30</v>
      </c>
      <c r="I1715" t="s">
        <v>76</v>
      </c>
      <c r="J1715">
        <v>458</v>
      </c>
      <c r="K1715" s="3">
        <v>9.1999999999999993</v>
      </c>
      <c r="L1715">
        <v>4213.5999999999904</v>
      </c>
    </row>
    <row r="1716" spans="1:12" x14ac:dyDescent="0.3">
      <c r="A1716">
        <v>17</v>
      </c>
      <c r="B1716">
        <v>22</v>
      </c>
      <c r="C1716">
        <v>3</v>
      </c>
      <c r="D1716">
        <v>5</v>
      </c>
      <c r="E1716">
        <v>12</v>
      </c>
      <c r="F1716">
        <v>0</v>
      </c>
      <c r="G1716">
        <v>10</v>
      </c>
      <c r="H1716" t="s">
        <v>18</v>
      </c>
      <c r="I1716" t="s">
        <v>95</v>
      </c>
      <c r="J1716">
        <v>735</v>
      </c>
      <c r="K1716" s="3">
        <v>7.7</v>
      </c>
      <c r="L1716">
        <v>5659.5</v>
      </c>
    </row>
    <row r="1717" spans="1:12" x14ac:dyDescent="0.3">
      <c r="A1717">
        <v>15</v>
      </c>
      <c r="B1717">
        <v>22</v>
      </c>
      <c r="C1717">
        <v>2</v>
      </c>
      <c r="D1717">
        <v>10</v>
      </c>
      <c r="E1717">
        <v>1</v>
      </c>
      <c r="F1717">
        <v>0</v>
      </c>
      <c r="G1717">
        <v>5</v>
      </c>
      <c r="H1717" t="s">
        <v>13</v>
      </c>
      <c r="I1717" t="s">
        <v>97</v>
      </c>
      <c r="J1717">
        <v>543</v>
      </c>
      <c r="K1717" s="3">
        <v>8.3000000000000007</v>
      </c>
      <c r="L1717">
        <v>4506.8999999999996</v>
      </c>
    </row>
    <row r="1718" spans="1:12" x14ac:dyDescent="0.3">
      <c r="A1718">
        <v>16</v>
      </c>
      <c r="B1718">
        <v>22</v>
      </c>
      <c r="C1718">
        <v>0</v>
      </c>
      <c r="D1718">
        <v>15</v>
      </c>
      <c r="E1718">
        <v>1</v>
      </c>
      <c r="F1718">
        <v>0</v>
      </c>
      <c r="G1718">
        <v>3</v>
      </c>
      <c r="H1718" t="s">
        <v>20</v>
      </c>
      <c r="I1718" t="s">
        <v>72</v>
      </c>
      <c r="J1718">
        <v>628</v>
      </c>
      <c r="K1718">
        <v>9.1</v>
      </c>
      <c r="L1718">
        <v>5714.8</v>
      </c>
    </row>
    <row r="1719" spans="1:12" x14ac:dyDescent="0.3">
      <c r="A1719">
        <v>18</v>
      </c>
      <c r="B1719">
        <v>22</v>
      </c>
      <c r="C1719">
        <v>0</v>
      </c>
      <c r="D1719">
        <v>8</v>
      </c>
      <c r="E1719">
        <v>1</v>
      </c>
      <c r="F1719">
        <v>0</v>
      </c>
      <c r="G1719">
        <v>11</v>
      </c>
      <c r="H1719" t="s">
        <v>51</v>
      </c>
      <c r="I1719" t="s">
        <v>70</v>
      </c>
      <c r="J1719">
        <v>379</v>
      </c>
      <c r="K1719" s="3">
        <v>8.8000000000000007</v>
      </c>
      <c r="L1719">
        <v>3335.2</v>
      </c>
    </row>
    <row r="1720" spans="1:12" x14ac:dyDescent="0.3">
      <c r="A1720">
        <v>20</v>
      </c>
      <c r="B1720">
        <v>22</v>
      </c>
      <c r="C1720">
        <v>0</v>
      </c>
      <c r="D1720">
        <v>19</v>
      </c>
      <c r="E1720">
        <v>1</v>
      </c>
      <c r="F1720">
        <v>0</v>
      </c>
      <c r="G1720">
        <v>9</v>
      </c>
      <c r="H1720" t="s">
        <v>30</v>
      </c>
      <c r="I1720" t="s">
        <v>109</v>
      </c>
      <c r="J1720">
        <v>638</v>
      </c>
      <c r="K1720" s="3">
        <v>9.1999999999999993</v>
      </c>
      <c r="L1720">
        <v>5869.5999999999904</v>
      </c>
    </row>
    <row r="1721" spans="1:12" x14ac:dyDescent="0.3">
      <c r="A1721">
        <v>6</v>
      </c>
      <c r="B1721">
        <v>21</v>
      </c>
      <c r="C1721">
        <v>3</v>
      </c>
      <c r="D1721">
        <v>16</v>
      </c>
      <c r="E1721">
        <v>1</v>
      </c>
      <c r="F1721">
        <v>0</v>
      </c>
      <c r="G1721">
        <v>5</v>
      </c>
      <c r="H1721" t="s">
        <v>31</v>
      </c>
      <c r="I1721" t="s">
        <v>89</v>
      </c>
      <c r="J1721">
        <v>653</v>
      </c>
      <c r="K1721" s="3">
        <v>7.9</v>
      </c>
      <c r="L1721">
        <v>5158.7</v>
      </c>
    </row>
    <row r="1722" spans="1:12" x14ac:dyDescent="0.3">
      <c r="A1722">
        <v>14</v>
      </c>
      <c r="B1722">
        <v>23</v>
      </c>
      <c r="C1722">
        <v>1</v>
      </c>
      <c r="D1722">
        <v>14</v>
      </c>
      <c r="E1722">
        <v>12</v>
      </c>
      <c r="F1722">
        <v>0</v>
      </c>
      <c r="G1722">
        <v>2</v>
      </c>
      <c r="H1722" t="s">
        <v>369</v>
      </c>
      <c r="I1722" t="s">
        <v>84</v>
      </c>
      <c r="J1722">
        <v>512</v>
      </c>
      <c r="K1722" s="3">
        <v>8.1</v>
      </c>
      <c r="L1722">
        <v>4147.2</v>
      </c>
    </row>
    <row r="1723" spans="1:12" x14ac:dyDescent="0.3">
      <c r="A1723">
        <v>10</v>
      </c>
      <c r="B1723">
        <v>20</v>
      </c>
      <c r="C1723">
        <v>3</v>
      </c>
      <c r="D1723">
        <v>11</v>
      </c>
      <c r="E1723">
        <v>0</v>
      </c>
      <c r="F1723">
        <v>0</v>
      </c>
      <c r="G1723">
        <v>1</v>
      </c>
      <c r="H1723" t="s">
        <v>60</v>
      </c>
      <c r="I1723" t="s">
        <v>87</v>
      </c>
      <c r="J1723">
        <v>672</v>
      </c>
      <c r="K1723" s="3">
        <v>9.1</v>
      </c>
      <c r="L1723">
        <v>6115.2</v>
      </c>
    </row>
    <row r="1724" spans="1:12" x14ac:dyDescent="0.3">
      <c r="A1724">
        <v>18</v>
      </c>
      <c r="B1724">
        <v>23</v>
      </c>
      <c r="C1724">
        <v>1</v>
      </c>
      <c r="D1724">
        <v>11</v>
      </c>
      <c r="E1724">
        <v>1</v>
      </c>
      <c r="F1724">
        <v>0</v>
      </c>
      <c r="G1724">
        <v>6</v>
      </c>
      <c r="H1724" t="s">
        <v>369</v>
      </c>
      <c r="I1724" t="s">
        <v>368</v>
      </c>
      <c r="J1724">
        <v>589</v>
      </c>
      <c r="K1724" s="3">
        <v>8.1999999999999993</v>
      </c>
      <c r="L1724">
        <v>4829.7999999999902</v>
      </c>
    </row>
    <row r="1725" spans="1:12" x14ac:dyDescent="0.3">
      <c r="A1725">
        <v>7</v>
      </c>
      <c r="B1725">
        <v>21</v>
      </c>
      <c r="C1725">
        <v>1</v>
      </c>
      <c r="D1725">
        <v>16</v>
      </c>
      <c r="E1725">
        <v>7</v>
      </c>
      <c r="F1725">
        <v>0</v>
      </c>
      <c r="G1725">
        <v>11</v>
      </c>
      <c r="H1725" t="s">
        <v>36</v>
      </c>
      <c r="I1725" t="s">
        <v>88</v>
      </c>
      <c r="J1725">
        <v>423</v>
      </c>
      <c r="K1725" s="3">
        <v>8.8000000000000007</v>
      </c>
      <c r="L1725">
        <v>3722.4</v>
      </c>
    </row>
    <row r="1726" spans="1:12" x14ac:dyDescent="0.3">
      <c r="A1726">
        <v>17</v>
      </c>
      <c r="B1726">
        <v>22</v>
      </c>
      <c r="C1726">
        <v>0</v>
      </c>
      <c r="D1726">
        <v>8</v>
      </c>
      <c r="E1726">
        <v>1</v>
      </c>
      <c r="F1726">
        <v>0</v>
      </c>
      <c r="G1726">
        <v>3</v>
      </c>
      <c r="H1726" t="s">
        <v>22</v>
      </c>
      <c r="I1726" t="s">
        <v>94</v>
      </c>
      <c r="J1726">
        <v>445</v>
      </c>
      <c r="K1726" s="3">
        <v>7.8</v>
      </c>
      <c r="L1726">
        <v>3471</v>
      </c>
    </row>
    <row r="1727" spans="1:12" x14ac:dyDescent="0.3">
      <c r="A1727">
        <v>9</v>
      </c>
      <c r="B1727">
        <v>23</v>
      </c>
      <c r="C1727">
        <v>3</v>
      </c>
      <c r="D1727">
        <v>15</v>
      </c>
      <c r="E1727">
        <v>1</v>
      </c>
      <c r="F1727">
        <v>0</v>
      </c>
      <c r="G1727">
        <v>4</v>
      </c>
      <c r="H1727" t="s">
        <v>33</v>
      </c>
      <c r="I1727" t="s">
        <v>78</v>
      </c>
      <c r="J1727">
        <v>665</v>
      </c>
      <c r="K1727" s="3">
        <v>9.3000000000000007</v>
      </c>
      <c r="L1727">
        <v>6184.5</v>
      </c>
    </row>
    <row r="1728" spans="1:12" x14ac:dyDescent="0.3">
      <c r="A1728">
        <v>5</v>
      </c>
      <c r="B1728">
        <v>23</v>
      </c>
      <c r="C1728">
        <v>0</v>
      </c>
      <c r="D1728">
        <v>4</v>
      </c>
      <c r="E1728">
        <v>1</v>
      </c>
      <c r="F1728">
        <v>0</v>
      </c>
      <c r="G1728">
        <v>7</v>
      </c>
      <c r="H1728" t="s">
        <v>22</v>
      </c>
      <c r="I1728" t="s">
        <v>107</v>
      </c>
      <c r="J1728">
        <v>478</v>
      </c>
      <c r="K1728" s="3">
        <v>7.8</v>
      </c>
      <c r="L1728">
        <v>3728.4</v>
      </c>
    </row>
    <row r="1729" spans="1:12" x14ac:dyDescent="0.3">
      <c r="A1729">
        <v>6</v>
      </c>
      <c r="B1729">
        <v>17</v>
      </c>
      <c r="C1729">
        <v>2</v>
      </c>
      <c r="D1729">
        <v>0</v>
      </c>
      <c r="E1729">
        <v>7</v>
      </c>
      <c r="F1729">
        <v>0</v>
      </c>
      <c r="G1729">
        <v>4</v>
      </c>
      <c r="H1729" t="s">
        <v>32</v>
      </c>
      <c r="I1729" t="s">
        <v>96</v>
      </c>
      <c r="J1729">
        <v>539</v>
      </c>
      <c r="K1729" s="3">
        <v>7.6</v>
      </c>
      <c r="L1729">
        <v>4096.3999999999996</v>
      </c>
    </row>
    <row r="1730" spans="1:12" x14ac:dyDescent="0.3">
      <c r="A1730">
        <v>0</v>
      </c>
      <c r="B1730">
        <v>23</v>
      </c>
      <c r="C1730">
        <v>2</v>
      </c>
      <c r="D1730">
        <v>13</v>
      </c>
      <c r="E1730">
        <v>12</v>
      </c>
      <c r="F1730">
        <v>0</v>
      </c>
      <c r="G1730">
        <v>5</v>
      </c>
      <c r="H1730" t="s">
        <v>33</v>
      </c>
      <c r="I1730" t="s">
        <v>73</v>
      </c>
      <c r="J1730">
        <v>788</v>
      </c>
      <c r="K1730" s="3">
        <v>9.3000000000000007</v>
      </c>
      <c r="L1730">
        <v>7328.4</v>
      </c>
    </row>
    <row r="1731" spans="1:12" x14ac:dyDescent="0.3">
      <c r="A1731">
        <v>15</v>
      </c>
      <c r="B1731">
        <v>23</v>
      </c>
      <c r="C1731">
        <v>3</v>
      </c>
      <c r="D1731">
        <v>8</v>
      </c>
      <c r="E1731">
        <v>12</v>
      </c>
      <c r="F1731">
        <v>0</v>
      </c>
      <c r="G1731">
        <v>0</v>
      </c>
      <c r="H1731" t="s">
        <v>14</v>
      </c>
      <c r="I1731" t="s">
        <v>94</v>
      </c>
      <c r="J1731">
        <v>554</v>
      </c>
      <c r="K1731" s="3">
        <v>8.9</v>
      </c>
      <c r="L1731">
        <v>4930.6000000000004</v>
      </c>
    </row>
    <row r="1732" spans="1:12" x14ac:dyDescent="0.3">
      <c r="A1732">
        <v>9</v>
      </c>
      <c r="B1732">
        <v>22</v>
      </c>
      <c r="C1732">
        <v>3</v>
      </c>
      <c r="D1732">
        <v>11</v>
      </c>
      <c r="E1732">
        <v>7</v>
      </c>
      <c r="F1732">
        <v>0</v>
      </c>
      <c r="G1732">
        <v>7</v>
      </c>
      <c r="H1732" t="s">
        <v>38</v>
      </c>
      <c r="I1732" t="s">
        <v>81</v>
      </c>
      <c r="J1732">
        <v>545</v>
      </c>
      <c r="K1732" s="3">
        <v>7.4</v>
      </c>
      <c r="L1732">
        <v>4033</v>
      </c>
    </row>
    <row r="1733" spans="1:12" x14ac:dyDescent="0.3">
      <c r="A1733">
        <v>18</v>
      </c>
      <c r="B1733">
        <v>23</v>
      </c>
      <c r="C1733">
        <v>0</v>
      </c>
      <c r="D1733">
        <v>11</v>
      </c>
      <c r="E1733">
        <v>1</v>
      </c>
      <c r="F1733">
        <v>0</v>
      </c>
      <c r="G1733">
        <v>9</v>
      </c>
      <c r="H1733" t="s">
        <v>44</v>
      </c>
      <c r="I1733" t="s">
        <v>74</v>
      </c>
      <c r="J1733">
        <v>611</v>
      </c>
      <c r="K1733" s="3">
        <v>8.1999999999999993</v>
      </c>
      <c r="L1733">
        <v>5010.2</v>
      </c>
    </row>
    <row r="1734" spans="1:12" x14ac:dyDescent="0.3">
      <c r="A1734">
        <v>11</v>
      </c>
      <c r="B1734">
        <v>22</v>
      </c>
      <c r="C1734">
        <v>2</v>
      </c>
      <c r="D1734">
        <v>7</v>
      </c>
      <c r="E1734">
        <v>12</v>
      </c>
      <c r="F1734">
        <v>0</v>
      </c>
      <c r="G1734">
        <v>9</v>
      </c>
      <c r="H1734" t="s">
        <v>36</v>
      </c>
      <c r="I1734" t="s">
        <v>75</v>
      </c>
      <c r="J1734">
        <v>584</v>
      </c>
      <c r="K1734" s="3">
        <v>8.8000000000000007</v>
      </c>
      <c r="L1734">
        <v>5139.2</v>
      </c>
    </row>
    <row r="1735" spans="1:12" x14ac:dyDescent="0.3">
      <c r="A1735">
        <v>16</v>
      </c>
      <c r="B1735">
        <v>22</v>
      </c>
      <c r="C1735">
        <v>1</v>
      </c>
      <c r="D1735">
        <v>22</v>
      </c>
      <c r="E1735">
        <v>12</v>
      </c>
      <c r="F1735">
        <v>0</v>
      </c>
      <c r="G1735">
        <v>0</v>
      </c>
      <c r="H1735" t="s">
        <v>24</v>
      </c>
      <c r="I1735" t="s">
        <v>71</v>
      </c>
      <c r="J1735">
        <v>749</v>
      </c>
      <c r="K1735" s="3">
        <v>7.9</v>
      </c>
      <c r="L1735">
        <v>5917.1</v>
      </c>
    </row>
    <row r="1736" spans="1:12" x14ac:dyDescent="0.3">
      <c r="A1736">
        <v>23</v>
      </c>
      <c r="B1736">
        <v>22</v>
      </c>
      <c r="C1736">
        <v>3</v>
      </c>
      <c r="D1736">
        <v>9</v>
      </c>
      <c r="E1736">
        <v>1</v>
      </c>
      <c r="F1736">
        <v>0</v>
      </c>
      <c r="G1736">
        <v>12</v>
      </c>
      <c r="H1736" t="s">
        <v>26</v>
      </c>
      <c r="I1736" t="s">
        <v>77</v>
      </c>
      <c r="J1736">
        <v>672</v>
      </c>
      <c r="K1736" s="3">
        <v>8.5</v>
      </c>
      <c r="L1736">
        <v>5712</v>
      </c>
    </row>
    <row r="1737" spans="1:12" x14ac:dyDescent="0.3">
      <c r="A1737">
        <v>12</v>
      </c>
      <c r="B1737">
        <v>23</v>
      </c>
      <c r="C1737">
        <v>1</v>
      </c>
      <c r="D1737">
        <v>20</v>
      </c>
      <c r="E1737">
        <v>12</v>
      </c>
      <c r="F1737">
        <v>0</v>
      </c>
      <c r="G1737">
        <v>3</v>
      </c>
      <c r="H1737" t="s">
        <v>18</v>
      </c>
      <c r="I1737" t="s">
        <v>75</v>
      </c>
      <c r="J1737">
        <v>739</v>
      </c>
      <c r="K1737" s="3">
        <v>7.7</v>
      </c>
      <c r="L1737">
        <v>5690.3</v>
      </c>
    </row>
    <row r="1738" spans="1:12" x14ac:dyDescent="0.3">
      <c r="A1738">
        <v>23</v>
      </c>
      <c r="B1738">
        <v>22</v>
      </c>
      <c r="C1738">
        <v>2</v>
      </c>
      <c r="D1738">
        <v>9</v>
      </c>
      <c r="E1738">
        <v>1</v>
      </c>
      <c r="F1738">
        <v>0</v>
      </c>
      <c r="G1738">
        <v>6</v>
      </c>
      <c r="H1738" t="s">
        <v>22</v>
      </c>
      <c r="I1738" t="s">
        <v>80</v>
      </c>
      <c r="J1738">
        <v>614</v>
      </c>
      <c r="K1738" s="3">
        <v>7.8</v>
      </c>
      <c r="L1738">
        <v>4789.2</v>
      </c>
    </row>
    <row r="1739" spans="1:12" x14ac:dyDescent="0.3">
      <c r="A1739">
        <v>0</v>
      </c>
      <c r="B1739">
        <v>23</v>
      </c>
      <c r="C1739">
        <v>1</v>
      </c>
      <c r="D1739">
        <v>6</v>
      </c>
      <c r="E1739">
        <v>1</v>
      </c>
      <c r="F1739">
        <v>0</v>
      </c>
      <c r="G1739">
        <v>4</v>
      </c>
      <c r="H1739" t="s">
        <v>15</v>
      </c>
      <c r="I1739" t="s">
        <v>90</v>
      </c>
      <c r="J1739">
        <v>371</v>
      </c>
      <c r="K1739">
        <v>8.3000000000000007</v>
      </c>
      <c r="L1739">
        <v>3079.3</v>
      </c>
    </row>
    <row r="1740" spans="1:12" x14ac:dyDescent="0.3">
      <c r="A1740">
        <v>20</v>
      </c>
      <c r="B1740">
        <v>22</v>
      </c>
      <c r="C1740">
        <v>1</v>
      </c>
      <c r="D1740">
        <v>6</v>
      </c>
      <c r="E1740">
        <v>0</v>
      </c>
      <c r="F1740">
        <v>0</v>
      </c>
      <c r="G1740">
        <v>12</v>
      </c>
      <c r="H1740" t="s">
        <v>15</v>
      </c>
      <c r="I1740" t="s">
        <v>368</v>
      </c>
      <c r="J1740">
        <v>357</v>
      </c>
      <c r="K1740" s="3">
        <v>8.3000000000000007</v>
      </c>
      <c r="L1740">
        <v>2963.1</v>
      </c>
    </row>
    <row r="1741" spans="1:12" x14ac:dyDescent="0.3">
      <c r="A1741">
        <v>7</v>
      </c>
      <c r="B1741">
        <v>20</v>
      </c>
      <c r="C1741">
        <v>0</v>
      </c>
      <c r="D1741">
        <v>19</v>
      </c>
      <c r="E1741">
        <v>1</v>
      </c>
      <c r="F1741">
        <v>0</v>
      </c>
      <c r="G1741">
        <v>5</v>
      </c>
      <c r="H1741" t="s">
        <v>35</v>
      </c>
      <c r="I1741" t="s">
        <v>104</v>
      </c>
      <c r="J1741">
        <v>349</v>
      </c>
      <c r="K1741" s="3">
        <v>8.1999999999999993</v>
      </c>
      <c r="L1741">
        <v>2861.7999999999902</v>
      </c>
    </row>
    <row r="1742" spans="1:12" x14ac:dyDescent="0.3">
      <c r="A1742">
        <v>9</v>
      </c>
      <c r="B1742">
        <v>18</v>
      </c>
      <c r="C1742">
        <v>2</v>
      </c>
      <c r="D1742">
        <v>14</v>
      </c>
      <c r="E1742">
        <v>7</v>
      </c>
      <c r="F1742">
        <v>0</v>
      </c>
      <c r="G1742">
        <v>6</v>
      </c>
      <c r="H1742" t="s">
        <v>33</v>
      </c>
      <c r="I1742" t="s">
        <v>104</v>
      </c>
      <c r="J1742">
        <v>477</v>
      </c>
      <c r="K1742" s="3">
        <v>9.3000000000000007</v>
      </c>
      <c r="L1742">
        <v>4436.1000000000004</v>
      </c>
    </row>
    <row r="1743" spans="1:12" x14ac:dyDescent="0.3">
      <c r="A1743">
        <v>6</v>
      </c>
      <c r="B1743">
        <v>17</v>
      </c>
      <c r="C1743">
        <v>1</v>
      </c>
      <c r="D1743">
        <v>4</v>
      </c>
      <c r="E1743">
        <v>1</v>
      </c>
      <c r="F1743">
        <v>0</v>
      </c>
      <c r="G1743">
        <v>6</v>
      </c>
      <c r="H1743" t="s">
        <v>15</v>
      </c>
      <c r="I1743" t="s">
        <v>79</v>
      </c>
      <c r="J1743">
        <v>225</v>
      </c>
      <c r="K1743" s="3">
        <v>8.3000000000000007</v>
      </c>
      <c r="L1743">
        <v>1867.5</v>
      </c>
    </row>
    <row r="1744" spans="1:12" x14ac:dyDescent="0.3">
      <c r="A1744">
        <v>8</v>
      </c>
      <c r="B1744">
        <v>18</v>
      </c>
      <c r="C1744">
        <v>2</v>
      </c>
      <c r="D1744">
        <v>11</v>
      </c>
      <c r="E1744">
        <v>1</v>
      </c>
      <c r="F1744">
        <v>0</v>
      </c>
      <c r="G1744">
        <v>5</v>
      </c>
      <c r="H1744" t="s">
        <v>56</v>
      </c>
      <c r="I1744" t="s">
        <v>70</v>
      </c>
      <c r="J1744">
        <v>435</v>
      </c>
      <c r="K1744" s="3">
        <v>8.5</v>
      </c>
      <c r="L1744">
        <v>3697.5</v>
      </c>
    </row>
    <row r="1745" spans="1:12" x14ac:dyDescent="0.3">
      <c r="A1745">
        <v>10</v>
      </c>
      <c r="B1745">
        <v>17</v>
      </c>
      <c r="C1745">
        <v>1</v>
      </c>
      <c r="D1745">
        <v>20</v>
      </c>
      <c r="E1745">
        <v>7</v>
      </c>
      <c r="F1745">
        <v>0</v>
      </c>
      <c r="G1745">
        <v>9</v>
      </c>
      <c r="H1745" t="s">
        <v>18</v>
      </c>
      <c r="I1745" t="s">
        <v>85</v>
      </c>
      <c r="J1745">
        <v>404</v>
      </c>
      <c r="K1745" s="3">
        <v>7.7</v>
      </c>
      <c r="L1745">
        <v>3110.8</v>
      </c>
    </row>
    <row r="1746" spans="1:12" x14ac:dyDescent="0.3">
      <c r="A1746">
        <v>8</v>
      </c>
      <c r="B1746">
        <v>22</v>
      </c>
      <c r="C1746">
        <v>1</v>
      </c>
      <c r="D1746">
        <v>13</v>
      </c>
      <c r="E1746">
        <v>1</v>
      </c>
      <c r="F1746">
        <v>0</v>
      </c>
      <c r="G1746">
        <v>7</v>
      </c>
      <c r="H1746" t="s">
        <v>35</v>
      </c>
      <c r="I1746" t="s">
        <v>87</v>
      </c>
      <c r="J1746">
        <v>434</v>
      </c>
      <c r="K1746" s="3">
        <v>8.1999999999999993</v>
      </c>
      <c r="L1746">
        <v>3558.7999999999902</v>
      </c>
    </row>
    <row r="1747" spans="1:12" x14ac:dyDescent="0.3">
      <c r="A1747">
        <v>9</v>
      </c>
      <c r="B1747">
        <v>19</v>
      </c>
      <c r="C1747">
        <v>3</v>
      </c>
      <c r="D1747">
        <v>17</v>
      </c>
      <c r="E1747">
        <v>1</v>
      </c>
      <c r="F1747">
        <v>0</v>
      </c>
      <c r="G1747">
        <v>3</v>
      </c>
      <c r="H1747" t="s">
        <v>32</v>
      </c>
      <c r="I1747" t="s">
        <v>78</v>
      </c>
      <c r="J1747">
        <v>476</v>
      </c>
      <c r="K1747" s="3">
        <v>7.6</v>
      </c>
      <c r="L1747">
        <v>3617.6</v>
      </c>
    </row>
    <row r="1748" spans="1:12" x14ac:dyDescent="0.3">
      <c r="A1748">
        <v>0</v>
      </c>
      <c r="B1748">
        <v>23</v>
      </c>
      <c r="C1748">
        <v>2</v>
      </c>
      <c r="D1748">
        <v>5</v>
      </c>
      <c r="E1748">
        <v>1</v>
      </c>
      <c r="F1748">
        <v>0</v>
      </c>
      <c r="G1748">
        <v>7</v>
      </c>
      <c r="H1748" t="s">
        <v>20</v>
      </c>
      <c r="I1748" t="s">
        <v>96</v>
      </c>
      <c r="J1748">
        <v>451</v>
      </c>
      <c r="K1748" s="3">
        <v>9.1</v>
      </c>
      <c r="L1748">
        <v>4104.0999999999904</v>
      </c>
    </row>
    <row r="1749" spans="1:12" x14ac:dyDescent="0.3">
      <c r="A1749">
        <v>18</v>
      </c>
      <c r="B1749">
        <v>0</v>
      </c>
      <c r="C1749">
        <v>3</v>
      </c>
      <c r="D1749">
        <v>12</v>
      </c>
      <c r="E1749">
        <v>1</v>
      </c>
      <c r="F1749">
        <v>0</v>
      </c>
      <c r="G1749">
        <v>8</v>
      </c>
      <c r="H1749" t="s">
        <v>19</v>
      </c>
      <c r="I1749" t="s">
        <v>94</v>
      </c>
      <c r="J1749">
        <v>726</v>
      </c>
      <c r="K1749" s="3">
        <v>8.9</v>
      </c>
      <c r="L1749">
        <v>6461.4</v>
      </c>
    </row>
    <row r="1750" spans="1:12" x14ac:dyDescent="0.3">
      <c r="A1750">
        <v>21</v>
      </c>
      <c r="B1750">
        <v>23</v>
      </c>
      <c r="C1750">
        <v>1</v>
      </c>
      <c r="D1750">
        <v>12</v>
      </c>
      <c r="E1750">
        <v>1</v>
      </c>
      <c r="F1750">
        <v>0</v>
      </c>
      <c r="G1750">
        <v>9</v>
      </c>
      <c r="H1750" t="s">
        <v>26</v>
      </c>
      <c r="I1750" t="s">
        <v>95</v>
      </c>
      <c r="J1750">
        <v>438</v>
      </c>
      <c r="K1750" s="3">
        <v>8.5</v>
      </c>
      <c r="L1750">
        <v>3723</v>
      </c>
    </row>
    <row r="1751" spans="1:12" x14ac:dyDescent="0.3">
      <c r="A1751">
        <v>8</v>
      </c>
      <c r="B1751">
        <v>17</v>
      </c>
      <c r="C1751">
        <v>0</v>
      </c>
      <c r="D1751">
        <v>15</v>
      </c>
      <c r="E1751">
        <v>1</v>
      </c>
      <c r="F1751">
        <v>0</v>
      </c>
      <c r="G1751">
        <v>2</v>
      </c>
      <c r="H1751" t="s">
        <v>16</v>
      </c>
      <c r="I1751" t="s">
        <v>87</v>
      </c>
      <c r="J1751">
        <v>415</v>
      </c>
      <c r="K1751" s="3">
        <v>8.9</v>
      </c>
      <c r="L1751">
        <v>3693.5</v>
      </c>
    </row>
    <row r="1752" spans="1:12" x14ac:dyDescent="0.3">
      <c r="A1752">
        <v>17</v>
      </c>
      <c r="B1752">
        <v>22</v>
      </c>
      <c r="C1752">
        <v>0</v>
      </c>
      <c r="D1752">
        <v>3</v>
      </c>
      <c r="E1752">
        <v>12</v>
      </c>
      <c r="F1752">
        <v>0</v>
      </c>
      <c r="G1752">
        <v>6</v>
      </c>
      <c r="H1752" t="s">
        <v>27</v>
      </c>
      <c r="I1752" t="s">
        <v>84</v>
      </c>
      <c r="J1752">
        <v>470</v>
      </c>
      <c r="K1752" s="3">
        <v>8.4</v>
      </c>
      <c r="L1752">
        <v>3948</v>
      </c>
    </row>
    <row r="1753" spans="1:12" x14ac:dyDescent="0.3">
      <c r="A1753">
        <v>17</v>
      </c>
      <c r="B1753">
        <v>0</v>
      </c>
      <c r="C1753">
        <v>3</v>
      </c>
      <c r="D1753">
        <v>0</v>
      </c>
      <c r="E1753">
        <v>1</v>
      </c>
      <c r="F1753">
        <v>0</v>
      </c>
      <c r="G1753">
        <v>7</v>
      </c>
      <c r="H1753" t="s">
        <v>35</v>
      </c>
      <c r="I1753" t="s">
        <v>76</v>
      </c>
      <c r="J1753">
        <v>776</v>
      </c>
      <c r="K1753" s="3">
        <v>8.1999999999999993</v>
      </c>
      <c r="L1753">
        <v>6363.2</v>
      </c>
    </row>
    <row r="1754" spans="1:12" x14ac:dyDescent="0.3">
      <c r="A1754">
        <v>9</v>
      </c>
      <c r="B1754">
        <v>18</v>
      </c>
      <c r="C1754">
        <v>0</v>
      </c>
      <c r="D1754">
        <v>22</v>
      </c>
      <c r="E1754">
        <v>1</v>
      </c>
      <c r="F1754">
        <v>0</v>
      </c>
      <c r="G1754">
        <v>10</v>
      </c>
      <c r="H1754" t="s">
        <v>35</v>
      </c>
      <c r="I1754" t="s">
        <v>78</v>
      </c>
      <c r="J1754">
        <v>572</v>
      </c>
      <c r="K1754" s="3">
        <v>8.1999999999999993</v>
      </c>
      <c r="L1754">
        <v>4690.3999999999996</v>
      </c>
    </row>
    <row r="1755" spans="1:12" x14ac:dyDescent="0.3">
      <c r="A1755">
        <v>17</v>
      </c>
      <c r="B1755">
        <v>23</v>
      </c>
      <c r="C1755">
        <v>0</v>
      </c>
      <c r="D1755">
        <v>18</v>
      </c>
      <c r="E1755">
        <v>12</v>
      </c>
      <c r="F1755">
        <v>0</v>
      </c>
      <c r="G1755">
        <v>3</v>
      </c>
      <c r="H1755" t="s">
        <v>24</v>
      </c>
      <c r="I1755" t="s">
        <v>82</v>
      </c>
      <c r="J1755">
        <v>644</v>
      </c>
      <c r="K1755" s="3">
        <v>7.9</v>
      </c>
      <c r="L1755">
        <v>5087.6000000000004</v>
      </c>
    </row>
    <row r="1756" spans="1:12" x14ac:dyDescent="0.3">
      <c r="A1756">
        <v>7</v>
      </c>
      <c r="B1756">
        <v>19</v>
      </c>
      <c r="C1756">
        <v>0</v>
      </c>
      <c r="D1756">
        <v>21</v>
      </c>
      <c r="E1756">
        <v>1</v>
      </c>
      <c r="F1756">
        <v>0</v>
      </c>
      <c r="G1756">
        <v>2</v>
      </c>
      <c r="H1756" t="s">
        <v>30</v>
      </c>
      <c r="I1756" t="s">
        <v>109</v>
      </c>
      <c r="J1756">
        <v>287</v>
      </c>
      <c r="K1756" s="3">
        <v>9.1999999999999993</v>
      </c>
      <c r="L1756">
        <v>2640.3999999999901</v>
      </c>
    </row>
    <row r="1757" spans="1:12" x14ac:dyDescent="0.3">
      <c r="A1757">
        <v>7</v>
      </c>
      <c r="B1757">
        <v>17</v>
      </c>
      <c r="C1757">
        <v>3</v>
      </c>
      <c r="D1757">
        <v>0</v>
      </c>
      <c r="E1757">
        <v>1</v>
      </c>
      <c r="F1757">
        <v>0</v>
      </c>
      <c r="G1757">
        <v>10</v>
      </c>
      <c r="H1757" t="s">
        <v>24</v>
      </c>
      <c r="I1757" t="s">
        <v>368</v>
      </c>
      <c r="J1757">
        <v>526</v>
      </c>
      <c r="K1757" s="3">
        <v>7.9</v>
      </c>
      <c r="L1757">
        <v>4155.3999999999996</v>
      </c>
    </row>
    <row r="1758" spans="1:12" x14ac:dyDescent="0.3">
      <c r="A1758">
        <v>15</v>
      </c>
      <c r="B1758">
        <v>23</v>
      </c>
      <c r="C1758">
        <v>2</v>
      </c>
      <c r="D1758">
        <v>15</v>
      </c>
      <c r="E1758">
        <v>12</v>
      </c>
      <c r="F1758">
        <v>0</v>
      </c>
      <c r="G1758">
        <v>7</v>
      </c>
      <c r="H1758" t="s">
        <v>24</v>
      </c>
      <c r="I1758" t="s">
        <v>97</v>
      </c>
      <c r="J1758">
        <v>0</v>
      </c>
      <c r="K1758" s="3">
        <v>7.9</v>
      </c>
      <c r="L1758">
        <v>4250.2</v>
      </c>
    </row>
    <row r="1759" spans="1:12" x14ac:dyDescent="0.3">
      <c r="A1759">
        <v>15</v>
      </c>
      <c r="B1759">
        <v>0</v>
      </c>
      <c r="C1759">
        <v>0</v>
      </c>
      <c r="D1759">
        <v>6</v>
      </c>
      <c r="E1759">
        <v>1</v>
      </c>
      <c r="F1759">
        <v>0</v>
      </c>
      <c r="G1759">
        <v>1</v>
      </c>
      <c r="H1759" t="s">
        <v>24</v>
      </c>
      <c r="I1759" t="s">
        <v>368</v>
      </c>
      <c r="J1759">
        <v>526</v>
      </c>
      <c r="K1759" s="3">
        <v>7.9</v>
      </c>
      <c r="L1759">
        <v>4155.3999999999996</v>
      </c>
    </row>
    <row r="1760" spans="1:12" x14ac:dyDescent="0.3">
      <c r="A1760">
        <v>9</v>
      </c>
      <c r="B1760">
        <v>17</v>
      </c>
      <c r="C1760">
        <v>3</v>
      </c>
      <c r="D1760">
        <v>5</v>
      </c>
      <c r="E1760">
        <v>7</v>
      </c>
      <c r="F1760">
        <v>0</v>
      </c>
      <c r="G1760">
        <v>9</v>
      </c>
      <c r="H1760" t="s">
        <v>26</v>
      </c>
      <c r="I1760" t="s">
        <v>92</v>
      </c>
      <c r="J1760">
        <v>383</v>
      </c>
      <c r="K1760" s="3">
        <v>8.5</v>
      </c>
      <c r="L1760">
        <v>3255.5</v>
      </c>
    </row>
    <row r="1761" spans="1:12" x14ac:dyDescent="0.3">
      <c r="A1761">
        <v>22</v>
      </c>
      <c r="B1761">
        <v>23</v>
      </c>
      <c r="C1761">
        <v>0</v>
      </c>
      <c r="D1761">
        <v>21</v>
      </c>
      <c r="E1761">
        <v>1</v>
      </c>
      <c r="F1761">
        <v>0</v>
      </c>
      <c r="G1761">
        <v>11</v>
      </c>
      <c r="H1761" t="s">
        <v>369</v>
      </c>
      <c r="I1761" t="s">
        <v>122</v>
      </c>
      <c r="J1761">
        <v>717</v>
      </c>
      <c r="K1761" s="3">
        <v>9.1</v>
      </c>
      <c r="L1761">
        <v>6524.7</v>
      </c>
    </row>
    <row r="1762" spans="1:12" x14ac:dyDescent="0.3">
      <c r="A1762">
        <v>14</v>
      </c>
      <c r="B1762">
        <v>22</v>
      </c>
      <c r="C1762">
        <v>1</v>
      </c>
      <c r="D1762">
        <v>5</v>
      </c>
      <c r="E1762">
        <v>1</v>
      </c>
      <c r="F1762">
        <v>0</v>
      </c>
      <c r="G1762">
        <v>12</v>
      </c>
      <c r="H1762" t="s">
        <v>28</v>
      </c>
      <c r="I1762" t="s">
        <v>86</v>
      </c>
      <c r="J1762">
        <v>411</v>
      </c>
      <c r="K1762" s="3">
        <v>7.7</v>
      </c>
      <c r="L1762">
        <v>3164.7</v>
      </c>
    </row>
    <row r="1763" spans="1:12" x14ac:dyDescent="0.3">
      <c r="A1763">
        <v>23</v>
      </c>
      <c r="B1763">
        <v>22</v>
      </c>
      <c r="C1763">
        <v>2</v>
      </c>
      <c r="D1763">
        <v>8</v>
      </c>
      <c r="E1763">
        <v>1</v>
      </c>
      <c r="F1763">
        <v>0</v>
      </c>
      <c r="G1763">
        <v>2</v>
      </c>
      <c r="H1763" t="s">
        <v>13</v>
      </c>
      <c r="I1763" t="s">
        <v>90</v>
      </c>
      <c r="J1763">
        <v>396</v>
      </c>
      <c r="K1763" s="3">
        <v>8.3000000000000007</v>
      </c>
      <c r="L1763">
        <v>3286.8</v>
      </c>
    </row>
    <row r="1764" spans="1:12" x14ac:dyDescent="0.3">
      <c r="A1764">
        <v>23</v>
      </c>
      <c r="B1764">
        <v>22</v>
      </c>
      <c r="C1764">
        <v>2</v>
      </c>
      <c r="D1764">
        <v>18</v>
      </c>
      <c r="E1764">
        <v>1</v>
      </c>
      <c r="F1764">
        <v>0</v>
      </c>
      <c r="G1764">
        <v>7</v>
      </c>
      <c r="H1764" t="s">
        <v>38</v>
      </c>
      <c r="I1764" t="s">
        <v>76</v>
      </c>
      <c r="J1764">
        <v>756</v>
      </c>
      <c r="K1764" s="3">
        <v>7.4</v>
      </c>
      <c r="L1764">
        <v>5594.4</v>
      </c>
    </row>
    <row r="1765" spans="1:12" x14ac:dyDescent="0.3">
      <c r="A1765">
        <v>20</v>
      </c>
      <c r="B1765">
        <v>23</v>
      </c>
      <c r="C1765">
        <v>1</v>
      </c>
      <c r="D1765">
        <v>9</v>
      </c>
      <c r="E1765">
        <v>12</v>
      </c>
      <c r="F1765">
        <v>0</v>
      </c>
      <c r="G1765">
        <v>1</v>
      </c>
      <c r="H1765" t="s">
        <v>23</v>
      </c>
      <c r="I1765" t="s">
        <v>108</v>
      </c>
      <c r="J1765">
        <v>712</v>
      </c>
      <c r="K1765" s="3">
        <v>8.4</v>
      </c>
      <c r="L1765">
        <v>5980.8</v>
      </c>
    </row>
    <row r="1766" spans="1:12" x14ac:dyDescent="0.3">
      <c r="A1766">
        <v>11</v>
      </c>
      <c r="B1766">
        <v>23</v>
      </c>
      <c r="C1766">
        <v>0</v>
      </c>
      <c r="D1766">
        <v>4</v>
      </c>
      <c r="E1766">
        <v>1</v>
      </c>
      <c r="F1766">
        <v>0</v>
      </c>
      <c r="G1766">
        <v>11</v>
      </c>
      <c r="H1766" t="s">
        <v>21</v>
      </c>
      <c r="I1766" t="s">
        <v>78</v>
      </c>
      <c r="J1766">
        <v>0</v>
      </c>
      <c r="K1766">
        <v>8.6999999999999993</v>
      </c>
      <c r="L1766">
        <v>3175.49999999999</v>
      </c>
    </row>
    <row r="1767" spans="1:12" x14ac:dyDescent="0.3">
      <c r="A1767">
        <v>21</v>
      </c>
      <c r="B1767">
        <v>22</v>
      </c>
      <c r="C1767">
        <v>1</v>
      </c>
      <c r="D1767">
        <v>11</v>
      </c>
      <c r="E1767">
        <v>1</v>
      </c>
      <c r="F1767">
        <v>0</v>
      </c>
      <c r="G1767">
        <v>7</v>
      </c>
      <c r="H1767" t="s">
        <v>20</v>
      </c>
      <c r="I1767" t="s">
        <v>74</v>
      </c>
      <c r="J1767">
        <v>419</v>
      </c>
      <c r="K1767" s="3">
        <v>9.1</v>
      </c>
      <c r="L1767">
        <v>3812.8999999999901</v>
      </c>
    </row>
    <row r="1768" spans="1:12" x14ac:dyDescent="0.3">
      <c r="A1768">
        <v>6</v>
      </c>
      <c r="B1768">
        <v>19</v>
      </c>
      <c r="C1768">
        <v>3</v>
      </c>
      <c r="D1768">
        <v>17</v>
      </c>
      <c r="E1768">
        <v>1</v>
      </c>
      <c r="F1768">
        <v>0</v>
      </c>
      <c r="G1768">
        <v>7</v>
      </c>
      <c r="H1768" t="s">
        <v>16</v>
      </c>
      <c r="I1768" t="s">
        <v>96</v>
      </c>
      <c r="J1768">
        <v>604</v>
      </c>
      <c r="K1768" s="3">
        <v>8.9</v>
      </c>
      <c r="L1768">
        <v>5375.6</v>
      </c>
    </row>
    <row r="1769" spans="1:12" x14ac:dyDescent="0.3">
      <c r="A1769">
        <v>23</v>
      </c>
      <c r="B1769">
        <v>23</v>
      </c>
      <c r="C1769">
        <v>0</v>
      </c>
      <c r="D1769">
        <v>20</v>
      </c>
      <c r="E1769">
        <v>1</v>
      </c>
      <c r="F1769">
        <v>0</v>
      </c>
      <c r="G1769">
        <v>5</v>
      </c>
      <c r="H1769" t="s">
        <v>32</v>
      </c>
      <c r="I1769" t="s">
        <v>72</v>
      </c>
      <c r="J1769">
        <v>741</v>
      </c>
      <c r="K1769">
        <v>7.6</v>
      </c>
      <c r="L1769">
        <v>5631.5999999999904</v>
      </c>
    </row>
    <row r="1770" spans="1:12" x14ac:dyDescent="0.3">
      <c r="A1770">
        <v>21</v>
      </c>
      <c r="B1770">
        <v>22</v>
      </c>
      <c r="C1770">
        <v>0</v>
      </c>
      <c r="D1770">
        <v>19</v>
      </c>
      <c r="E1770">
        <v>1</v>
      </c>
      <c r="F1770">
        <v>0</v>
      </c>
      <c r="G1770">
        <v>3</v>
      </c>
      <c r="H1770" t="s">
        <v>32</v>
      </c>
      <c r="I1770" t="s">
        <v>80</v>
      </c>
      <c r="J1770">
        <v>674</v>
      </c>
      <c r="K1770" s="3">
        <v>7.6</v>
      </c>
      <c r="L1770">
        <v>0</v>
      </c>
    </row>
    <row r="1771" spans="1:12" x14ac:dyDescent="0.3">
      <c r="A1771">
        <v>22</v>
      </c>
      <c r="B1771">
        <v>23</v>
      </c>
      <c r="C1771">
        <v>2</v>
      </c>
      <c r="D1771">
        <v>14</v>
      </c>
      <c r="E1771">
        <v>0</v>
      </c>
      <c r="F1771">
        <v>0</v>
      </c>
      <c r="G1771">
        <v>8</v>
      </c>
      <c r="H1771" t="s">
        <v>25</v>
      </c>
      <c r="I1771" t="s">
        <v>71</v>
      </c>
      <c r="J1771">
        <v>624</v>
      </c>
      <c r="K1771" s="3">
        <v>8.1</v>
      </c>
      <c r="L1771">
        <v>5054.3999999999996</v>
      </c>
    </row>
    <row r="1772" spans="1:12" x14ac:dyDescent="0.3">
      <c r="A1772">
        <v>16</v>
      </c>
      <c r="B1772">
        <v>22</v>
      </c>
      <c r="C1772">
        <v>1</v>
      </c>
      <c r="D1772">
        <v>10</v>
      </c>
      <c r="E1772">
        <v>1</v>
      </c>
      <c r="F1772">
        <v>0</v>
      </c>
      <c r="G1772">
        <v>5</v>
      </c>
      <c r="H1772" t="s">
        <v>32</v>
      </c>
      <c r="I1772" t="s">
        <v>76</v>
      </c>
      <c r="J1772">
        <v>441</v>
      </c>
      <c r="K1772" s="3">
        <v>7.6</v>
      </c>
      <c r="L1772">
        <v>3351.6</v>
      </c>
    </row>
    <row r="1773" spans="1:12" x14ac:dyDescent="0.3">
      <c r="A1773">
        <v>16</v>
      </c>
      <c r="B1773">
        <v>22</v>
      </c>
      <c r="C1773">
        <v>0</v>
      </c>
      <c r="D1773">
        <v>8</v>
      </c>
      <c r="E1773">
        <v>1</v>
      </c>
      <c r="F1773">
        <v>0</v>
      </c>
      <c r="G1773">
        <v>2</v>
      </c>
      <c r="H1773" t="s">
        <v>18</v>
      </c>
      <c r="I1773" t="s">
        <v>82</v>
      </c>
      <c r="J1773">
        <v>421</v>
      </c>
      <c r="K1773">
        <v>7.7</v>
      </c>
      <c r="L1773">
        <v>3241.7</v>
      </c>
    </row>
    <row r="1774" spans="1:12" x14ac:dyDescent="0.3">
      <c r="A1774">
        <v>7</v>
      </c>
      <c r="B1774">
        <v>22</v>
      </c>
      <c r="C1774">
        <v>0</v>
      </c>
      <c r="D1774">
        <v>11</v>
      </c>
      <c r="E1774">
        <v>1</v>
      </c>
      <c r="F1774">
        <v>0</v>
      </c>
      <c r="G1774">
        <v>5</v>
      </c>
      <c r="H1774" t="s">
        <v>23</v>
      </c>
      <c r="I1774" t="s">
        <v>74</v>
      </c>
      <c r="J1774">
        <v>366</v>
      </c>
      <c r="K1774" s="3">
        <v>8.4</v>
      </c>
      <c r="L1774">
        <v>3074.4</v>
      </c>
    </row>
    <row r="1775" spans="1:12" x14ac:dyDescent="0.3">
      <c r="A1775">
        <v>19</v>
      </c>
      <c r="B1775">
        <v>0</v>
      </c>
      <c r="C1775">
        <v>0</v>
      </c>
      <c r="D1775">
        <v>3</v>
      </c>
      <c r="E1775">
        <v>1</v>
      </c>
      <c r="F1775">
        <v>0</v>
      </c>
      <c r="G1775">
        <v>12</v>
      </c>
      <c r="H1775" t="s">
        <v>25</v>
      </c>
      <c r="I1775" t="s">
        <v>76</v>
      </c>
      <c r="J1775">
        <v>386</v>
      </c>
      <c r="K1775" s="3">
        <v>8.1</v>
      </c>
      <c r="L1775" t="s">
        <v>143</v>
      </c>
    </row>
    <row r="1776" spans="1:12" x14ac:dyDescent="0.3">
      <c r="A1776">
        <v>5</v>
      </c>
      <c r="B1776">
        <v>18</v>
      </c>
      <c r="C1776">
        <v>0</v>
      </c>
      <c r="D1776">
        <v>20</v>
      </c>
      <c r="E1776">
        <v>1</v>
      </c>
      <c r="F1776">
        <v>0</v>
      </c>
      <c r="G1776">
        <v>1</v>
      </c>
      <c r="H1776" t="s">
        <v>57</v>
      </c>
      <c r="I1776" t="s">
        <v>77</v>
      </c>
      <c r="J1776">
        <v>0</v>
      </c>
      <c r="K1776" s="3">
        <v>9.1999999999999993</v>
      </c>
      <c r="L1776">
        <v>4489.5999999999904</v>
      </c>
    </row>
    <row r="1777" spans="1:12" x14ac:dyDescent="0.3">
      <c r="A1777">
        <v>14</v>
      </c>
      <c r="B1777">
        <v>22</v>
      </c>
      <c r="C1777">
        <v>1</v>
      </c>
      <c r="D1777">
        <v>16</v>
      </c>
      <c r="E1777">
        <v>1</v>
      </c>
      <c r="F1777">
        <v>0</v>
      </c>
      <c r="G1777">
        <v>5</v>
      </c>
      <c r="H1777" t="s">
        <v>25</v>
      </c>
      <c r="I1777" t="s">
        <v>84</v>
      </c>
      <c r="J1777">
        <v>492</v>
      </c>
      <c r="K1777" s="3">
        <v>8.1</v>
      </c>
      <c r="L1777">
        <v>3985.2</v>
      </c>
    </row>
    <row r="1778" spans="1:12" x14ac:dyDescent="0.3">
      <c r="A1778">
        <v>17</v>
      </c>
      <c r="B1778">
        <v>23</v>
      </c>
      <c r="C1778">
        <v>3</v>
      </c>
      <c r="D1778">
        <v>18</v>
      </c>
      <c r="E1778">
        <v>12</v>
      </c>
      <c r="F1778">
        <v>0</v>
      </c>
      <c r="G1778">
        <v>3</v>
      </c>
      <c r="H1778" t="s">
        <v>57</v>
      </c>
      <c r="I1778" t="s">
        <v>77</v>
      </c>
      <c r="J1778">
        <v>746</v>
      </c>
      <c r="K1778">
        <v>9.1999999999999993</v>
      </c>
      <c r="L1778">
        <v>6863.2</v>
      </c>
    </row>
    <row r="1779" spans="1:12" x14ac:dyDescent="0.3">
      <c r="A1779">
        <v>23</v>
      </c>
      <c r="B1779">
        <v>22</v>
      </c>
      <c r="C1779">
        <v>2</v>
      </c>
      <c r="D1779">
        <v>4</v>
      </c>
      <c r="E1779">
        <v>1</v>
      </c>
      <c r="F1779">
        <v>0</v>
      </c>
      <c r="G1779">
        <v>8</v>
      </c>
      <c r="H1779" t="s">
        <v>26</v>
      </c>
      <c r="I1779" t="s">
        <v>81</v>
      </c>
      <c r="J1779">
        <v>478</v>
      </c>
      <c r="K1779" s="3">
        <v>8.5</v>
      </c>
      <c r="L1779">
        <v>4063</v>
      </c>
    </row>
    <row r="1780" spans="1:12" x14ac:dyDescent="0.3">
      <c r="A1780">
        <v>0</v>
      </c>
      <c r="B1780">
        <v>23</v>
      </c>
      <c r="C1780">
        <v>2</v>
      </c>
      <c r="D1780">
        <v>5</v>
      </c>
      <c r="E1780">
        <v>1</v>
      </c>
      <c r="F1780">
        <v>0</v>
      </c>
      <c r="G1780">
        <v>9</v>
      </c>
      <c r="H1780" t="s">
        <v>16</v>
      </c>
      <c r="I1780" t="s">
        <v>124</v>
      </c>
      <c r="J1780">
        <v>467</v>
      </c>
      <c r="K1780" s="3">
        <v>0</v>
      </c>
      <c r="L1780">
        <v>4156.3</v>
      </c>
    </row>
    <row r="1781" spans="1:12" x14ac:dyDescent="0.3">
      <c r="A1781">
        <v>15</v>
      </c>
      <c r="B1781">
        <v>23</v>
      </c>
      <c r="C1781">
        <v>3</v>
      </c>
      <c r="D1781">
        <v>7</v>
      </c>
      <c r="E1781">
        <v>1</v>
      </c>
      <c r="F1781">
        <v>0</v>
      </c>
      <c r="G1781">
        <v>7</v>
      </c>
      <c r="H1781" t="s">
        <v>26</v>
      </c>
      <c r="I1781" t="s">
        <v>81</v>
      </c>
      <c r="J1781">
        <v>651</v>
      </c>
      <c r="K1781" s="3">
        <v>8.5</v>
      </c>
      <c r="L1781">
        <v>5533.5</v>
      </c>
    </row>
    <row r="1782" spans="1:12" x14ac:dyDescent="0.3">
      <c r="A1782">
        <v>18</v>
      </c>
      <c r="B1782">
        <v>22</v>
      </c>
      <c r="C1782">
        <v>3</v>
      </c>
      <c r="D1782">
        <v>7</v>
      </c>
      <c r="E1782">
        <v>1</v>
      </c>
      <c r="F1782">
        <v>0</v>
      </c>
      <c r="G1782">
        <v>12</v>
      </c>
      <c r="H1782" t="s">
        <v>26</v>
      </c>
      <c r="I1782" t="s">
        <v>93</v>
      </c>
      <c r="J1782">
        <v>560</v>
      </c>
      <c r="K1782" s="3">
        <v>8.5</v>
      </c>
      <c r="L1782">
        <v>4760</v>
      </c>
    </row>
    <row r="1783" spans="1:12" x14ac:dyDescent="0.3">
      <c r="A1783">
        <v>14</v>
      </c>
      <c r="B1783">
        <v>23</v>
      </c>
      <c r="C1783">
        <v>0</v>
      </c>
      <c r="D1783">
        <v>22</v>
      </c>
      <c r="E1783">
        <v>0</v>
      </c>
      <c r="F1783">
        <v>0</v>
      </c>
      <c r="G1783">
        <v>1</v>
      </c>
      <c r="H1783" t="s">
        <v>41</v>
      </c>
      <c r="I1783" t="s">
        <v>80</v>
      </c>
      <c r="J1783">
        <v>449</v>
      </c>
      <c r="K1783" s="3">
        <v>7.4</v>
      </c>
      <c r="L1783">
        <v>3322.6</v>
      </c>
    </row>
    <row r="1784" spans="1:12" x14ac:dyDescent="0.3">
      <c r="A1784">
        <v>7</v>
      </c>
      <c r="B1784">
        <v>18</v>
      </c>
      <c r="C1784">
        <v>1</v>
      </c>
      <c r="D1784">
        <v>15</v>
      </c>
      <c r="E1784">
        <v>1</v>
      </c>
      <c r="F1784">
        <v>0</v>
      </c>
      <c r="G1784">
        <v>8</v>
      </c>
      <c r="H1784" t="s">
        <v>38</v>
      </c>
      <c r="I1784" t="s">
        <v>72</v>
      </c>
      <c r="J1784">
        <v>535</v>
      </c>
      <c r="K1784" s="3">
        <v>7.4</v>
      </c>
      <c r="L1784">
        <v>99999</v>
      </c>
    </row>
    <row r="1785" spans="1:12" x14ac:dyDescent="0.3">
      <c r="A1785">
        <v>23</v>
      </c>
      <c r="B1785">
        <v>22</v>
      </c>
      <c r="C1785">
        <v>0</v>
      </c>
      <c r="D1785">
        <v>6</v>
      </c>
      <c r="E1785">
        <v>0</v>
      </c>
      <c r="F1785">
        <v>0</v>
      </c>
      <c r="G1785">
        <v>4</v>
      </c>
      <c r="H1785" t="s">
        <v>17</v>
      </c>
      <c r="I1785" t="s">
        <v>92</v>
      </c>
      <c r="J1785">
        <v>589</v>
      </c>
      <c r="K1785" s="3">
        <v>8.6999999999999993</v>
      </c>
      <c r="L1785">
        <v>5124.2999999999902</v>
      </c>
    </row>
    <row r="1786" spans="1:12" x14ac:dyDescent="0.3">
      <c r="A1786">
        <v>19</v>
      </c>
      <c r="B1786">
        <v>22</v>
      </c>
      <c r="C1786">
        <v>2</v>
      </c>
      <c r="D1786">
        <v>3</v>
      </c>
      <c r="E1786">
        <v>1</v>
      </c>
      <c r="F1786">
        <v>0</v>
      </c>
      <c r="G1786">
        <v>5</v>
      </c>
      <c r="H1786" t="s">
        <v>22</v>
      </c>
      <c r="I1786" t="s">
        <v>92</v>
      </c>
      <c r="J1786">
        <v>488</v>
      </c>
      <c r="K1786" s="3">
        <v>7.8</v>
      </c>
      <c r="L1786">
        <v>3806.4</v>
      </c>
    </row>
    <row r="1787" spans="1:12" x14ac:dyDescent="0.3">
      <c r="A1787">
        <v>15</v>
      </c>
      <c r="B1787">
        <v>22</v>
      </c>
      <c r="C1787">
        <v>1</v>
      </c>
      <c r="D1787">
        <v>14</v>
      </c>
      <c r="E1787">
        <v>0</v>
      </c>
      <c r="F1787">
        <v>0</v>
      </c>
      <c r="G1787">
        <v>10</v>
      </c>
      <c r="H1787" t="s">
        <v>51</v>
      </c>
      <c r="I1787" t="s">
        <v>132</v>
      </c>
      <c r="J1787">
        <v>381</v>
      </c>
      <c r="K1787" s="3">
        <v>8.8000000000000007</v>
      </c>
      <c r="L1787">
        <v>3352.8</v>
      </c>
    </row>
    <row r="1788" spans="1:12" x14ac:dyDescent="0.3">
      <c r="A1788">
        <v>19</v>
      </c>
      <c r="B1788">
        <v>22</v>
      </c>
      <c r="C1788">
        <v>2</v>
      </c>
      <c r="D1788">
        <v>6</v>
      </c>
      <c r="E1788">
        <v>1</v>
      </c>
      <c r="F1788">
        <v>0</v>
      </c>
      <c r="G1788">
        <v>11</v>
      </c>
      <c r="H1788" t="s">
        <v>23</v>
      </c>
      <c r="I1788" t="s">
        <v>76</v>
      </c>
      <c r="J1788">
        <v>496</v>
      </c>
      <c r="K1788" s="3">
        <v>8.4</v>
      </c>
      <c r="L1788">
        <v>4166.3999999999996</v>
      </c>
    </row>
    <row r="1789" spans="1:12" x14ac:dyDescent="0.3">
      <c r="A1789">
        <v>10</v>
      </c>
      <c r="B1789">
        <v>21</v>
      </c>
      <c r="C1789">
        <v>2</v>
      </c>
      <c r="D1789">
        <v>7</v>
      </c>
      <c r="E1789">
        <v>1</v>
      </c>
      <c r="F1789">
        <v>0</v>
      </c>
      <c r="G1789">
        <v>7</v>
      </c>
      <c r="H1789" t="s">
        <v>25</v>
      </c>
      <c r="I1789" t="s">
        <v>123</v>
      </c>
      <c r="J1789">
        <v>410</v>
      </c>
      <c r="K1789" s="3">
        <v>8.1</v>
      </c>
      <c r="L1789">
        <v>3321</v>
      </c>
    </row>
    <row r="1790" spans="1:12" x14ac:dyDescent="0.3">
      <c r="A1790">
        <v>0</v>
      </c>
      <c r="B1790">
        <v>19</v>
      </c>
      <c r="C1790">
        <v>2</v>
      </c>
      <c r="D1790">
        <v>12</v>
      </c>
      <c r="E1790">
        <v>7</v>
      </c>
      <c r="F1790">
        <v>0</v>
      </c>
      <c r="G1790">
        <v>1</v>
      </c>
      <c r="H1790" t="s">
        <v>36</v>
      </c>
      <c r="I1790" t="s">
        <v>130</v>
      </c>
      <c r="J1790">
        <v>457</v>
      </c>
      <c r="K1790" s="3">
        <v>8.8000000000000007</v>
      </c>
      <c r="L1790">
        <v>4021.6</v>
      </c>
    </row>
    <row r="1791" spans="1:12" x14ac:dyDescent="0.3">
      <c r="A1791">
        <v>21</v>
      </c>
      <c r="B1791">
        <v>22</v>
      </c>
      <c r="C1791">
        <v>2</v>
      </c>
      <c r="D1791">
        <v>22</v>
      </c>
      <c r="E1791">
        <v>1</v>
      </c>
      <c r="F1791">
        <v>0</v>
      </c>
      <c r="G1791">
        <v>3</v>
      </c>
      <c r="H1791" t="s">
        <v>26</v>
      </c>
      <c r="I1791" t="s">
        <v>81</v>
      </c>
      <c r="J1791">
        <v>775</v>
      </c>
      <c r="K1791" s="3" t="s">
        <v>143</v>
      </c>
      <c r="L1791">
        <v>6587.5</v>
      </c>
    </row>
    <row r="1792" spans="1:12" x14ac:dyDescent="0.3">
      <c r="A1792">
        <v>18</v>
      </c>
      <c r="B1792">
        <v>22</v>
      </c>
      <c r="C1792">
        <v>1</v>
      </c>
      <c r="D1792">
        <v>14</v>
      </c>
      <c r="E1792">
        <v>1</v>
      </c>
      <c r="F1792">
        <v>0</v>
      </c>
      <c r="G1792">
        <v>6</v>
      </c>
      <c r="H1792" t="s">
        <v>43</v>
      </c>
      <c r="I1792" t="s">
        <v>88</v>
      </c>
      <c r="J1792">
        <v>539</v>
      </c>
      <c r="K1792" s="3">
        <v>7.6</v>
      </c>
      <c r="L1792">
        <v>4096.3999999999996</v>
      </c>
    </row>
    <row r="1793" spans="1:12" x14ac:dyDescent="0.3">
      <c r="A1793">
        <v>16</v>
      </c>
      <c r="B1793">
        <v>22</v>
      </c>
      <c r="C1793">
        <v>0</v>
      </c>
      <c r="D1793">
        <v>14</v>
      </c>
      <c r="E1793">
        <v>1</v>
      </c>
      <c r="F1793">
        <v>0</v>
      </c>
      <c r="G1793">
        <v>1</v>
      </c>
      <c r="H1793" t="s">
        <v>24</v>
      </c>
      <c r="I1793" t="s">
        <v>107</v>
      </c>
      <c r="J1793">
        <v>0</v>
      </c>
      <c r="K1793" s="3">
        <v>7.9</v>
      </c>
      <c r="L1793">
        <v>3270.6</v>
      </c>
    </row>
    <row r="1794" spans="1:12" x14ac:dyDescent="0.3">
      <c r="A1794">
        <v>13</v>
      </c>
      <c r="B1794">
        <v>22</v>
      </c>
      <c r="C1794">
        <v>1</v>
      </c>
      <c r="D1794">
        <v>6</v>
      </c>
      <c r="E1794">
        <v>12</v>
      </c>
      <c r="F1794">
        <v>0</v>
      </c>
      <c r="G1794">
        <v>4</v>
      </c>
      <c r="H1794" t="s">
        <v>36</v>
      </c>
      <c r="I1794" t="s">
        <v>81</v>
      </c>
      <c r="J1794">
        <v>582</v>
      </c>
      <c r="K1794" s="3">
        <v>8.8000000000000007</v>
      </c>
      <c r="L1794">
        <v>5121.6000000000004</v>
      </c>
    </row>
    <row r="1795" spans="1:12" x14ac:dyDescent="0.3">
      <c r="A1795">
        <v>19</v>
      </c>
      <c r="B1795">
        <v>22</v>
      </c>
      <c r="C1795">
        <v>2</v>
      </c>
      <c r="D1795">
        <v>5</v>
      </c>
      <c r="E1795">
        <v>12</v>
      </c>
      <c r="F1795">
        <v>0</v>
      </c>
      <c r="G1795">
        <v>6</v>
      </c>
      <c r="H1795" t="s">
        <v>24</v>
      </c>
      <c r="I1795" t="s">
        <v>79</v>
      </c>
      <c r="J1795">
        <v>518</v>
      </c>
      <c r="K1795" s="3">
        <v>7.9</v>
      </c>
      <c r="L1795">
        <v>4092.2</v>
      </c>
    </row>
    <row r="1796" spans="1:12" x14ac:dyDescent="0.3">
      <c r="A1796">
        <v>23</v>
      </c>
      <c r="B1796">
        <v>22</v>
      </c>
      <c r="C1796">
        <v>2</v>
      </c>
      <c r="D1796">
        <v>7</v>
      </c>
      <c r="E1796">
        <v>1</v>
      </c>
      <c r="F1796">
        <v>0</v>
      </c>
      <c r="G1796">
        <v>11</v>
      </c>
      <c r="H1796" t="s">
        <v>15</v>
      </c>
      <c r="I1796" t="s">
        <v>368</v>
      </c>
      <c r="J1796">
        <v>479</v>
      </c>
      <c r="K1796">
        <v>8.3000000000000007</v>
      </c>
      <c r="L1796">
        <v>0</v>
      </c>
    </row>
    <row r="1797" spans="1:12" x14ac:dyDescent="0.3">
      <c r="A1797">
        <v>9</v>
      </c>
      <c r="B1797">
        <v>23</v>
      </c>
      <c r="C1797">
        <v>0</v>
      </c>
      <c r="D1797">
        <v>17</v>
      </c>
      <c r="E1797">
        <v>1</v>
      </c>
      <c r="F1797">
        <v>0</v>
      </c>
      <c r="G1797">
        <v>10</v>
      </c>
      <c r="H1797" t="s">
        <v>21</v>
      </c>
      <c r="I1797" t="s">
        <v>96</v>
      </c>
      <c r="J1797">
        <v>407</v>
      </c>
      <c r="K1797" s="3">
        <v>8.6999999999999993</v>
      </c>
      <c r="L1797">
        <v>3540.8999999999901</v>
      </c>
    </row>
    <row r="1798" spans="1:12" x14ac:dyDescent="0.3">
      <c r="A1798">
        <v>22</v>
      </c>
      <c r="B1798">
        <v>23</v>
      </c>
      <c r="C1798">
        <v>2</v>
      </c>
      <c r="D1798">
        <v>8</v>
      </c>
      <c r="E1798">
        <v>1</v>
      </c>
      <c r="F1798">
        <v>0</v>
      </c>
      <c r="G1798">
        <v>4</v>
      </c>
      <c r="H1798" t="s">
        <v>18</v>
      </c>
      <c r="I1798" t="s">
        <v>87</v>
      </c>
      <c r="J1798">
        <v>507</v>
      </c>
      <c r="K1798" s="3">
        <v>7.7</v>
      </c>
      <c r="L1798">
        <v>3903.9</v>
      </c>
    </row>
    <row r="1799" spans="1:12" x14ac:dyDescent="0.3">
      <c r="A1799">
        <v>8</v>
      </c>
      <c r="B1799">
        <v>19</v>
      </c>
      <c r="C1799">
        <v>0</v>
      </c>
      <c r="D1799">
        <v>0</v>
      </c>
      <c r="E1799">
        <v>7</v>
      </c>
      <c r="F1799">
        <v>0</v>
      </c>
      <c r="G1799">
        <v>5</v>
      </c>
      <c r="H1799" t="s">
        <v>31</v>
      </c>
      <c r="I1799" t="s">
        <v>70</v>
      </c>
      <c r="J1799">
        <v>465</v>
      </c>
      <c r="K1799" s="3">
        <v>0</v>
      </c>
      <c r="L1799">
        <v>3673.5</v>
      </c>
    </row>
    <row r="1800" spans="1:12" x14ac:dyDescent="0.3">
      <c r="A1800">
        <v>10</v>
      </c>
      <c r="B1800">
        <v>20</v>
      </c>
      <c r="C1800">
        <v>3</v>
      </c>
      <c r="D1800">
        <v>11</v>
      </c>
      <c r="E1800">
        <v>1</v>
      </c>
      <c r="F1800">
        <v>0</v>
      </c>
      <c r="G1800">
        <v>4</v>
      </c>
      <c r="H1800" t="s">
        <v>38</v>
      </c>
      <c r="I1800" t="s">
        <v>97</v>
      </c>
      <c r="J1800">
        <v>478</v>
      </c>
      <c r="K1800" s="3">
        <v>7.4</v>
      </c>
      <c r="L1800">
        <v>3537.2</v>
      </c>
    </row>
    <row r="1801" spans="1:12" x14ac:dyDescent="0.3">
      <c r="A1801">
        <v>10</v>
      </c>
      <c r="B1801">
        <v>19</v>
      </c>
      <c r="C1801">
        <v>1</v>
      </c>
      <c r="D1801">
        <v>0</v>
      </c>
      <c r="E1801">
        <v>1</v>
      </c>
      <c r="F1801">
        <v>0</v>
      </c>
      <c r="G1801">
        <v>11</v>
      </c>
      <c r="H1801" t="s">
        <v>16</v>
      </c>
      <c r="I1801" t="s">
        <v>94</v>
      </c>
      <c r="J1801">
        <v>409</v>
      </c>
      <c r="K1801" s="3">
        <v>8.9</v>
      </c>
      <c r="L1801">
        <v>0</v>
      </c>
    </row>
    <row r="1802" spans="1:12" x14ac:dyDescent="0.3">
      <c r="A1802">
        <v>16</v>
      </c>
      <c r="B1802">
        <v>0</v>
      </c>
      <c r="C1802">
        <v>2</v>
      </c>
      <c r="D1802">
        <v>3</v>
      </c>
      <c r="E1802">
        <v>12</v>
      </c>
      <c r="F1802">
        <v>0</v>
      </c>
      <c r="G1802">
        <v>4</v>
      </c>
      <c r="H1802" t="s">
        <v>25</v>
      </c>
      <c r="I1802" t="s">
        <v>104</v>
      </c>
      <c r="J1802">
        <v>546</v>
      </c>
      <c r="K1802" s="3">
        <v>8.1</v>
      </c>
      <c r="L1802">
        <v>4422.5999999999904</v>
      </c>
    </row>
    <row r="1803" spans="1:12" x14ac:dyDescent="0.3">
      <c r="A1803">
        <v>23</v>
      </c>
      <c r="B1803">
        <v>23</v>
      </c>
      <c r="C1803">
        <v>0</v>
      </c>
      <c r="D1803">
        <v>9</v>
      </c>
      <c r="E1803">
        <v>1</v>
      </c>
      <c r="F1803">
        <v>0</v>
      </c>
      <c r="G1803">
        <v>12</v>
      </c>
      <c r="H1803" t="s">
        <v>14</v>
      </c>
      <c r="I1803" t="s">
        <v>100</v>
      </c>
      <c r="J1803">
        <v>397</v>
      </c>
      <c r="K1803" s="3">
        <v>8.9</v>
      </c>
      <c r="L1803">
        <v>3533.3</v>
      </c>
    </row>
    <row r="1804" spans="1:12" x14ac:dyDescent="0.3">
      <c r="A1804">
        <v>13</v>
      </c>
      <c r="B1804">
        <v>23</v>
      </c>
      <c r="C1804">
        <v>0</v>
      </c>
      <c r="D1804">
        <v>16</v>
      </c>
      <c r="E1804">
        <v>1</v>
      </c>
      <c r="F1804">
        <v>0</v>
      </c>
      <c r="G1804">
        <v>9</v>
      </c>
      <c r="H1804" t="s">
        <v>45</v>
      </c>
      <c r="I1804" t="s">
        <v>112</v>
      </c>
      <c r="J1804">
        <v>542</v>
      </c>
      <c r="K1804" s="3">
        <v>7.9</v>
      </c>
      <c r="L1804">
        <v>4281.8</v>
      </c>
    </row>
    <row r="1805" spans="1:12" x14ac:dyDescent="0.3">
      <c r="A1805">
        <v>14</v>
      </c>
      <c r="B1805">
        <v>23</v>
      </c>
      <c r="C1805">
        <v>3</v>
      </c>
      <c r="D1805">
        <v>15</v>
      </c>
      <c r="E1805">
        <v>1</v>
      </c>
      <c r="F1805">
        <v>0</v>
      </c>
      <c r="G1805">
        <v>1</v>
      </c>
      <c r="H1805" t="s">
        <v>32</v>
      </c>
      <c r="I1805" t="s">
        <v>104</v>
      </c>
      <c r="J1805">
        <v>564</v>
      </c>
      <c r="K1805" s="3">
        <v>7.6</v>
      </c>
      <c r="L1805">
        <v>4286.3999999999996</v>
      </c>
    </row>
    <row r="1806" spans="1:12" x14ac:dyDescent="0.3">
      <c r="A1806">
        <v>15</v>
      </c>
      <c r="B1806">
        <v>23</v>
      </c>
      <c r="C1806">
        <v>0</v>
      </c>
      <c r="D1806">
        <v>0</v>
      </c>
      <c r="E1806">
        <v>12</v>
      </c>
      <c r="F1806">
        <v>0</v>
      </c>
      <c r="G1806">
        <v>5</v>
      </c>
      <c r="H1806" t="s">
        <v>16</v>
      </c>
      <c r="I1806" t="s">
        <v>105</v>
      </c>
      <c r="J1806">
        <v>584</v>
      </c>
      <c r="K1806" s="3">
        <v>8.9</v>
      </c>
      <c r="L1806">
        <v>5197.6000000000004</v>
      </c>
    </row>
    <row r="1807" spans="1:12" x14ac:dyDescent="0.3">
      <c r="A1807">
        <v>16</v>
      </c>
      <c r="B1807">
        <v>22</v>
      </c>
      <c r="C1807">
        <v>0</v>
      </c>
      <c r="D1807">
        <v>0</v>
      </c>
      <c r="E1807">
        <v>1</v>
      </c>
      <c r="F1807">
        <v>0</v>
      </c>
      <c r="G1807">
        <v>6</v>
      </c>
      <c r="H1807" t="s">
        <v>38</v>
      </c>
      <c r="I1807" t="s">
        <v>84</v>
      </c>
      <c r="J1807">
        <v>349</v>
      </c>
      <c r="K1807" s="3">
        <v>7.4</v>
      </c>
      <c r="L1807">
        <v>2582.6</v>
      </c>
    </row>
    <row r="1808" spans="1:12" x14ac:dyDescent="0.3">
      <c r="A1808">
        <v>5</v>
      </c>
      <c r="B1808">
        <v>23</v>
      </c>
      <c r="C1808">
        <v>1</v>
      </c>
      <c r="D1808">
        <v>20</v>
      </c>
      <c r="E1808">
        <v>7</v>
      </c>
      <c r="F1808">
        <v>0</v>
      </c>
      <c r="G1808">
        <v>7</v>
      </c>
      <c r="H1808" t="s">
        <v>26</v>
      </c>
      <c r="I1808" t="s">
        <v>80</v>
      </c>
      <c r="J1808">
        <v>699</v>
      </c>
      <c r="K1808" s="3">
        <v>8.5</v>
      </c>
      <c r="L1808">
        <v>5941.5</v>
      </c>
    </row>
    <row r="1809" spans="1:12" x14ac:dyDescent="0.3">
      <c r="A1809">
        <v>9</v>
      </c>
      <c r="B1809">
        <v>23</v>
      </c>
      <c r="C1809">
        <v>3</v>
      </c>
      <c r="D1809">
        <v>12</v>
      </c>
      <c r="E1809">
        <v>0</v>
      </c>
      <c r="F1809">
        <v>0</v>
      </c>
      <c r="G1809">
        <v>11</v>
      </c>
      <c r="H1809" t="s">
        <v>51</v>
      </c>
      <c r="I1809" t="s">
        <v>104</v>
      </c>
      <c r="J1809">
        <v>536</v>
      </c>
      <c r="K1809" s="3">
        <v>0</v>
      </c>
      <c r="L1809">
        <v>4716.8</v>
      </c>
    </row>
    <row r="1810" spans="1:12" x14ac:dyDescent="0.3">
      <c r="A1810">
        <v>5</v>
      </c>
      <c r="B1810">
        <v>18</v>
      </c>
      <c r="C1810">
        <v>3</v>
      </c>
      <c r="D1810">
        <v>14</v>
      </c>
      <c r="E1810">
        <v>1</v>
      </c>
      <c r="F1810">
        <v>0</v>
      </c>
      <c r="G1810">
        <v>10</v>
      </c>
      <c r="H1810" t="s">
        <v>35</v>
      </c>
      <c r="I1810" t="s">
        <v>78</v>
      </c>
      <c r="J1810">
        <v>403</v>
      </c>
      <c r="K1810" s="3">
        <v>8.1999999999999993</v>
      </c>
      <c r="L1810">
        <v>3304.6</v>
      </c>
    </row>
    <row r="1811" spans="1:12" x14ac:dyDescent="0.3">
      <c r="A1811">
        <v>8</v>
      </c>
      <c r="B1811">
        <v>21</v>
      </c>
      <c r="C1811">
        <v>0</v>
      </c>
      <c r="D1811">
        <v>4</v>
      </c>
      <c r="E1811">
        <v>1</v>
      </c>
      <c r="F1811">
        <v>0</v>
      </c>
      <c r="G1811">
        <v>11</v>
      </c>
      <c r="H1811" t="s">
        <v>16</v>
      </c>
      <c r="I1811" t="s">
        <v>117</v>
      </c>
      <c r="J1811">
        <v>448</v>
      </c>
      <c r="K1811" s="3">
        <v>8.9</v>
      </c>
      <c r="L1811">
        <v>3987.2</v>
      </c>
    </row>
    <row r="1812" spans="1:12" x14ac:dyDescent="0.3">
      <c r="A1812">
        <v>12</v>
      </c>
      <c r="B1812">
        <v>22</v>
      </c>
      <c r="C1812">
        <v>2</v>
      </c>
      <c r="D1812">
        <v>4</v>
      </c>
      <c r="E1812">
        <v>1</v>
      </c>
      <c r="F1812">
        <v>0</v>
      </c>
      <c r="G1812">
        <v>0</v>
      </c>
      <c r="H1812" t="s">
        <v>369</v>
      </c>
      <c r="I1812" t="s">
        <v>107</v>
      </c>
      <c r="J1812">
        <v>357</v>
      </c>
      <c r="K1812" s="3">
        <v>7.7</v>
      </c>
      <c r="L1812">
        <v>2748.9</v>
      </c>
    </row>
    <row r="1813" spans="1:12" x14ac:dyDescent="0.3">
      <c r="A1813">
        <v>9</v>
      </c>
      <c r="B1813">
        <v>18</v>
      </c>
      <c r="C1813">
        <v>3</v>
      </c>
      <c r="D1813">
        <v>14</v>
      </c>
      <c r="E1813">
        <v>0</v>
      </c>
      <c r="F1813">
        <v>0</v>
      </c>
      <c r="G1813">
        <v>11</v>
      </c>
      <c r="H1813" t="s">
        <v>369</v>
      </c>
      <c r="I1813" t="s">
        <v>97</v>
      </c>
      <c r="J1813">
        <v>604</v>
      </c>
      <c r="K1813" s="3">
        <v>8.9</v>
      </c>
      <c r="L1813">
        <v>5375.6</v>
      </c>
    </row>
    <row r="1814" spans="1:12" x14ac:dyDescent="0.3">
      <c r="A1814">
        <v>19</v>
      </c>
      <c r="B1814">
        <v>23</v>
      </c>
      <c r="C1814">
        <v>0</v>
      </c>
      <c r="D1814">
        <v>16</v>
      </c>
      <c r="E1814">
        <v>0</v>
      </c>
      <c r="F1814">
        <v>0</v>
      </c>
      <c r="G1814">
        <v>11</v>
      </c>
      <c r="H1814" t="s">
        <v>26</v>
      </c>
      <c r="I1814" t="s">
        <v>93</v>
      </c>
      <c r="J1814">
        <v>572</v>
      </c>
      <c r="K1814" s="3">
        <v>8.5</v>
      </c>
      <c r="L1814">
        <v>4862</v>
      </c>
    </row>
    <row r="1815" spans="1:12" x14ac:dyDescent="0.3">
      <c r="A1815">
        <v>15</v>
      </c>
      <c r="B1815">
        <v>22</v>
      </c>
      <c r="C1815">
        <v>1</v>
      </c>
      <c r="D1815">
        <v>9</v>
      </c>
      <c r="E1815">
        <v>1</v>
      </c>
      <c r="F1815">
        <v>0</v>
      </c>
      <c r="G1815">
        <v>3</v>
      </c>
      <c r="H1815" t="s">
        <v>26</v>
      </c>
      <c r="I1815" t="s">
        <v>109</v>
      </c>
      <c r="J1815">
        <v>415</v>
      </c>
      <c r="K1815" s="3">
        <v>8.5</v>
      </c>
      <c r="L1815">
        <v>3527.5</v>
      </c>
    </row>
    <row r="1816" spans="1:12" x14ac:dyDescent="0.3">
      <c r="A1816">
        <v>15</v>
      </c>
      <c r="B1816">
        <v>0</v>
      </c>
      <c r="C1816">
        <v>3</v>
      </c>
      <c r="D1816">
        <v>19</v>
      </c>
      <c r="E1816">
        <v>1</v>
      </c>
      <c r="F1816">
        <v>0</v>
      </c>
      <c r="G1816">
        <v>6</v>
      </c>
      <c r="H1816" t="s">
        <v>24</v>
      </c>
      <c r="I1816" t="s">
        <v>73</v>
      </c>
      <c r="J1816">
        <v>0</v>
      </c>
      <c r="K1816" s="3">
        <v>7.9</v>
      </c>
      <c r="L1816">
        <v>5861.8</v>
      </c>
    </row>
    <row r="1817" spans="1:12" x14ac:dyDescent="0.3">
      <c r="A1817">
        <v>0</v>
      </c>
      <c r="B1817">
        <v>22</v>
      </c>
      <c r="C1817">
        <v>3</v>
      </c>
      <c r="D1817">
        <v>20</v>
      </c>
      <c r="E1817">
        <v>1</v>
      </c>
      <c r="F1817">
        <v>0</v>
      </c>
      <c r="G1817">
        <v>7</v>
      </c>
      <c r="H1817" t="s">
        <v>33</v>
      </c>
      <c r="I1817" t="s">
        <v>78</v>
      </c>
      <c r="J1817">
        <v>0</v>
      </c>
      <c r="K1817" s="3">
        <v>9.3000000000000007</v>
      </c>
      <c r="L1817">
        <v>6909.9</v>
      </c>
    </row>
    <row r="1818" spans="1:12" x14ac:dyDescent="0.3">
      <c r="A1818">
        <v>20</v>
      </c>
      <c r="B1818">
        <v>23</v>
      </c>
      <c r="C1818">
        <v>2</v>
      </c>
      <c r="D1818">
        <v>11</v>
      </c>
      <c r="E1818">
        <v>12</v>
      </c>
      <c r="F1818">
        <v>0</v>
      </c>
      <c r="G1818">
        <v>9</v>
      </c>
      <c r="H1818" t="s">
        <v>36</v>
      </c>
      <c r="I1818" t="s">
        <v>87</v>
      </c>
      <c r="J1818">
        <v>721</v>
      </c>
      <c r="K1818" s="3">
        <v>8.8000000000000007</v>
      </c>
      <c r="L1818">
        <v>6344.8</v>
      </c>
    </row>
    <row r="1819" spans="1:12" x14ac:dyDescent="0.3">
      <c r="A1819">
        <v>12</v>
      </c>
      <c r="B1819">
        <v>23</v>
      </c>
      <c r="C1819">
        <v>1</v>
      </c>
      <c r="D1819">
        <v>7</v>
      </c>
      <c r="E1819">
        <v>12</v>
      </c>
      <c r="F1819">
        <v>0</v>
      </c>
      <c r="G1819">
        <v>2</v>
      </c>
      <c r="H1819" t="s">
        <v>32</v>
      </c>
      <c r="I1819" t="s">
        <v>80</v>
      </c>
      <c r="J1819">
        <v>587</v>
      </c>
      <c r="K1819" s="3">
        <v>7.6</v>
      </c>
      <c r="L1819">
        <v>4461.2</v>
      </c>
    </row>
    <row r="1820" spans="1:12" x14ac:dyDescent="0.3">
      <c r="A1820">
        <v>23</v>
      </c>
      <c r="B1820">
        <v>23</v>
      </c>
      <c r="C1820">
        <v>2</v>
      </c>
      <c r="D1820">
        <v>18</v>
      </c>
      <c r="E1820">
        <v>1</v>
      </c>
      <c r="F1820">
        <v>0</v>
      </c>
      <c r="G1820">
        <v>5</v>
      </c>
      <c r="H1820" t="s">
        <v>22</v>
      </c>
      <c r="I1820" t="s">
        <v>71</v>
      </c>
      <c r="J1820">
        <v>706</v>
      </c>
      <c r="K1820" s="3">
        <v>7.8</v>
      </c>
      <c r="L1820">
        <v>5506.8</v>
      </c>
    </row>
    <row r="1821" spans="1:12" x14ac:dyDescent="0.3">
      <c r="A1821">
        <v>17</v>
      </c>
      <c r="B1821">
        <v>22</v>
      </c>
      <c r="C1821">
        <v>1</v>
      </c>
      <c r="D1821">
        <v>11</v>
      </c>
      <c r="E1821">
        <v>1</v>
      </c>
      <c r="F1821">
        <v>0</v>
      </c>
      <c r="G1821">
        <v>5</v>
      </c>
      <c r="H1821" t="s">
        <v>25</v>
      </c>
      <c r="I1821" t="s">
        <v>89</v>
      </c>
      <c r="J1821">
        <v>573</v>
      </c>
      <c r="K1821" s="3">
        <v>8.1</v>
      </c>
      <c r="L1821">
        <v>4641.3</v>
      </c>
    </row>
    <row r="1822" spans="1:12" x14ac:dyDescent="0.3">
      <c r="A1822">
        <v>0</v>
      </c>
      <c r="B1822">
        <v>22</v>
      </c>
      <c r="C1822">
        <v>2</v>
      </c>
      <c r="D1822">
        <v>20</v>
      </c>
      <c r="E1822">
        <v>1</v>
      </c>
      <c r="F1822">
        <v>0</v>
      </c>
      <c r="G1822">
        <v>2</v>
      </c>
      <c r="H1822" t="s">
        <v>47</v>
      </c>
      <c r="I1822" t="s">
        <v>89</v>
      </c>
      <c r="J1822">
        <v>705</v>
      </c>
      <c r="K1822" s="3">
        <v>9.1</v>
      </c>
      <c r="L1822">
        <v>6415.5</v>
      </c>
    </row>
    <row r="1823" spans="1:12" x14ac:dyDescent="0.3">
      <c r="A1823">
        <v>5</v>
      </c>
      <c r="B1823">
        <v>22</v>
      </c>
      <c r="C1823">
        <v>2</v>
      </c>
      <c r="D1823">
        <v>15</v>
      </c>
      <c r="E1823">
        <v>1</v>
      </c>
      <c r="F1823">
        <v>0</v>
      </c>
      <c r="G1823">
        <v>11</v>
      </c>
      <c r="H1823" t="s">
        <v>27</v>
      </c>
      <c r="I1823" t="s">
        <v>84</v>
      </c>
      <c r="J1823">
        <v>481</v>
      </c>
      <c r="K1823" s="3">
        <v>8.4</v>
      </c>
      <c r="L1823">
        <v>4040.4</v>
      </c>
    </row>
    <row r="1824" spans="1:12" x14ac:dyDescent="0.3">
      <c r="A1824">
        <v>14</v>
      </c>
      <c r="B1824">
        <v>22</v>
      </c>
      <c r="C1824">
        <v>0</v>
      </c>
      <c r="D1824">
        <v>10</v>
      </c>
      <c r="E1824">
        <v>12</v>
      </c>
      <c r="F1824">
        <v>0</v>
      </c>
      <c r="G1824">
        <v>6</v>
      </c>
      <c r="H1824" t="s">
        <v>18</v>
      </c>
      <c r="I1824" t="s">
        <v>78</v>
      </c>
      <c r="J1824">
        <v>693</v>
      </c>
      <c r="K1824" s="3">
        <v>7.7</v>
      </c>
      <c r="L1824">
        <v>5336.1</v>
      </c>
    </row>
    <row r="1825" spans="1:12" x14ac:dyDescent="0.3">
      <c r="A1825">
        <v>0</v>
      </c>
      <c r="B1825">
        <v>22</v>
      </c>
      <c r="C1825">
        <v>0</v>
      </c>
      <c r="D1825">
        <v>15</v>
      </c>
      <c r="E1825">
        <v>1</v>
      </c>
      <c r="F1825">
        <v>0</v>
      </c>
      <c r="G1825">
        <v>0</v>
      </c>
      <c r="H1825" t="s">
        <v>62</v>
      </c>
      <c r="I1825" t="s">
        <v>105</v>
      </c>
      <c r="J1825">
        <v>525</v>
      </c>
      <c r="K1825" s="3">
        <v>8.5</v>
      </c>
      <c r="L1825">
        <v>4462.5</v>
      </c>
    </row>
    <row r="1826" spans="1:12" x14ac:dyDescent="0.3">
      <c r="A1826">
        <v>19</v>
      </c>
      <c r="B1826">
        <v>23</v>
      </c>
      <c r="C1826">
        <v>3</v>
      </c>
      <c r="D1826">
        <v>0</v>
      </c>
      <c r="E1826">
        <v>1</v>
      </c>
      <c r="F1826">
        <v>0</v>
      </c>
      <c r="G1826">
        <v>6</v>
      </c>
      <c r="H1826" t="s">
        <v>53</v>
      </c>
      <c r="I1826" t="s">
        <v>87</v>
      </c>
      <c r="J1826">
        <v>512</v>
      </c>
      <c r="K1826" s="3">
        <v>7.7</v>
      </c>
      <c r="L1826">
        <v>3942.4</v>
      </c>
    </row>
    <row r="1827" spans="1:12" x14ac:dyDescent="0.3">
      <c r="A1827">
        <v>19</v>
      </c>
      <c r="B1827">
        <v>23</v>
      </c>
      <c r="C1827">
        <v>1</v>
      </c>
      <c r="D1827">
        <v>19</v>
      </c>
      <c r="E1827">
        <v>1</v>
      </c>
      <c r="F1827">
        <v>0</v>
      </c>
      <c r="G1827">
        <v>4</v>
      </c>
      <c r="H1827" t="s">
        <v>24</v>
      </c>
      <c r="I1827" t="s">
        <v>71</v>
      </c>
      <c r="J1827">
        <v>705</v>
      </c>
      <c r="K1827" s="3">
        <v>7.9</v>
      </c>
      <c r="L1827">
        <v>5569.5</v>
      </c>
    </row>
    <row r="1828" spans="1:12" x14ac:dyDescent="0.3">
      <c r="A1828">
        <v>23</v>
      </c>
      <c r="B1828">
        <v>22</v>
      </c>
      <c r="C1828">
        <v>3</v>
      </c>
      <c r="D1828">
        <v>4</v>
      </c>
      <c r="E1828">
        <v>1</v>
      </c>
      <c r="F1828">
        <v>0</v>
      </c>
      <c r="G1828">
        <v>1</v>
      </c>
      <c r="H1828" t="s">
        <v>38</v>
      </c>
      <c r="I1828" t="s">
        <v>87</v>
      </c>
      <c r="J1828">
        <v>410</v>
      </c>
      <c r="K1828" s="3">
        <v>7.4</v>
      </c>
      <c r="L1828">
        <v>3034</v>
      </c>
    </row>
    <row r="1829" spans="1:12" x14ac:dyDescent="0.3">
      <c r="A1829">
        <v>13</v>
      </c>
      <c r="B1829">
        <v>23</v>
      </c>
      <c r="C1829">
        <v>2</v>
      </c>
      <c r="D1829">
        <v>17</v>
      </c>
      <c r="E1829">
        <v>1</v>
      </c>
      <c r="F1829">
        <v>0</v>
      </c>
      <c r="G1829">
        <v>4</v>
      </c>
      <c r="H1829" t="s">
        <v>35</v>
      </c>
      <c r="I1829" t="s">
        <v>70</v>
      </c>
      <c r="J1829">
        <v>532</v>
      </c>
      <c r="K1829">
        <v>8.1999999999999993</v>
      </c>
      <c r="L1829">
        <v>4362.3999999999996</v>
      </c>
    </row>
    <row r="1830" spans="1:12" x14ac:dyDescent="0.3">
      <c r="A1830">
        <v>21</v>
      </c>
      <c r="B1830">
        <v>22</v>
      </c>
      <c r="C1830">
        <v>0</v>
      </c>
      <c r="D1830">
        <v>7</v>
      </c>
      <c r="E1830">
        <v>1</v>
      </c>
      <c r="F1830">
        <v>0</v>
      </c>
      <c r="G1830">
        <v>1</v>
      </c>
      <c r="H1830" t="s">
        <v>26</v>
      </c>
      <c r="I1830" t="s">
        <v>75</v>
      </c>
      <c r="J1830">
        <v>363</v>
      </c>
      <c r="K1830" s="3">
        <v>8.5</v>
      </c>
      <c r="L1830">
        <v>3085.5</v>
      </c>
    </row>
    <row r="1831" spans="1:12" x14ac:dyDescent="0.3">
      <c r="A1831">
        <v>21</v>
      </c>
      <c r="B1831">
        <v>22</v>
      </c>
      <c r="C1831">
        <v>1</v>
      </c>
      <c r="D1831">
        <v>20</v>
      </c>
      <c r="E1831">
        <v>12</v>
      </c>
      <c r="F1831">
        <v>0</v>
      </c>
      <c r="G1831">
        <v>11</v>
      </c>
      <c r="H1831" t="s">
        <v>16</v>
      </c>
      <c r="I1831" t="s">
        <v>80</v>
      </c>
      <c r="J1831">
        <v>557</v>
      </c>
      <c r="K1831" s="3">
        <v>8.9</v>
      </c>
      <c r="L1831">
        <v>4957.3</v>
      </c>
    </row>
    <row r="1832" spans="1:12" x14ac:dyDescent="0.3">
      <c r="A1832">
        <v>7</v>
      </c>
      <c r="B1832">
        <v>21</v>
      </c>
      <c r="C1832">
        <v>2</v>
      </c>
      <c r="D1832">
        <v>3</v>
      </c>
      <c r="E1832">
        <v>1</v>
      </c>
      <c r="F1832">
        <v>0</v>
      </c>
      <c r="G1832">
        <v>1</v>
      </c>
      <c r="H1832" t="s">
        <v>369</v>
      </c>
      <c r="I1832" t="s">
        <v>90</v>
      </c>
      <c r="J1832">
        <v>428</v>
      </c>
      <c r="K1832" s="3">
        <v>8.1</v>
      </c>
      <c r="L1832">
        <v>3466.7999999999902</v>
      </c>
    </row>
    <row r="1833" spans="1:12" x14ac:dyDescent="0.3">
      <c r="A1833">
        <v>23</v>
      </c>
      <c r="B1833">
        <v>22</v>
      </c>
      <c r="C1833">
        <v>1</v>
      </c>
      <c r="D1833">
        <v>8</v>
      </c>
      <c r="E1833">
        <v>1</v>
      </c>
      <c r="F1833">
        <v>0</v>
      </c>
      <c r="G1833">
        <v>5</v>
      </c>
      <c r="H1833" t="s">
        <v>369</v>
      </c>
      <c r="I1833" t="s">
        <v>80</v>
      </c>
      <c r="J1833">
        <v>483</v>
      </c>
      <c r="K1833" s="3">
        <v>9.1</v>
      </c>
      <c r="L1833">
        <v>4395.3</v>
      </c>
    </row>
    <row r="1834" spans="1:12" x14ac:dyDescent="0.3">
      <c r="A1834">
        <v>21</v>
      </c>
      <c r="B1834">
        <v>22</v>
      </c>
      <c r="C1834">
        <v>2</v>
      </c>
      <c r="D1834">
        <v>11</v>
      </c>
      <c r="E1834">
        <v>1</v>
      </c>
      <c r="F1834">
        <v>0</v>
      </c>
      <c r="G1834">
        <v>0</v>
      </c>
      <c r="H1834" t="s">
        <v>21</v>
      </c>
      <c r="I1834" t="s">
        <v>99</v>
      </c>
      <c r="J1834">
        <v>666</v>
      </c>
      <c r="K1834" s="3">
        <v>8.6999999999999993</v>
      </c>
      <c r="L1834">
        <v>5794.2</v>
      </c>
    </row>
    <row r="1835" spans="1:12" x14ac:dyDescent="0.3">
      <c r="A1835">
        <v>6</v>
      </c>
      <c r="B1835">
        <v>23</v>
      </c>
      <c r="C1835">
        <v>1</v>
      </c>
      <c r="D1835">
        <v>16</v>
      </c>
      <c r="E1835">
        <v>1</v>
      </c>
      <c r="F1835">
        <v>0</v>
      </c>
      <c r="G1835">
        <v>1</v>
      </c>
      <c r="H1835" t="s">
        <v>41</v>
      </c>
      <c r="I1835" t="s">
        <v>126</v>
      </c>
      <c r="J1835">
        <v>594</v>
      </c>
      <c r="K1835" s="3">
        <v>7.6</v>
      </c>
      <c r="L1835">
        <v>4514.3999999999996</v>
      </c>
    </row>
    <row r="1836" spans="1:12" x14ac:dyDescent="0.3">
      <c r="A1836">
        <v>14</v>
      </c>
      <c r="B1836">
        <v>23</v>
      </c>
      <c r="C1836">
        <v>0</v>
      </c>
      <c r="D1836">
        <v>20</v>
      </c>
      <c r="E1836">
        <v>1</v>
      </c>
      <c r="F1836">
        <v>0</v>
      </c>
      <c r="G1836">
        <v>9</v>
      </c>
      <c r="H1836" t="s">
        <v>42</v>
      </c>
      <c r="I1836" t="s">
        <v>368</v>
      </c>
      <c r="J1836">
        <v>547</v>
      </c>
      <c r="K1836">
        <v>7.8</v>
      </c>
      <c r="L1836">
        <v>4266.5999999999904</v>
      </c>
    </row>
    <row r="1837" spans="1:12" x14ac:dyDescent="0.3">
      <c r="A1837">
        <v>16</v>
      </c>
      <c r="B1837">
        <v>23</v>
      </c>
      <c r="C1837">
        <v>2</v>
      </c>
      <c r="D1837">
        <v>13</v>
      </c>
      <c r="E1837">
        <v>1</v>
      </c>
      <c r="F1837">
        <v>0</v>
      </c>
      <c r="G1837">
        <v>4</v>
      </c>
      <c r="H1837" t="s">
        <v>27</v>
      </c>
      <c r="I1837" t="s">
        <v>70</v>
      </c>
      <c r="J1837">
        <v>638</v>
      </c>
      <c r="K1837" s="3">
        <v>8.4</v>
      </c>
      <c r="L1837">
        <v>5359.2</v>
      </c>
    </row>
    <row r="1838" spans="1:12" x14ac:dyDescent="0.3">
      <c r="A1838">
        <v>14</v>
      </c>
      <c r="B1838">
        <v>22</v>
      </c>
      <c r="C1838">
        <v>1</v>
      </c>
      <c r="D1838">
        <v>7</v>
      </c>
      <c r="E1838">
        <v>1</v>
      </c>
      <c r="F1838">
        <v>0</v>
      </c>
      <c r="G1838">
        <v>9</v>
      </c>
      <c r="H1838" t="s">
        <v>30</v>
      </c>
      <c r="I1838" t="s">
        <v>78</v>
      </c>
      <c r="J1838">
        <v>369</v>
      </c>
      <c r="K1838" s="3">
        <v>9.1999999999999993</v>
      </c>
      <c r="L1838">
        <v>3394.7999999999902</v>
      </c>
    </row>
    <row r="1839" spans="1:12" x14ac:dyDescent="0.3">
      <c r="A1839">
        <v>5</v>
      </c>
      <c r="B1839">
        <v>22</v>
      </c>
      <c r="C1839">
        <v>1</v>
      </c>
      <c r="D1839">
        <v>14</v>
      </c>
      <c r="E1839">
        <v>1</v>
      </c>
      <c r="F1839">
        <v>0</v>
      </c>
      <c r="G1839">
        <v>10</v>
      </c>
      <c r="H1839" t="s">
        <v>33</v>
      </c>
      <c r="I1839" t="s">
        <v>84</v>
      </c>
      <c r="J1839">
        <v>510</v>
      </c>
      <c r="K1839" s="3">
        <v>9.3000000000000007</v>
      </c>
      <c r="L1839">
        <v>4743</v>
      </c>
    </row>
    <row r="1840" spans="1:12" x14ac:dyDescent="0.3">
      <c r="A1840">
        <v>12</v>
      </c>
      <c r="B1840">
        <v>23</v>
      </c>
      <c r="C1840">
        <v>1</v>
      </c>
      <c r="D1840">
        <v>22</v>
      </c>
      <c r="E1840">
        <v>1</v>
      </c>
      <c r="F1840">
        <v>0</v>
      </c>
      <c r="G1840">
        <v>11</v>
      </c>
      <c r="H1840" t="s">
        <v>12</v>
      </c>
      <c r="I1840" t="s">
        <v>134</v>
      </c>
      <c r="J1840">
        <v>459</v>
      </c>
      <c r="K1840" s="3">
        <v>8.1</v>
      </c>
      <c r="L1840">
        <v>3717.8999999999901</v>
      </c>
    </row>
    <row r="1841" spans="1:12" x14ac:dyDescent="0.3">
      <c r="A1841">
        <v>19</v>
      </c>
      <c r="B1841">
        <v>22</v>
      </c>
      <c r="C1841">
        <v>3</v>
      </c>
      <c r="D1841">
        <v>13</v>
      </c>
      <c r="E1841">
        <v>1</v>
      </c>
      <c r="F1841">
        <v>0</v>
      </c>
      <c r="G1841">
        <v>11</v>
      </c>
      <c r="H1841" t="s">
        <v>369</v>
      </c>
      <c r="I1841" t="s">
        <v>72</v>
      </c>
      <c r="J1841">
        <v>706</v>
      </c>
      <c r="K1841" s="3">
        <v>7.8</v>
      </c>
      <c r="L1841">
        <v>5506.8</v>
      </c>
    </row>
    <row r="1842" spans="1:12" x14ac:dyDescent="0.3">
      <c r="A1842">
        <v>23</v>
      </c>
      <c r="B1842">
        <v>23</v>
      </c>
      <c r="C1842">
        <v>3</v>
      </c>
      <c r="D1842">
        <v>18</v>
      </c>
      <c r="E1842">
        <v>1</v>
      </c>
      <c r="F1842">
        <v>0</v>
      </c>
      <c r="G1842">
        <v>2</v>
      </c>
      <c r="H1842" t="s">
        <v>33</v>
      </c>
      <c r="I1842" t="s">
        <v>92</v>
      </c>
      <c r="J1842">
        <v>608</v>
      </c>
      <c r="K1842" s="3">
        <v>9.3000000000000007</v>
      </c>
      <c r="L1842">
        <v>5654.4</v>
      </c>
    </row>
    <row r="1843" spans="1:12" x14ac:dyDescent="0.3">
      <c r="A1843">
        <v>22</v>
      </c>
      <c r="B1843">
        <v>23</v>
      </c>
      <c r="C1843">
        <v>0</v>
      </c>
      <c r="D1843">
        <v>21</v>
      </c>
      <c r="E1843">
        <v>1</v>
      </c>
      <c r="F1843">
        <v>0</v>
      </c>
      <c r="G1843">
        <v>1</v>
      </c>
      <c r="H1843" t="s">
        <v>47</v>
      </c>
      <c r="I1843" t="s">
        <v>70</v>
      </c>
      <c r="J1843">
        <v>576</v>
      </c>
      <c r="K1843" s="3">
        <v>9.1</v>
      </c>
      <c r="L1843">
        <v>5241.5999999999904</v>
      </c>
    </row>
    <row r="1844" spans="1:12" x14ac:dyDescent="0.3">
      <c r="A1844">
        <v>17</v>
      </c>
      <c r="B1844">
        <v>22</v>
      </c>
      <c r="C1844">
        <v>3</v>
      </c>
      <c r="D1844">
        <v>4</v>
      </c>
      <c r="E1844">
        <v>1</v>
      </c>
      <c r="F1844">
        <v>0</v>
      </c>
      <c r="G1844">
        <v>12</v>
      </c>
      <c r="H1844" t="s">
        <v>26</v>
      </c>
      <c r="I1844" t="s">
        <v>94</v>
      </c>
      <c r="J1844">
        <v>593</v>
      </c>
      <c r="K1844" s="3">
        <v>8.5</v>
      </c>
      <c r="L1844">
        <v>5040.5</v>
      </c>
    </row>
    <row r="1845" spans="1:12" x14ac:dyDescent="0.3">
      <c r="A1845">
        <v>13</v>
      </c>
      <c r="B1845">
        <v>22</v>
      </c>
      <c r="C1845">
        <v>2</v>
      </c>
      <c r="D1845">
        <v>13</v>
      </c>
      <c r="E1845">
        <v>1</v>
      </c>
      <c r="F1845">
        <v>0</v>
      </c>
      <c r="G1845">
        <v>5</v>
      </c>
      <c r="H1845" t="s">
        <v>50</v>
      </c>
      <c r="I1845" t="s">
        <v>81</v>
      </c>
      <c r="J1845">
        <v>451</v>
      </c>
      <c r="K1845">
        <v>9.3000000000000007</v>
      </c>
      <c r="L1845">
        <v>4194.3</v>
      </c>
    </row>
    <row r="1846" spans="1:12" x14ac:dyDescent="0.3">
      <c r="A1846">
        <v>23</v>
      </c>
      <c r="B1846">
        <v>23</v>
      </c>
      <c r="C1846">
        <v>3</v>
      </c>
      <c r="D1846">
        <v>9</v>
      </c>
      <c r="E1846">
        <v>1</v>
      </c>
      <c r="F1846">
        <v>0</v>
      </c>
      <c r="G1846">
        <v>8</v>
      </c>
      <c r="H1846" t="s">
        <v>27</v>
      </c>
      <c r="I1846" t="s">
        <v>74</v>
      </c>
      <c r="J1846">
        <v>537</v>
      </c>
      <c r="K1846" s="3">
        <v>8.4</v>
      </c>
      <c r="L1846">
        <v>4510.8</v>
      </c>
    </row>
    <row r="1847" spans="1:12" x14ac:dyDescent="0.3">
      <c r="A1847">
        <v>20</v>
      </c>
      <c r="B1847">
        <v>22</v>
      </c>
      <c r="C1847">
        <v>0</v>
      </c>
      <c r="D1847">
        <v>15</v>
      </c>
      <c r="E1847">
        <v>0</v>
      </c>
      <c r="F1847">
        <v>0</v>
      </c>
      <c r="G1847">
        <v>11</v>
      </c>
      <c r="H1847" t="s">
        <v>30</v>
      </c>
      <c r="I1847" t="s">
        <v>92</v>
      </c>
      <c r="J1847">
        <v>441</v>
      </c>
      <c r="K1847" s="3">
        <v>9.1999999999999993</v>
      </c>
      <c r="L1847">
        <v>4057.2</v>
      </c>
    </row>
    <row r="1848" spans="1:12" x14ac:dyDescent="0.3">
      <c r="A1848">
        <v>6</v>
      </c>
      <c r="B1848">
        <v>17</v>
      </c>
      <c r="C1848">
        <v>0</v>
      </c>
      <c r="D1848">
        <v>15</v>
      </c>
      <c r="E1848">
        <v>1</v>
      </c>
      <c r="F1848">
        <v>0</v>
      </c>
      <c r="G1848">
        <v>12</v>
      </c>
      <c r="H1848" t="s">
        <v>47</v>
      </c>
      <c r="I1848" t="s">
        <v>71</v>
      </c>
      <c r="J1848">
        <v>445</v>
      </c>
      <c r="K1848" s="3">
        <v>9.1</v>
      </c>
      <c r="L1848">
        <v>4049.5</v>
      </c>
    </row>
    <row r="1849" spans="1:12" x14ac:dyDescent="0.3">
      <c r="A1849">
        <v>19</v>
      </c>
      <c r="B1849">
        <v>0</v>
      </c>
      <c r="C1849">
        <v>2</v>
      </c>
      <c r="D1849">
        <v>19</v>
      </c>
      <c r="E1849">
        <v>1</v>
      </c>
      <c r="F1849">
        <v>0</v>
      </c>
      <c r="G1849">
        <v>9</v>
      </c>
      <c r="H1849" t="s">
        <v>36</v>
      </c>
      <c r="I1849" t="s">
        <v>368</v>
      </c>
      <c r="J1849">
        <v>678</v>
      </c>
      <c r="K1849">
        <v>8.8000000000000007</v>
      </c>
      <c r="L1849">
        <v>5966.4</v>
      </c>
    </row>
    <row r="1850" spans="1:12" x14ac:dyDescent="0.3">
      <c r="A1850">
        <v>18</v>
      </c>
      <c r="B1850">
        <v>23</v>
      </c>
      <c r="C1850">
        <v>3</v>
      </c>
      <c r="D1850">
        <v>16</v>
      </c>
      <c r="E1850">
        <v>1</v>
      </c>
      <c r="F1850">
        <v>0</v>
      </c>
      <c r="G1850">
        <v>4</v>
      </c>
      <c r="H1850" t="s">
        <v>32</v>
      </c>
      <c r="I1850" t="s">
        <v>108</v>
      </c>
      <c r="J1850">
        <v>670</v>
      </c>
      <c r="K1850" s="3">
        <v>7.6</v>
      </c>
      <c r="L1850">
        <v>5092</v>
      </c>
    </row>
    <row r="1851" spans="1:12" x14ac:dyDescent="0.3">
      <c r="A1851">
        <v>19</v>
      </c>
      <c r="B1851">
        <v>22</v>
      </c>
      <c r="C1851">
        <v>3</v>
      </c>
      <c r="D1851">
        <v>11</v>
      </c>
      <c r="E1851">
        <v>1</v>
      </c>
      <c r="F1851">
        <v>0</v>
      </c>
      <c r="G1851">
        <v>12</v>
      </c>
      <c r="H1851" t="s">
        <v>33</v>
      </c>
      <c r="I1851" t="s">
        <v>74</v>
      </c>
      <c r="J1851">
        <v>632</v>
      </c>
      <c r="K1851" s="3">
        <v>9.3000000000000007</v>
      </c>
      <c r="L1851">
        <v>0</v>
      </c>
    </row>
    <row r="1852" spans="1:12" x14ac:dyDescent="0.3">
      <c r="A1852">
        <v>23</v>
      </c>
      <c r="B1852">
        <v>22</v>
      </c>
      <c r="C1852">
        <v>1</v>
      </c>
      <c r="D1852">
        <v>9</v>
      </c>
      <c r="E1852">
        <v>12</v>
      </c>
      <c r="F1852">
        <v>0</v>
      </c>
      <c r="G1852">
        <v>1</v>
      </c>
      <c r="H1852" t="s">
        <v>20</v>
      </c>
      <c r="I1852" t="s">
        <v>107</v>
      </c>
      <c r="J1852">
        <v>531</v>
      </c>
      <c r="K1852" s="3">
        <v>9.1</v>
      </c>
      <c r="L1852">
        <v>4832.0999999999904</v>
      </c>
    </row>
    <row r="1853" spans="1:12" x14ac:dyDescent="0.3">
      <c r="A1853">
        <v>9</v>
      </c>
      <c r="B1853">
        <v>20</v>
      </c>
      <c r="C1853">
        <v>3</v>
      </c>
      <c r="D1853">
        <v>9</v>
      </c>
      <c r="E1853">
        <v>1</v>
      </c>
      <c r="F1853">
        <v>0</v>
      </c>
      <c r="G1853">
        <v>3</v>
      </c>
      <c r="H1853" t="s">
        <v>33</v>
      </c>
      <c r="I1853" t="s">
        <v>104</v>
      </c>
      <c r="J1853">
        <v>588</v>
      </c>
      <c r="K1853" s="3">
        <v>9.3000000000000007</v>
      </c>
      <c r="L1853">
        <v>5468.4</v>
      </c>
    </row>
    <row r="1854" spans="1:12" x14ac:dyDescent="0.3">
      <c r="A1854">
        <v>18</v>
      </c>
      <c r="B1854">
        <v>0</v>
      </c>
      <c r="C1854">
        <v>0</v>
      </c>
      <c r="D1854">
        <v>17</v>
      </c>
      <c r="E1854">
        <v>1</v>
      </c>
      <c r="F1854">
        <v>0</v>
      </c>
      <c r="G1854">
        <v>2</v>
      </c>
      <c r="H1854" t="s">
        <v>25</v>
      </c>
      <c r="I1854" t="s">
        <v>96</v>
      </c>
      <c r="J1854">
        <v>411</v>
      </c>
      <c r="K1854" s="3">
        <v>8.1</v>
      </c>
      <c r="L1854">
        <v>3329.1</v>
      </c>
    </row>
    <row r="1855" spans="1:12" x14ac:dyDescent="0.3">
      <c r="A1855">
        <v>8</v>
      </c>
      <c r="B1855">
        <v>20</v>
      </c>
      <c r="C1855">
        <v>2</v>
      </c>
      <c r="D1855">
        <v>7</v>
      </c>
      <c r="E1855">
        <v>1</v>
      </c>
      <c r="F1855">
        <v>0</v>
      </c>
      <c r="G1855">
        <v>2</v>
      </c>
      <c r="H1855" t="s">
        <v>22</v>
      </c>
      <c r="I1855" t="s">
        <v>96</v>
      </c>
      <c r="J1855">
        <v>280</v>
      </c>
      <c r="K1855" s="3">
        <v>7.8</v>
      </c>
      <c r="L1855">
        <v>2184</v>
      </c>
    </row>
    <row r="1856" spans="1:12" x14ac:dyDescent="0.3">
      <c r="A1856">
        <v>11</v>
      </c>
      <c r="B1856">
        <v>23</v>
      </c>
      <c r="C1856">
        <v>1</v>
      </c>
      <c r="D1856">
        <v>20</v>
      </c>
      <c r="E1856">
        <v>1</v>
      </c>
      <c r="F1856">
        <v>0</v>
      </c>
      <c r="G1856">
        <v>6</v>
      </c>
      <c r="H1856" t="s">
        <v>32</v>
      </c>
      <c r="I1856" t="s">
        <v>87</v>
      </c>
      <c r="J1856">
        <v>0</v>
      </c>
      <c r="K1856" s="3">
        <v>0</v>
      </c>
      <c r="L1856">
        <v>4560</v>
      </c>
    </row>
    <row r="1857" spans="1:12" x14ac:dyDescent="0.3">
      <c r="A1857">
        <v>19</v>
      </c>
      <c r="B1857">
        <v>22</v>
      </c>
      <c r="C1857">
        <v>3</v>
      </c>
      <c r="D1857">
        <v>9</v>
      </c>
      <c r="E1857">
        <v>1</v>
      </c>
      <c r="F1857">
        <v>0</v>
      </c>
      <c r="G1857">
        <v>4</v>
      </c>
      <c r="H1857" t="s">
        <v>64</v>
      </c>
      <c r="I1857" t="s">
        <v>106</v>
      </c>
      <c r="J1857">
        <v>527</v>
      </c>
      <c r="K1857" s="3">
        <v>8.1999999999999993</v>
      </c>
      <c r="L1857">
        <v>4321.3999999999996</v>
      </c>
    </row>
    <row r="1858" spans="1:12" x14ac:dyDescent="0.3">
      <c r="A1858">
        <v>13</v>
      </c>
      <c r="B1858">
        <v>0</v>
      </c>
      <c r="C1858">
        <v>2</v>
      </c>
      <c r="D1858">
        <v>17</v>
      </c>
      <c r="E1858">
        <v>1</v>
      </c>
      <c r="F1858">
        <v>0</v>
      </c>
      <c r="G1858">
        <v>5</v>
      </c>
      <c r="H1858" t="s">
        <v>30</v>
      </c>
      <c r="I1858" t="s">
        <v>92</v>
      </c>
      <c r="J1858">
        <v>686</v>
      </c>
      <c r="K1858">
        <v>9.1999999999999993</v>
      </c>
      <c r="L1858">
        <v>6311.2</v>
      </c>
    </row>
    <row r="1859" spans="1:12" x14ac:dyDescent="0.3">
      <c r="A1859">
        <v>14</v>
      </c>
      <c r="B1859">
        <v>22</v>
      </c>
      <c r="C1859">
        <v>2</v>
      </c>
      <c r="D1859">
        <v>0</v>
      </c>
      <c r="E1859">
        <v>1</v>
      </c>
      <c r="F1859">
        <v>0</v>
      </c>
      <c r="G1859">
        <v>11</v>
      </c>
      <c r="H1859" t="s">
        <v>34</v>
      </c>
      <c r="I1859" t="s">
        <v>93</v>
      </c>
      <c r="J1859">
        <v>593</v>
      </c>
      <c r="K1859" s="3">
        <v>7.6</v>
      </c>
      <c r="L1859">
        <v>4506.8</v>
      </c>
    </row>
    <row r="1860" spans="1:12" x14ac:dyDescent="0.3">
      <c r="A1860">
        <v>15</v>
      </c>
      <c r="B1860">
        <v>23</v>
      </c>
      <c r="C1860">
        <v>1</v>
      </c>
      <c r="D1860">
        <v>21</v>
      </c>
      <c r="E1860">
        <v>1</v>
      </c>
      <c r="F1860">
        <v>0</v>
      </c>
      <c r="G1860">
        <v>2</v>
      </c>
      <c r="H1860" t="s">
        <v>15</v>
      </c>
      <c r="I1860" t="s">
        <v>83</v>
      </c>
      <c r="J1860">
        <v>592</v>
      </c>
      <c r="K1860" s="3">
        <v>8.3000000000000007</v>
      </c>
      <c r="L1860">
        <v>4913.6000000000004</v>
      </c>
    </row>
    <row r="1861" spans="1:12" x14ac:dyDescent="0.3">
      <c r="A1861">
        <v>11</v>
      </c>
      <c r="B1861">
        <v>0</v>
      </c>
      <c r="C1861">
        <v>2</v>
      </c>
      <c r="D1861">
        <v>9</v>
      </c>
      <c r="E1861">
        <v>1</v>
      </c>
      <c r="F1861">
        <v>0</v>
      </c>
      <c r="G1861">
        <v>2</v>
      </c>
      <c r="H1861" t="s">
        <v>35</v>
      </c>
      <c r="I1861" t="s">
        <v>95</v>
      </c>
      <c r="J1861">
        <v>356</v>
      </c>
      <c r="K1861" s="3">
        <v>8.1999999999999993</v>
      </c>
      <c r="L1861">
        <v>2919.2</v>
      </c>
    </row>
    <row r="1862" spans="1:12" x14ac:dyDescent="0.3">
      <c r="A1862">
        <v>15</v>
      </c>
      <c r="B1862">
        <v>22</v>
      </c>
      <c r="C1862">
        <v>2</v>
      </c>
      <c r="D1862">
        <v>12</v>
      </c>
      <c r="E1862">
        <v>1</v>
      </c>
      <c r="F1862">
        <v>0</v>
      </c>
      <c r="G1862">
        <v>6</v>
      </c>
      <c r="H1862" t="s">
        <v>48</v>
      </c>
      <c r="I1862" t="s">
        <v>106</v>
      </c>
      <c r="J1862">
        <v>483</v>
      </c>
      <c r="K1862" s="3">
        <v>8.6999999999999993</v>
      </c>
      <c r="L1862">
        <v>4202.0999999999904</v>
      </c>
    </row>
    <row r="1863" spans="1:12" x14ac:dyDescent="0.3">
      <c r="A1863">
        <v>7</v>
      </c>
      <c r="B1863">
        <v>20</v>
      </c>
      <c r="C1863">
        <v>2</v>
      </c>
      <c r="D1863">
        <v>4</v>
      </c>
      <c r="E1863">
        <v>1</v>
      </c>
      <c r="F1863">
        <v>0</v>
      </c>
      <c r="G1863">
        <v>6</v>
      </c>
      <c r="H1863" t="s">
        <v>16</v>
      </c>
      <c r="I1863" t="s">
        <v>131</v>
      </c>
      <c r="J1863">
        <v>314</v>
      </c>
      <c r="K1863" s="3">
        <v>8.9</v>
      </c>
      <c r="L1863">
        <v>2794.6</v>
      </c>
    </row>
    <row r="1864" spans="1:12" x14ac:dyDescent="0.3">
      <c r="A1864">
        <v>14</v>
      </c>
      <c r="B1864">
        <v>22</v>
      </c>
      <c r="C1864">
        <v>2</v>
      </c>
      <c r="D1864">
        <v>14</v>
      </c>
      <c r="E1864">
        <v>12</v>
      </c>
      <c r="F1864">
        <v>0</v>
      </c>
      <c r="G1864">
        <v>2</v>
      </c>
      <c r="H1864" t="s">
        <v>22</v>
      </c>
      <c r="I1864" t="s">
        <v>90</v>
      </c>
      <c r="J1864">
        <v>632</v>
      </c>
      <c r="K1864" s="3">
        <v>7.8</v>
      </c>
      <c r="L1864">
        <v>4929.5999999999904</v>
      </c>
    </row>
    <row r="1865" spans="1:12" x14ac:dyDescent="0.3">
      <c r="A1865">
        <v>8</v>
      </c>
      <c r="B1865">
        <v>22</v>
      </c>
      <c r="C1865">
        <v>1</v>
      </c>
      <c r="D1865">
        <v>11</v>
      </c>
      <c r="E1865">
        <v>1</v>
      </c>
      <c r="F1865">
        <v>0</v>
      </c>
      <c r="G1865">
        <v>6</v>
      </c>
      <c r="H1865" t="s">
        <v>23</v>
      </c>
      <c r="I1865" t="s">
        <v>72</v>
      </c>
      <c r="J1865">
        <v>447</v>
      </c>
      <c r="K1865" s="3">
        <v>8.4</v>
      </c>
      <c r="L1865">
        <v>0</v>
      </c>
    </row>
    <row r="1866" spans="1:12" x14ac:dyDescent="0.3">
      <c r="A1866">
        <v>9</v>
      </c>
      <c r="B1866">
        <v>22</v>
      </c>
      <c r="C1866">
        <v>2</v>
      </c>
      <c r="D1866">
        <v>16</v>
      </c>
      <c r="E1866">
        <v>7</v>
      </c>
      <c r="F1866">
        <v>0</v>
      </c>
      <c r="G1866">
        <v>9</v>
      </c>
      <c r="H1866" t="s">
        <v>14</v>
      </c>
      <c r="I1866" t="s">
        <v>80</v>
      </c>
      <c r="J1866">
        <v>493</v>
      </c>
      <c r="K1866" s="3">
        <v>8.9</v>
      </c>
      <c r="L1866">
        <v>4387.7</v>
      </c>
    </row>
    <row r="1867" spans="1:12" x14ac:dyDescent="0.3">
      <c r="A1867">
        <v>5</v>
      </c>
      <c r="B1867">
        <v>20</v>
      </c>
      <c r="C1867">
        <v>1</v>
      </c>
      <c r="D1867">
        <v>3</v>
      </c>
      <c r="E1867">
        <v>7</v>
      </c>
      <c r="F1867">
        <v>0</v>
      </c>
      <c r="G1867">
        <v>4</v>
      </c>
      <c r="H1867" t="s">
        <v>38</v>
      </c>
      <c r="I1867" t="s">
        <v>123</v>
      </c>
      <c r="J1867">
        <v>239</v>
      </c>
      <c r="K1867" s="3">
        <v>7.4</v>
      </c>
      <c r="L1867">
        <v>1768.6</v>
      </c>
    </row>
    <row r="1868" spans="1:12" x14ac:dyDescent="0.3">
      <c r="A1868">
        <v>9</v>
      </c>
      <c r="B1868">
        <v>23</v>
      </c>
      <c r="C1868">
        <v>2</v>
      </c>
      <c r="D1868">
        <v>7</v>
      </c>
      <c r="E1868">
        <v>1</v>
      </c>
      <c r="F1868">
        <v>0</v>
      </c>
      <c r="G1868">
        <v>4</v>
      </c>
      <c r="H1868" t="s">
        <v>35</v>
      </c>
      <c r="I1868" t="s">
        <v>89</v>
      </c>
      <c r="J1868">
        <v>412</v>
      </c>
      <c r="K1868" s="3">
        <v>8.1999999999999993</v>
      </c>
      <c r="L1868">
        <v>3378.3999999999901</v>
      </c>
    </row>
    <row r="1869" spans="1:12" x14ac:dyDescent="0.3">
      <c r="A1869">
        <v>15</v>
      </c>
      <c r="B1869">
        <v>23</v>
      </c>
      <c r="C1869">
        <v>3</v>
      </c>
      <c r="D1869">
        <v>15</v>
      </c>
      <c r="E1869">
        <v>1</v>
      </c>
      <c r="F1869">
        <v>0</v>
      </c>
      <c r="G1869">
        <v>12</v>
      </c>
      <c r="H1869" t="s">
        <v>32</v>
      </c>
      <c r="I1869" t="s">
        <v>368</v>
      </c>
      <c r="J1869">
        <v>514</v>
      </c>
      <c r="K1869" s="3">
        <v>7.6</v>
      </c>
      <c r="L1869">
        <v>3906.3999999999901</v>
      </c>
    </row>
    <row r="1870" spans="1:12" x14ac:dyDescent="0.3">
      <c r="A1870">
        <v>23</v>
      </c>
      <c r="B1870">
        <v>22</v>
      </c>
      <c r="C1870">
        <v>3</v>
      </c>
      <c r="D1870">
        <v>18</v>
      </c>
      <c r="E1870">
        <v>1</v>
      </c>
      <c r="F1870">
        <v>0</v>
      </c>
      <c r="G1870">
        <v>4</v>
      </c>
      <c r="H1870" t="s">
        <v>25</v>
      </c>
      <c r="I1870" t="s">
        <v>85</v>
      </c>
      <c r="J1870">
        <v>653</v>
      </c>
      <c r="K1870" s="3">
        <v>8.1</v>
      </c>
      <c r="L1870">
        <v>5289.3</v>
      </c>
    </row>
    <row r="1871" spans="1:12" x14ac:dyDescent="0.3">
      <c r="A1871">
        <v>22</v>
      </c>
      <c r="B1871">
        <v>23</v>
      </c>
      <c r="C1871">
        <v>0</v>
      </c>
      <c r="D1871">
        <v>10</v>
      </c>
      <c r="E1871">
        <v>1</v>
      </c>
      <c r="F1871">
        <v>0</v>
      </c>
      <c r="G1871">
        <v>6</v>
      </c>
      <c r="H1871" t="s">
        <v>23</v>
      </c>
      <c r="I1871" t="s">
        <v>91</v>
      </c>
      <c r="J1871">
        <v>417</v>
      </c>
      <c r="K1871" s="3">
        <v>8.4</v>
      </c>
      <c r="L1871">
        <v>3502.8</v>
      </c>
    </row>
    <row r="1872" spans="1:12" x14ac:dyDescent="0.3">
      <c r="A1872">
        <v>12</v>
      </c>
      <c r="B1872">
        <v>23</v>
      </c>
      <c r="C1872">
        <v>3</v>
      </c>
      <c r="D1872">
        <v>9</v>
      </c>
      <c r="E1872">
        <v>1</v>
      </c>
      <c r="F1872">
        <v>0</v>
      </c>
      <c r="G1872">
        <v>3</v>
      </c>
      <c r="H1872" t="s">
        <v>35</v>
      </c>
      <c r="I1872" t="s">
        <v>74</v>
      </c>
      <c r="J1872">
        <v>498</v>
      </c>
      <c r="K1872" s="3">
        <v>8.1999999999999993</v>
      </c>
      <c r="L1872">
        <v>4083.5999999999899</v>
      </c>
    </row>
    <row r="1873" spans="1:12" x14ac:dyDescent="0.3">
      <c r="A1873">
        <v>5</v>
      </c>
      <c r="B1873">
        <v>18</v>
      </c>
      <c r="C1873">
        <v>0</v>
      </c>
      <c r="D1873">
        <v>11</v>
      </c>
      <c r="E1873">
        <v>1</v>
      </c>
      <c r="F1873">
        <v>0</v>
      </c>
      <c r="G1873">
        <v>11</v>
      </c>
      <c r="H1873" t="s">
        <v>36</v>
      </c>
      <c r="I1873" t="s">
        <v>99</v>
      </c>
      <c r="J1873">
        <v>187</v>
      </c>
      <c r="K1873" s="3">
        <v>8.8000000000000007</v>
      </c>
      <c r="L1873">
        <v>1645.6</v>
      </c>
    </row>
    <row r="1874" spans="1:12" x14ac:dyDescent="0.3">
      <c r="A1874">
        <v>15</v>
      </c>
      <c r="B1874">
        <v>0</v>
      </c>
      <c r="C1874">
        <v>2</v>
      </c>
      <c r="D1874">
        <v>13</v>
      </c>
      <c r="E1874">
        <v>1</v>
      </c>
      <c r="F1874">
        <v>0</v>
      </c>
      <c r="G1874">
        <v>2</v>
      </c>
      <c r="H1874" t="s">
        <v>16</v>
      </c>
      <c r="I1874" t="s">
        <v>87</v>
      </c>
      <c r="J1874">
        <v>581</v>
      </c>
      <c r="K1874" s="3">
        <v>8.9</v>
      </c>
      <c r="L1874">
        <v>5170.8999999999996</v>
      </c>
    </row>
    <row r="1875" spans="1:12" x14ac:dyDescent="0.3">
      <c r="A1875">
        <v>13</v>
      </c>
      <c r="B1875">
        <v>22</v>
      </c>
      <c r="C1875">
        <v>1</v>
      </c>
      <c r="D1875">
        <v>5</v>
      </c>
      <c r="E1875">
        <v>12</v>
      </c>
      <c r="F1875">
        <v>0</v>
      </c>
      <c r="G1875">
        <v>6</v>
      </c>
      <c r="H1875" t="s">
        <v>24</v>
      </c>
      <c r="I1875" t="s">
        <v>94</v>
      </c>
      <c r="J1875">
        <v>536</v>
      </c>
      <c r="K1875" s="3">
        <v>7.9</v>
      </c>
      <c r="L1875">
        <v>0</v>
      </c>
    </row>
    <row r="1876" spans="1:12" x14ac:dyDescent="0.3">
      <c r="A1876">
        <v>10</v>
      </c>
      <c r="B1876">
        <v>22</v>
      </c>
      <c r="C1876">
        <v>1</v>
      </c>
      <c r="D1876">
        <v>14</v>
      </c>
      <c r="E1876">
        <v>1</v>
      </c>
      <c r="F1876">
        <v>0</v>
      </c>
      <c r="G1876">
        <v>5</v>
      </c>
      <c r="H1876" t="s">
        <v>32</v>
      </c>
      <c r="I1876" t="s">
        <v>121</v>
      </c>
      <c r="J1876">
        <v>621</v>
      </c>
      <c r="K1876" s="3">
        <v>7.6</v>
      </c>
      <c r="L1876">
        <v>4719.5999999999904</v>
      </c>
    </row>
    <row r="1877" spans="1:12" x14ac:dyDescent="0.3">
      <c r="A1877">
        <v>6</v>
      </c>
      <c r="B1877">
        <v>21</v>
      </c>
      <c r="C1877">
        <v>2</v>
      </c>
      <c r="D1877">
        <v>4</v>
      </c>
      <c r="E1877">
        <v>7</v>
      </c>
      <c r="F1877">
        <v>0</v>
      </c>
      <c r="G1877">
        <v>9</v>
      </c>
      <c r="H1877" t="s">
        <v>22</v>
      </c>
      <c r="I1877" t="s">
        <v>74</v>
      </c>
      <c r="J1877">
        <v>502</v>
      </c>
      <c r="K1877" s="3">
        <v>7.8</v>
      </c>
      <c r="L1877">
        <v>3915.6</v>
      </c>
    </row>
    <row r="1878" spans="1:12" x14ac:dyDescent="0.3">
      <c r="A1878">
        <v>16</v>
      </c>
      <c r="B1878">
        <v>22</v>
      </c>
      <c r="C1878">
        <v>2</v>
      </c>
      <c r="D1878">
        <v>8</v>
      </c>
      <c r="E1878">
        <v>1</v>
      </c>
      <c r="F1878">
        <v>0</v>
      </c>
      <c r="G1878">
        <v>8</v>
      </c>
      <c r="H1878" t="s">
        <v>18</v>
      </c>
      <c r="I1878" t="s">
        <v>74</v>
      </c>
      <c r="J1878">
        <v>361</v>
      </c>
      <c r="K1878" s="3">
        <v>7.7</v>
      </c>
      <c r="L1878">
        <v>2779.7</v>
      </c>
    </row>
    <row r="1879" spans="1:12" x14ac:dyDescent="0.3">
      <c r="A1879">
        <v>21</v>
      </c>
      <c r="B1879">
        <v>22</v>
      </c>
      <c r="C1879">
        <v>0</v>
      </c>
      <c r="D1879">
        <v>22</v>
      </c>
      <c r="E1879">
        <v>1</v>
      </c>
      <c r="F1879">
        <v>0</v>
      </c>
      <c r="G1879">
        <v>11</v>
      </c>
      <c r="H1879" t="s">
        <v>30</v>
      </c>
      <c r="I1879" t="s">
        <v>75</v>
      </c>
      <c r="J1879">
        <v>600</v>
      </c>
      <c r="K1879" s="3">
        <v>9.1999999999999993</v>
      </c>
      <c r="L1879">
        <v>5520</v>
      </c>
    </row>
    <row r="1880" spans="1:12" x14ac:dyDescent="0.3">
      <c r="A1880">
        <v>22</v>
      </c>
      <c r="B1880">
        <v>22</v>
      </c>
      <c r="C1880">
        <v>2</v>
      </c>
      <c r="D1880">
        <v>18</v>
      </c>
      <c r="E1880">
        <v>1</v>
      </c>
      <c r="F1880">
        <v>0</v>
      </c>
      <c r="G1880">
        <v>3</v>
      </c>
      <c r="H1880" t="s">
        <v>46</v>
      </c>
      <c r="I1880" t="s">
        <v>96</v>
      </c>
      <c r="J1880">
        <v>656</v>
      </c>
      <c r="K1880" s="3">
        <v>7.7</v>
      </c>
      <c r="L1880">
        <v>5051.2</v>
      </c>
    </row>
    <row r="1881" spans="1:12" x14ac:dyDescent="0.3">
      <c r="A1881">
        <v>9</v>
      </c>
      <c r="B1881">
        <v>21</v>
      </c>
      <c r="C1881">
        <v>3</v>
      </c>
      <c r="D1881">
        <v>5</v>
      </c>
      <c r="E1881">
        <v>1</v>
      </c>
      <c r="F1881">
        <v>0</v>
      </c>
      <c r="G1881">
        <v>4</v>
      </c>
      <c r="H1881" t="s">
        <v>30</v>
      </c>
      <c r="I1881" t="s">
        <v>368</v>
      </c>
      <c r="J1881">
        <v>384</v>
      </c>
      <c r="K1881" s="3">
        <v>9.1999999999999993</v>
      </c>
      <c r="L1881">
        <v>3532.7999999999902</v>
      </c>
    </row>
    <row r="1882" spans="1:12" x14ac:dyDescent="0.3">
      <c r="A1882">
        <v>15</v>
      </c>
      <c r="B1882">
        <v>23</v>
      </c>
      <c r="C1882">
        <v>1</v>
      </c>
      <c r="D1882">
        <v>14</v>
      </c>
      <c r="E1882">
        <v>1</v>
      </c>
      <c r="F1882">
        <v>0</v>
      </c>
      <c r="G1882">
        <v>1</v>
      </c>
      <c r="H1882" t="s">
        <v>39</v>
      </c>
      <c r="I1882" t="s">
        <v>73</v>
      </c>
      <c r="J1882">
        <v>672</v>
      </c>
      <c r="K1882" s="3">
        <v>8.8000000000000007</v>
      </c>
      <c r="L1882">
        <v>5913.6</v>
      </c>
    </row>
    <row r="1883" spans="1:12" x14ac:dyDescent="0.3">
      <c r="A1883">
        <v>12</v>
      </c>
      <c r="B1883">
        <v>22</v>
      </c>
      <c r="C1883">
        <v>0</v>
      </c>
      <c r="D1883">
        <v>8</v>
      </c>
      <c r="E1883">
        <v>0</v>
      </c>
      <c r="F1883">
        <v>0</v>
      </c>
      <c r="G1883">
        <v>11</v>
      </c>
      <c r="H1883" t="s">
        <v>36</v>
      </c>
      <c r="I1883" t="s">
        <v>88</v>
      </c>
      <c r="J1883">
        <v>332</v>
      </c>
      <c r="K1883" s="3">
        <v>8.8000000000000007</v>
      </c>
      <c r="L1883">
        <v>2921.6</v>
      </c>
    </row>
    <row r="1884" spans="1:12" x14ac:dyDescent="0.3">
      <c r="A1884">
        <v>12</v>
      </c>
      <c r="B1884">
        <v>23</v>
      </c>
      <c r="C1884">
        <v>3</v>
      </c>
      <c r="D1884">
        <v>4</v>
      </c>
      <c r="E1884">
        <v>12</v>
      </c>
      <c r="F1884">
        <v>0</v>
      </c>
      <c r="G1884">
        <v>5</v>
      </c>
      <c r="H1884" t="s">
        <v>54</v>
      </c>
      <c r="I1884" t="s">
        <v>368</v>
      </c>
      <c r="J1884">
        <v>662</v>
      </c>
      <c r="K1884">
        <v>9.1999999999999993</v>
      </c>
      <c r="L1884">
        <v>6090.4</v>
      </c>
    </row>
    <row r="1885" spans="1:12" x14ac:dyDescent="0.3">
      <c r="A1885">
        <v>13</v>
      </c>
      <c r="B1885">
        <v>23</v>
      </c>
      <c r="C1885">
        <v>1</v>
      </c>
      <c r="D1885">
        <v>15</v>
      </c>
      <c r="E1885">
        <v>1</v>
      </c>
      <c r="F1885">
        <v>0</v>
      </c>
      <c r="G1885">
        <v>7</v>
      </c>
      <c r="H1885" t="s">
        <v>26</v>
      </c>
      <c r="I1885" t="s">
        <v>73</v>
      </c>
      <c r="J1885">
        <v>481</v>
      </c>
      <c r="K1885" s="3">
        <v>8.5</v>
      </c>
      <c r="L1885">
        <v>4088.5</v>
      </c>
    </row>
    <row r="1886" spans="1:12" x14ac:dyDescent="0.3">
      <c r="A1886">
        <v>21</v>
      </c>
      <c r="B1886">
        <v>22</v>
      </c>
      <c r="C1886">
        <v>3</v>
      </c>
      <c r="D1886">
        <v>6</v>
      </c>
      <c r="E1886">
        <v>1</v>
      </c>
      <c r="F1886">
        <v>0</v>
      </c>
      <c r="G1886">
        <v>4</v>
      </c>
      <c r="H1886" t="s">
        <v>18</v>
      </c>
      <c r="I1886" t="s">
        <v>90</v>
      </c>
      <c r="J1886" t="s">
        <v>143</v>
      </c>
      <c r="K1886" s="3">
        <v>7.7</v>
      </c>
      <c r="L1886">
        <v>4797.1000000000004</v>
      </c>
    </row>
    <row r="1887" spans="1:12" x14ac:dyDescent="0.3">
      <c r="A1887">
        <v>6</v>
      </c>
      <c r="B1887">
        <v>22</v>
      </c>
      <c r="C1887">
        <v>3</v>
      </c>
      <c r="D1887">
        <v>8</v>
      </c>
      <c r="E1887">
        <v>1</v>
      </c>
      <c r="F1887">
        <v>0</v>
      </c>
      <c r="G1887">
        <v>9</v>
      </c>
      <c r="H1887" t="s">
        <v>45</v>
      </c>
      <c r="I1887" t="s">
        <v>123</v>
      </c>
      <c r="J1887">
        <v>457</v>
      </c>
      <c r="K1887" s="3">
        <v>7.9</v>
      </c>
      <c r="L1887">
        <v>3610.3</v>
      </c>
    </row>
    <row r="1888" spans="1:12" x14ac:dyDescent="0.3">
      <c r="A1888">
        <v>9</v>
      </c>
      <c r="B1888">
        <v>20</v>
      </c>
      <c r="C1888">
        <v>1</v>
      </c>
      <c r="D1888">
        <v>12</v>
      </c>
      <c r="E1888">
        <v>1</v>
      </c>
      <c r="F1888">
        <v>0</v>
      </c>
      <c r="G1888">
        <v>7</v>
      </c>
      <c r="H1888" t="s">
        <v>51</v>
      </c>
      <c r="I1888" t="s">
        <v>74</v>
      </c>
      <c r="J1888">
        <v>389</v>
      </c>
      <c r="K1888" s="3">
        <v>8.8000000000000007</v>
      </c>
      <c r="L1888">
        <v>3423.2</v>
      </c>
    </row>
    <row r="1889" spans="1:12" x14ac:dyDescent="0.3">
      <c r="A1889">
        <v>7</v>
      </c>
      <c r="B1889">
        <v>18</v>
      </c>
      <c r="C1889">
        <v>1</v>
      </c>
      <c r="D1889">
        <v>15</v>
      </c>
      <c r="E1889">
        <v>1</v>
      </c>
      <c r="F1889">
        <v>0</v>
      </c>
      <c r="G1889">
        <v>5</v>
      </c>
      <c r="H1889" t="s">
        <v>50</v>
      </c>
      <c r="I1889" t="s">
        <v>93</v>
      </c>
      <c r="J1889">
        <v>499</v>
      </c>
      <c r="K1889" s="3">
        <v>9.3000000000000007</v>
      </c>
      <c r="L1889">
        <v>4640.7</v>
      </c>
    </row>
    <row r="1890" spans="1:12" x14ac:dyDescent="0.3">
      <c r="A1890">
        <v>7</v>
      </c>
      <c r="B1890">
        <v>19</v>
      </c>
      <c r="C1890">
        <v>3</v>
      </c>
      <c r="D1890">
        <v>22</v>
      </c>
      <c r="E1890">
        <v>1</v>
      </c>
      <c r="F1890">
        <v>0</v>
      </c>
      <c r="G1890">
        <v>10</v>
      </c>
      <c r="H1890" t="s">
        <v>25</v>
      </c>
      <c r="I1890" t="s">
        <v>89</v>
      </c>
      <c r="J1890">
        <v>666</v>
      </c>
      <c r="K1890" s="3">
        <v>8.1</v>
      </c>
      <c r="L1890">
        <v>5394.5999999999904</v>
      </c>
    </row>
    <row r="1891" spans="1:12" x14ac:dyDescent="0.3">
      <c r="A1891">
        <v>20</v>
      </c>
      <c r="B1891">
        <v>22</v>
      </c>
      <c r="C1891">
        <v>2</v>
      </c>
      <c r="D1891">
        <v>5</v>
      </c>
      <c r="E1891">
        <v>1</v>
      </c>
      <c r="F1891">
        <v>0</v>
      </c>
      <c r="G1891">
        <v>5</v>
      </c>
      <c r="H1891" t="s">
        <v>41</v>
      </c>
      <c r="I1891" t="s">
        <v>109</v>
      </c>
      <c r="J1891">
        <v>414</v>
      </c>
      <c r="K1891" s="3">
        <v>9.3000000000000007</v>
      </c>
      <c r="L1891">
        <v>3850.2</v>
      </c>
    </row>
    <row r="1892" spans="1:12" x14ac:dyDescent="0.3">
      <c r="A1892">
        <v>13</v>
      </c>
      <c r="B1892">
        <v>23</v>
      </c>
      <c r="C1892">
        <v>1</v>
      </c>
      <c r="D1892">
        <v>16</v>
      </c>
      <c r="E1892">
        <v>1</v>
      </c>
      <c r="F1892">
        <v>0</v>
      </c>
      <c r="G1892">
        <v>8</v>
      </c>
      <c r="H1892" t="s">
        <v>28</v>
      </c>
      <c r="I1892" t="s">
        <v>84</v>
      </c>
      <c r="J1892">
        <v>483</v>
      </c>
      <c r="K1892" s="3">
        <v>7.7</v>
      </c>
      <c r="L1892">
        <v>3719.1</v>
      </c>
    </row>
    <row r="1893" spans="1:12" x14ac:dyDescent="0.3">
      <c r="A1893">
        <v>9</v>
      </c>
      <c r="B1893">
        <v>18</v>
      </c>
      <c r="C1893">
        <v>3</v>
      </c>
      <c r="D1893">
        <v>16</v>
      </c>
      <c r="E1893">
        <v>1</v>
      </c>
      <c r="F1893">
        <v>0</v>
      </c>
      <c r="G1893">
        <v>5</v>
      </c>
      <c r="H1893" t="s">
        <v>30</v>
      </c>
      <c r="I1893" t="s">
        <v>84</v>
      </c>
      <c r="J1893">
        <v>551</v>
      </c>
      <c r="K1893" s="3">
        <v>0</v>
      </c>
      <c r="L1893">
        <v>5069.2</v>
      </c>
    </row>
    <row r="1894" spans="1:12" x14ac:dyDescent="0.3">
      <c r="A1894">
        <v>16</v>
      </c>
      <c r="B1894">
        <v>22</v>
      </c>
      <c r="C1894">
        <v>0</v>
      </c>
      <c r="D1894">
        <v>12</v>
      </c>
      <c r="E1894">
        <v>0</v>
      </c>
      <c r="F1894">
        <v>0</v>
      </c>
      <c r="G1894">
        <v>9</v>
      </c>
      <c r="H1894" t="s">
        <v>32</v>
      </c>
      <c r="I1894" t="s">
        <v>95</v>
      </c>
      <c r="J1894">
        <v>590</v>
      </c>
      <c r="K1894" s="3">
        <v>7.6</v>
      </c>
      <c r="L1894">
        <v>4484</v>
      </c>
    </row>
    <row r="1895" spans="1:12" x14ac:dyDescent="0.3">
      <c r="A1895">
        <v>10</v>
      </c>
      <c r="B1895">
        <v>23</v>
      </c>
      <c r="C1895">
        <v>2</v>
      </c>
      <c r="D1895">
        <v>3</v>
      </c>
      <c r="E1895">
        <v>1</v>
      </c>
      <c r="F1895">
        <v>0</v>
      </c>
      <c r="G1895">
        <v>7</v>
      </c>
      <c r="H1895" t="s">
        <v>22</v>
      </c>
      <c r="I1895" t="s">
        <v>88</v>
      </c>
      <c r="J1895">
        <v>474</v>
      </c>
      <c r="K1895" s="3">
        <v>7.8</v>
      </c>
      <c r="L1895">
        <v>3697.2</v>
      </c>
    </row>
    <row r="1896" spans="1:12" x14ac:dyDescent="0.3">
      <c r="A1896">
        <v>6</v>
      </c>
      <c r="B1896">
        <v>21</v>
      </c>
      <c r="C1896">
        <v>3</v>
      </c>
      <c r="D1896">
        <v>19</v>
      </c>
      <c r="E1896">
        <v>1</v>
      </c>
      <c r="F1896">
        <v>0</v>
      </c>
      <c r="G1896">
        <v>2</v>
      </c>
      <c r="H1896" t="s">
        <v>16</v>
      </c>
      <c r="I1896" t="s">
        <v>77</v>
      </c>
      <c r="J1896">
        <v>576</v>
      </c>
      <c r="K1896" s="3">
        <v>8.9</v>
      </c>
      <c r="L1896">
        <v>5126.3999999999996</v>
      </c>
    </row>
    <row r="1897" spans="1:12" x14ac:dyDescent="0.3">
      <c r="A1897">
        <v>15</v>
      </c>
      <c r="B1897">
        <v>23</v>
      </c>
      <c r="C1897">
        <v>1</v>
      </c>
      <c r="D1897">
        <v>14</v>
      </c>
      <c r="E1897">
        <v>12</v>
      </c>
      <c r="F1897">
        <v>0</v>
      </c>
      <c r="G1897">
        <v>7</v>
      </c>
      <c r="H1897" t="s">
        <v>54</v>
      </c>
      <c r="I1897" t="s">
        <v>368</v>
      </c>
      <c r="J1897">
        <v>594</v>
      </c>
      <c r="K1897" s="3">
        <v>9.1999999999999993</v>
      </c>
      <c r="L1897">
        <v>5464.7999999999902</v>
      </c>
    </row>
    <row r="1898" spans="1:12" x14ac:dyDescent="0.3">
      <c r="A1898">
        <v>8</v>
      </c>
      <c r="B1898">
        <v>20</v>
      </c>
      <c r="C1898">
        <v>1</v>
      </c>
      <c r="D1898">
        <v>5</v>
      </c>
      <c r="E1898">
        <v>1</v>
      </c>
      <c r="F1898">
        <v>0</v>
      </c>
      <c r="G1898">
        <v>11</v>
      </c>
      <c r="H1898" t="s">
        <v>18</v>
      </c>
      <c r="I1898" t="s">
        <v>89</v>
      </c>
      <c r="J1898">
        <v>216</v>
      </c>
      <c r="K1898" s="3">
        <v>7.7</v>
      </c>
      <c r="L1898">
        <v>1663.2</v>
      </c>
    </row>
    <row r="1899" spans="1:12" x14ac:dyDescent="0.3">
      <c r="A1899">
        <v>15</v>
      </c>
      <c r="B1899">
        <v>23</v>
      </c>
      <c r="C1899">
        <v>1</v>
      </c>
      <c r="D1899">
        <v>18</v>
      </c>
      <c r="E1899">
        <v>12</v>
      </c>
      <c r="F1899">
        <v>0</v>
      </c>
      <c r="G1899">
        <v>9</v>
      </c>
      <c r="H1899" t="s">
        <v>19</v>
      </c>
      <c r="I1899" t="s">
        <v>84</v>
      </c>
      <c r="J1899">
        <v>736</v>
      </c>
      <c r="K1899" s="3">
        <v>8.9</v>
      </c>
      <c r="L1899">
        <v>6550.4</v>
      </c>
    </row>
    <row r="1900" spans="1:12" x14ac:dyDescent="0.3">
      <c r="A1900">
        <v>12</v>
      </c>
      <c r="B1900">
        <v>22</v>
      </c>
      <c r="C1900">
        <v>3</v>
      </c>
      <c r="D1900">
        <v>13</v>
      </c>
      <c r="E1900">
        <v>1</v>
      </c>
      <c r="F1900">
        <v>0</v>
      </c>
      <c r="G1900">
        <v>1</v>
      </c>
      <c r="H1900" t="s">
        <v>47</v>
      </c>
      <c r="I1900" t="s">
        <v>93</v>
      </c>
      <c r="J1900">
        <v>494</v>
      </c>
      <c r="K1900" s="3">
        <v>9.1</v>
      </c>
      <c r="L1900">
        <v>4495.3999999999996</v>
      </c>
    </row>
    <row r="1901" spans="1:12" x14ac:dyDescent="0.3">
      <c r="A1901">
        <v>0</v>
      </c>
      <c r="B1901">
        <v>23</v>
      </c>
      <c r="C1901">
        <v>2</v>
      </c>
      <c r="D1901">
        <v>19</v>
      </c>
      <c r="E1901">
        <v>12</v>
      </c>
      <c r="F1901">
        <v>0</v>
      </c>
      <c r="G1901">
        <v>4</v>
      </c>
      <c r="H1901" t="s">
        <v>23</v>
      </c>
      <c r="I1901" t="s">
        <v>107</v>
      </c>
      <c r="J1901">
        <v>549</v>
      </c>
      <c r="K1901" s="3">
        <v>8.4</v>
      </c>
      <c r="L1901">
        <v>4611.6000000000004</v>
      </c>
    </row>
    <row r="1902" spans="1:12" x14ac:dyDescent="0.3">
      <c r="A1902">
        <v>16</v>
      </c>
      <c r="B1902">
        <v>23</v>
      </c>
      <c r="C1902">
        <v>2</v>
      </c>
      <c r="D1902">
        <v>5</v>
      </c>
      <c r="E1902">
        <v>12</v>
      </c>
      <c r="F1902">
        <v>0</v>
      </c>
      <c r="G1902">
        <v>10</v>
      </c>
      <c r="H1902" t="s">
        <v>39</v>
      </c>
      <c r="I1902" t="s">
        <v>71</v>
      </c>
      <c r="J1902">
        <v>705</v>
      </c>
      <c r="K1902" s="3">
        <v>8.8000000000000007</v>
      </c>
      <c r="L1902">
        <v>6204</v>
      </c>
    </row>
    <row r="1903" spans="1:12" x14ac:dyDescent="0.3">
      <c r="A1903">
        <v>21</v>
      </c>
      <c r="B1903">
        <v>23</v>
      </c>
      <c r="C1903">
        <v>2</v>
      </c>
      <c r="D1903">
        <v>11</v>
      </c>
      <c r="E1903">
        <v>12</v>
      </c>
      <c r="F1903">
        <v>0</v>
      </c>
      <c r="G1903">
        <v>5</v>
      </c>
      <c r="H1903" t="s">
        <v>36</v>
      </c>
      <c r="I1903" t="s">
        <v>84</v>
      </c>
      <c r="J1903">
        <v>555</v>
      </c>
      <c r="K1903" s="3">
        <v>8.8000000000000007</v>
      </c>
      <c r="L1903">
        <v>4884</v>
      </c>
    </row>
    <row r="1904" spans="1:12" x14ac:dyDescent="0.3">
      <c r="A1904">
        <v>15</v>
      </c>
      <c r="B1904">
        <v>23</v>
      </c>
      <c r="C1904">
        <v>0</v>
      </c>
      <c r="D1904">
        <v>9</v>
      </c>
      <c r="E1904">
        <v>1</v>
      </c>
      <c r="F1904">
        <v>0</v>
      </c>
      <c r="G1904">
        <v>4</v>
      </c>
      <c r="H1904" t="s">
        <v>53</v>
      </c>
      <c r="I1904" t="s">
        <v>83</v>
      </c>
      <c r="J1904">
        <v>393</v>
      </c>
      <c r="K1904" s="3">
        <v>7.7</v>
      </c>
      <c r="L1904">
        <v>3026.1</v>
      </c>
    </row>
    <row r="1905" spans="1:12" x14ac:dyDescent="0.3">
      <c r="A1905">
        <v>0</v>
      </c>
      <c r="B1905">
        <v>18</v>
      </c>
      <c r="C1905">
        <v>3</v>
      </c>
      <c r="D1905">
        <v>14</v>
      </c>
      <c r="E1905">
        <v>1</v>
      </c>
      <c r="F1905">
        <v>0</v>
      </c>
      <c r="G1905">
        <v>11</v>
      </c>
      <c r="H1905" t="s">
        <v>50</v>
      </c>
      <c r="I1905" t="s">
        <v>88</v>
      </c>
      <c r="J1905">
        <v>400</v>
      </c>
      <c r="K1905" s="3">
        <v>9.3000000000000007</v>
      </c>
      <c r="L1905">
        <v>3720</v>
      </c>
    </row>
    <row r="1906" spans="1:12" x14ac:dyDescent="0.3">
      <c r="A1906">
        <v>21</v>
      </c>
      <c r="B1906">
        <v>23</v>
      </c>
      <c r="C1906">
        <v>0</v>
      </c>
      <c r="D1906">
        <v>6</v>
      </c>
      <c r="E1906">
        <v>1</v>
      </c>
      <c r="F1906">
        <v>0</v>
      </c>
      <c r="G1906">
        <v>11</v>
      </c>
      <c r="H1906" t="s">
        <v>25</v>
      </c>
      <c r="I1906" t="s">
        <v>85</v>
      </c>
      <c r="J1906">
        <v>548</v>
      </c>
      <c r="K1906" s="3">
        <v>0</v>
      </c>
      <c r="L1906">
        <v>0</v>
      </c>
    </row>
    <row r="1907" spans="1:12" x14ac:dyDescent="0.3">
      <c r="A1907">
        <v>17</v>
      </c>
      <c r="B1907">
        <v>23</v>
      </c>
      <c r="C1907">
        <v>3</v>
      </c>
      <c r="D1907">
        <v>21</v>
      </c>
      <c r="E1907">
        <v>1</v>
      </c>
      <c r="F1907">
        <v>0</v>
      </c>
      <c r="G1907">
        <v>0</v>
      </c>
      <c r="H1907" t="s">
        <v>16</v>
      </c>
      <c r="I1907" t="s">
        <v>97</v>
      </c>
      <c r="J1907">
        <v>724</v>
      </c>
      <c r="K1907" s="3">
        <v>8.9</v>
      </c>
      <c r="L1907">
        <v>6443.6</v>
      </c>
    </row>
    <row r="1908" spans="1:12" x14ac:dyDescent="0.3">
      <c r="A1908">
        <v>12</v>
      </c>
      <c r="B1908">
        <v>22</v>
      </c>
      <c r="C1908">
        <v>1</v>
      </c>
      <c r="D1908">
        <v>22</v>
      </c>
      <c r="E1908">
        <v>1</v>
      </c>
      <c r="F1908">
        <v>0</v>
      </c>
      <c r="G1908">
        <v>3</v>
      </c>
      <c r="H1908" t="s">
        <v>19</v>
      </c>
      <c r="I1908" t="s">
        <v>106</v>
      </c>
      <c r="J1908">
        <v>506</v>
      </c>
      <c r="K1908" s="3">
        <v>8.9</v>
      </c>
      <c r="L1908">
        <v>4503.3999999999996</v>
      </c>
    </row>
    <row r="1909" spans="1:12" x14ac:dyDescent="0.3">
      <c r="A1909">
        <v>23</v>
      </c>
      <c r="B1909">
        <v>22</v>
      </c>
      <c r="C1909">
        <v>3</v>
      </c>
      <c r="D1909">
        <v>17</v>
      </c>
      <c r="E1909">
        <v>12</v>
      </c>
      <c r="F1909">
        <v>0</v>
      </c>
      <c r="G1909">
        <v>4</v>
      </c>
      <c r="H1909" t="s">
        <v>24</v>
      </c>
      <c r="I1909" t="s">
        <v>94</v>
      </c>
      <c r="J1909">
        <v>730</v>
      </c>
      <c r="K1909" s="3">
        <v>7.9</v>
      </c>
      <c r="L1909">
        <v>5767</v>
      </c>
    </row>
    <row r="1910" spans="1:12" x14ac:dyDescent="0.3">
      <c r="A1910">
        <v>6</v>
      </c>
      <c r="B1910">
        <v>23</v>
      </c>
      <c r="C1910">
        <v>2</v>
      </c>
      <c r="D1910">
        <v>16</v>
      </c>
      <c r="E1910">
        <v>1</v>
      </c>
      <c r="F1910">
        <v>0</v>
      </c>
      <c r="G1910">
        <v>6</v>
      </c>
      <c r="H1910" t="s">
        <v>28</v>
      </c>
      <c r="I1910" t="s">
        <v>121</v>
      </c>
      <c r="J1910">
        <v>549</v>
      </c>
      <c r="K1910" s="3">
        <v>7.7</v>
      </c>
      <c r="L1910">
        <v>4227.3</v>
      </c>
    </row>
    <row r="1911" spans="1:12" x14ac:dyDescent="0.3">
      <c r="A1911">
        <v>20</v>
      </c>
      <c r="B1911">
        <v>23</v>
      </c>
      <c r="C1911">
        <v>0</v>
      </c>
      <c r="D1911">
        <v>15</v>
      </c>
      <c r="E1911">
        <v>1</v>
      </c>
      <c r="F1911">
        <v>0</v>
      </c>
      <c r="G1911">
        <v>11</v>
      </c>
      <c r="H1911" t="s">
        <v>16</v>
      </c>
      <c r="I1911" t="s">
        <v>72</v>
      </c>
      <c r="J1911">
        <v>661</v>
      </c>
      <c r="K1911" s="3">
        <v>8.9</v>
      </c>
      <c r="L1911">
        <v>5882.9</v>
      </c>
    </row>
    <row r="1912" spans="1:12" x14ac:dyDescent="0.3">
      <c r="A1912">
        <v>21</v>
      </c>
      <c r="B1912">
        <v>23</v>
      </c>
      <c r="C1912">
        <v>3</v>
      </c>
      <c r="D1912">
        <v>13</v>
      </c>
      <c r="E1912">
        <v>0</v>
      </c>
      <c r="F1912">
        <v>0</v>
      </c>
      <c r="G1912">
        <v>11</v>
      </c>
      <c r="H1912" t="s">
        <v>40</v>
      </c>
      <c r="I1912" t="s">
        <v>80</v>
      </c>
      <c r="J1912">
        <v>556</v>
      </c>
      <c r="K1912" s="3">
        <v>7.4</v>
      </c>
      <c r="L1912">
        <v>4114.3999999999996</v>
      </c>
    </row>
    <row r="1913" spans="1:12" x14ac:dyDescent="0.3">
      <c r="A1913">
        <v>21</v>
      </c>
      <c r="B1913">
        <v>23</v>
      </c>
      <c r="C1913">
        <v>1</v>
      </c>
      <c r="D1913">
        <v>21</v>
      </c>
      <c r="E1913">
        <v>1</v>
      </c>
      <c r="F1913">
        <v>0</v>
      </c>
      <c r="G1913">
        <v>1</v>
      </c>
      <c r="H1913" t="s">
        <v>36</v>
      </c>
      <c r="I1913" t="s">
        <v>80</v>
      </c>
      <c r="J1913">
        <v>748</v>
      </c>
      <c r="K1913" s="3">
        <v>8.8000000000000007</v>
      </c>
      <c r="L1913">
        <v>6582.4</v>
      </c>
    </row>
    <row r="1914" spans="1:12" x14ac:dyDescent="0.3">
      <c r="A1914">
        <v>13</v>
      </c>
      <c r="B1914">
        <v>0</v>
      </c>
      <c r="C1914">
        <v>1</v>
      </c>
      <c r="D1914">
        <v>15</v>
      </c>
      <c r="E1914">
        <v>12</v>
      </c>
      <c r="F1914">
        <v>0</v>
      </c>
      <c r="G1914">
        <v>11</v>
      </c>
      <c r="H1914" t="s">
        <v>21</v>
      </c>
      <c r="I1914" t="s">
        <v>78</v>
      </c>
      <c r="J1914">
        <v>546</v>
      </c>
      <c r="K1914" s="3">
        <v>8.6999999999999993</v>
      </c>
      <c r="L1914">
        <v>4750.2</v>
      </c>
    </row>
    <row r="1915" spans="1:12" x14ac:dyDescent="0.3">
      <c r="A1915">
        <v>7</v>
      </c>
      <c r="B1915">
        <v>19</v>
      </c>
      <c r="C1915">
        <v>3</v>
      </c>
      <c r="D1915">
        <v>8</v>
      </c>
      <c r="E1915">
        <v>7</v>
      </c>
      <c r="F1915">
        <v>0</v>
      </c>
      <c r="G1915">
        <v>7</v>
      </c>
      <c r="H1915" t="s">
        <v>38</v>
      </c>
      <c r="I1915" t="s">
        <v>94</v>
      </c>
      <c r="J1915">
        <v>548</v>
      </c>
      <c r="K1915" s="3">
        <v>7.4</v>
      </c>
      <c r="L1915">
        <v>4055.2</v>
      </c>
    </row>
    <row r="1916" spans="1:12" x14ac:dyDescent="0.3">
      <c r="A1916">
        <v>18</v>
      </c>
      <c r="B1916">
        <v>22</v>
      </c>
      <c r="C1916">
        <v>2</v>
      </c>
      <c r="D1916">
        <v>15</v>
      </c>
      <c r="E1916">
        <v>1</v>
      </c>
      <c r="F1916">
        <v>0</v>
      </c>
      <c r="G1916">
        <v>0</v>
      </c>
      <c r="H1916" t="s">
        <v>22</v>
      </c>
      <c r="I1916" t="s">
        <v>97</v>
      </c>
      <c r="J1916">
        <v>474</v>
      </c>
      <c r="K1916" s="3">
        <v>7.8</v>
      </c>
      <c r="L1916">
        <v>3697.2</v>
      </c>
    </row>
    <row r="1917" spans="1:12" x14ac:dyDescent="0.3">
      <c r="A1917">
        <v>0</v>
      </c>
      <c r="B1917">
        <v>23</v>
      </c>
      <c r="C1917">
        <v>0</v>
      </c>
      <c r="D1917">
        <v>22</v>
      </c>
      <c r="E1917">
        <v>1</v>
      </c>
      <c r="F1917">
        <v>0</v>
      </c>
      <c r="G1917">
        <v>12</v>
      </c>
      <c r="H1917" t="s">
        <v>21</v>
      </c>
      <c r="I1917" t="s">
        <v>78</v>
      </c>
      <c r="J1917">
        <v>741</v>
      </c>
      <c r="K1917" s="3">
        <v>8.6999999999999993</v>
      </c>
      <c r="L1917">
        <v>6446.7</v>
      </c>
    </row>
    <row r="1918" spans="1:12" x14ac:dyDescent="0.3">
      <c r="A1918">
        <v>21</v>
      </c>
      <c r="B1918">
        <v>23</v>
      </c>
      <c r="C1918">
        <v>0</v>
      </c>
      <c r="D1918">
        <v>10</v>
      </c>
      <c r="E1918">
        <v>12</v>
      </c>
      <c r="F1918">
        <v>0</v>
      </c>
      <c r="G1918">
        <v>4</v>
      </c>
      <c r="H1918" t="s">
        <v>17</v>
      </c>
      <c r="I1918" t="s">
        <v>94</v>
      </c>
      <c r="J1918">
        <v>605</v>
      </c>
      <c r="K1918" s="3">
        <v>8.6999999999999993</v>
      </c>
      <c r="L1918">
        <v>5263.5</v>
      </c>
    </row>
    <row r="1919" spans="1:12" x14ac:dyDescent="0.3">
      <c r="A1919">
        <v>7</v>
      </c>
      <c r="B1919">
        <v>19</v>
      </c>
      <c r="C1919">
        <v>2</v>
      </c>
      <c r="D1919">
        <v>13</v>
      </c>
      <c r="E1919">
        <v>1</v>
      </c>
      <c r="F1919">
        <v>0</v>
      </c>
      <c r="G1919">
        <v>6</v>
      </c>
      <c r="H1919" t="s">
        <v>15</v>
      </c>
      <c r="I1919" t="s">
        <v>92</v>
      </c>
      <c r="J1919">
        <v>424</v>
      </c>
      <c r="K1919">
        <v>8.3000000000000007</v>
      </c>
      <c r="L1919">
        <v>3519.2</v>
      </c>
    </row>
    <row r="1920" spans="1:12" x14ac:dyDescent="0.3">
      <c r="A1920">
        <v>12</v>
      </c>
      <c r="B1920">
        <v>22</v>
      </c>
      <c r="C1920">
        <v>1</v>
      </c>
      <c r="D1920">
        <v>4</v>
      </c>
      <c r="E1920">
        <v>1</v>
      </c>
      <c r="F1920">
        <v>0</v>
      </c>
      <c r="G1920">
        <v>0</v>
      </c>
      <c r="H1920" t="s">
        <v>32</v>
      </c>
      <c r="I1920" t="s">
        <v>83</v>
      </c>
      <c r="J1920">
        <v>308</v>
      </c>
      <c r="K1920" s="3">
        <v>7.6</v>
      </c>
      <c r="L1920">
        <v>2340.7999999999902</v>
      </c>
    </row>
    <row r="1921" spans="1:12" x14ac:dyDescent="0.3">
      <c r="A1921">
        <v>8</v>
      </c>
      <c r="B1921">
        <v>23</v>
      </c>
      <c r="C1921">
        <v>1</v>
      </c>
      <c r="D1921">
        <v>19</v>
      </c>
      <c r="E1921">
        <v>1</v>
      </c>
      <c r="F1921">
        <v>0</v>
      </c>
      <c r="G1921">
        <v>6</v>
      </c>
      <c r="H1921" t="s">
        <v>25</v>
      </c>
      <c r="I1921" t="s">
        <v>71</v>
      </c>
      <c r="J1921">
        <v>487</v>
      </c>
      <c r="K1921" s="3">
        <v>8.1</v>
      </c>
      <c r="L1921">
        <v>3944.7</v>
      </c>
    </row>
    <row r="1922" spans="1:12" x14ac:dyDescent="0.3">
      <c r="A1922">
        <v>5</v>
      </c>
      <c r="B1922">
        <v>18</v>
      </c>
      <c r="C1922">
        <v>3</v>
      </c>
      <c r="D1922">
        <v>18</v>
      </c>
      <c r="E1922">
        <v>7</v>
      </c>
      <c r="F1922">
        <v>0</v>
      </c>
      <c r="G1922">
        <v>12</v>
      </c>
      <c r="H1922" t="s">
        <v>38</v>
      </c>
      <c r="I1922" t="s">
        <v>109</v>
      </c>
      <c r="J1922">
        <v>535</v>
      </c>
      <c r="K1922" s="3">
        <v>7.4</v>
      </c>
      <c r="L1922">
        <v>3959</v>
      </c>
    </row>
    <row r="1923" spans="1:12" x14ac:dyDescent="0.3">
      <c r="A1923">
        <v>13</v>
      </c>
      <c r="B1923">
        <v>23</v>
      </c>
      <c r="C1923">
        <v>0</v>
      </c>
      <c r="D1923">
        <v>4</v>
      </c>
      <c r="E1923">
        <v>1</v>
      </c>
      <c r="F1923">
        <v>0</v>
      </c>
      <c r="G1923">
        <v>2</v>
      </c>
      <c r="H1923" t="s">
        <v>24</v>
      </c>
      <c r="I1923" t="s">
        <v>74</v>
      </c>
      <c r="J1923">
        <v>252</v>
      </c>
      <c r="K1923" s="3">
        <v>7.9</v>
      </c>
      <c r="L1923">
        <v>1990.8</v>
      </c>
    </row>
    <row r="1924" spans="1:12" x14ac:dyDescent="0.3">
      <c r="A1924">
        <v>16</v>
      </c>
      <c r="B1924">
        <v>22</v>
      </c>
      <c r="C1924">
        <v>0</v>
      </c>
      <c r="D1924">
        <v>10</v>
      </c>
      <c r="E1924">
        <v>1</v>
      </c>
      <c r="F1924">
        <v>0</v>
      </c>
      <c r="G1924">
        <v>12</v>
      </c>
      <c r="H1924" t="s">
        <v>35</v>
      </c>
      <c r="I1924" t="s">
        <v>107</v>
      </c>
      <c r="J1924">
        <v>376</v>
      </c>
      <c r="K1924" s="3">
        <v>0</v>
      </c>
      <c r="L1924">
        <v>3083.2</v>
      </c>
    </row>
    <row r="1925" spans="1:12" x14ac:dyDescent="0.3">
      <c r="A1925">
        <v>9</v>
      </c>
      <c r="B1925">
        <v>20</v>
      </c>
      <c r="C1925">
        <v>2</v>
      </c>
      <c r="D1925">
        <v>5</v>
      </c>
      <c r="E1925">
        <v>1</v>
      </c>
      <c r="F1925">
        <v>0</v>
      </c>
      <c r="G1925">
        <v>5</v>
      </c>
      <c r="H1925" t="s">
        <v>21</v>
      </c>
      <c r="I1925" t="s">
        <v>75</v>
      </c>
      <c r="J1925">
        <v>344</v>
      </c>
      <c r="K1925" s="3">
        <v>8.6999999999999993</v>
      </c>
      <c r="L1925">
        <v>2992.7999999999902</v>
      </c>
    </row>
    <row r="1926" spans="1:12" x14ac:dyDescent="0.3">
      <c r="A1926">
        <v>22</v>
      </c>
      <c r="B1926">
        <v>0</v>
      </c>
      <c r="C1926">
        <v>2</v>
      </c>
      <c r="D1926">
        <v>7</v>
      </c>
      <c r="E1926">
        <v>1</v>
      </c>
      <c r="F1926">
        <v>0</v>
      </c>
      <c r="G1926">
        <v>12</v>
      </c>
      <c r="H1926" t="s">
        <v>30</v>
      </c>
      <c r="I1926" t="s">
        <v>87</v>
      </c>
      <c r="J1926">
        <v>676</v>
      </c>
      <c r="K1926" s="3">
        <v>9.1999999999999993</v>
      </c>
      <c r="L1926">
        <v>6219.2</v>
      </c>
    </row>
    <row r="1927" spans="1:12" x14ac:dyDescent="0.3">
      <c r="A1927">
        <v>13</v>
      </c>
      <c r="B1927">
        <v>22</v>
      </c>
      <c r="C1927">
        <v>2</v>
      </c>
      <c r="D1927">
        <v>16</v>
      </c>
      <c r="E1927">
        <v>1</v>
      </c>
      <c r="F1927">
        <v>0</v>
      </c>
      <c r="G1927">
        <v>12</v>
      </c>
      <c r="H1927" t="s">
        <v>12</v>
      </c>
      <c r="I1927" t="s">
        <v>82</v>
      </c>
      <c r="J1927">
        <v>545</v>
      </c>
      <c r="K1927" s="3">
        <v>8.1</v>
      </c>
      <c r="L1927">
        <v>4414.5</v>
      </c>
    </row>
    <row r="1928" spans="1:12" x14ac:dyDescent="0.3">
      <c r="A1928">
        <v>7</v>
      </c>
      <c r="B1928">
        <v>20</v>
      </c>
      <c r="C1928">
        <v>0</v>
      </c>
      <c r="D1928">
        <v>5</v>
      </c>
      <c r="E1928">
        <v>1</v>
      </c>
      <c r="F1928">
        <v>0</v>
      </c>
      <c r="G1928">
        <v>8</v>
      </c>
      <c r="H1928" t="s">
        <v>35</v>
      </c>
      <c r="I1928" t="s">
        <v>74</v>
      </c>
      <c r="J1928">
        <v>356</v>
      </c>
      <c r="K1928" s="3">
        <v>8.1999999999999993</v>
      </c>
      <c r="L1928">
        <v>2919.2</v>
      </c>
    </row>
    <row r="1929" spans="1:12" x14ac:dyDescent="0.3">
      <c r="A1929">
        <v>11</v>
      </c>
      <c r="B1929">
        <v>22</v>
      </c>
      <c r="C1929">
        <v>1</v>
      </c>
      <c r="D1929">
        <v>11</v>
      </c>
      <c r="E1929">
        <v>1</v>
      </c>
      <c r="F1929">
        <v>0</v>
      </c>
      <c r="G1929">
        <v>3</v>
      </c>
      <c r="H1929" t="s">
        <v>30</v>
      </c>
      <c r="I1929" t="s">
        <v>92</v>
      </c>
      <c r="J1929">
        <v>400</v>
      </c>
      <c r="K1929" s="3">
        <v>9.1999999999999993</v>
      </c>
      <c r="L1929">
        <v>3679.99999999999</v>
      </c>
    </row>
    <row r="1930" spans="1:12" x14ac:dyDescent="0.3">
      <c r="A1930">
        <v>9</v>
      </c>
      <c r="B1930">
        <v>18</v>
      </c>
      <c r="C1930">
        <v>3</v>
      </c>
      <c r="D1930">
        <v>13</v>
      </c>
      <c r="E1930">
        <v>7</v>
      </c>
      <c r="F1930">
        <v>0</v>
      </c>
      <c r="G1930">
        <v>10</v>
      </c>
      <c r="H1930" t="s">
        <v>21</v>
      </c>
      <c r="I1930" t="s">
        <v>89</v>
      </c>
      <c r="J1930">
        <v>659</v>
      </c>
      <c r="K1930" s="3">
        <v>8.6999999999999993</v>
      </c>
      <c r="L1930">
        <v>5733.2999999999902</v>
      </c>
    </row>
    <row r="1931" spans="1:12" x14ac:dyDescent="0.3">
      <c r="A1931">
        <v>8</v>
      </c>
      <c r="B1931">
        <v>22</v>
      </c>
      <c r="C1931">
        <v>1</v>
      </c>
      <c r="D1931">
        <v>5</v>
      </c>
      <c r="E1931">
        <v>1</v>
      </c>
      <c r="F1931">
        <v>0</v>
      </c>
      <c r="G1931">
        <v>10</v>
      </c>
      <c r="H1931" t="s">
        <v>35</v>
      </c>
      <c r="I1931" t="s">
        <v>88</v>
      </c>
      <c r="J1931">
        <v>263</v>
      </c>
      <c r="K1931" s="3">
        <v>8.1999999999999993</v>
      </c>
      <c r="L1931">
        <v>2156.6</v>
      </c>
    </row>
    <row r="1932" spans="1:12" x14ac:dyDescent="0.3">
      <c r="A1932">
        <v>12</v>
      </c>
      <c r="B1932">
        <v>22</v>
      </c>
      <c r="C1932">
        <v>0</v>
      </c>
      <c r="D1932">
        <v>6</v>
      </c>
      <c r="E1932">
        <v>1</v>
      </c>
      <c r="F1932">
        <v>0</v>
      </c>
      <c r="G1932">
        <v>1</v>
      </c>
      <c r="H1932" t="s">
        <v>21</v>
      </c>
      <c r="I1932" t="s">
        <v>109</v>
      </c>
      <c r="J1932">
        <v>386</v>
      </c>
      <c r="K1932" s="3">
        <v>8.6999999999999993</v>
      </c>
      <c r="L1932">
        <v>0</v>
      </c>
    </row>
    <row r="1933" spans="1:12" x14ac:dyDescent="0.3">
      <c r="A1933">
        <v>18</v>
      </c>
      <c r="B1933">
        <v>22</v>
      </c>
      <c r="C1933">
        <v>1</v>
      </c>
      <c r="D1933">
        <v>3</v>
      </c>
      <c r="E1933">
        <v>12</v>
      </c>
      <c r="F1933">
        <v>0</v>
      </c>
      <c r="G1933">
        <v>7</v>
      </c>
      <c r="H1933" t="s">
        <v>35</v>
      </c>
      <c r="I1933" t="s">
        <v>90</v>
      </c>
      <c r="J1933">
        <v>414</v>
      </c>
      <c r="K1933" s="3">
        <v>8.1999999999999993</v>
      </c>
      <c r="L1933">
        <v>3394.7999999999902</v>
      </c>
    </row>
    <row r="1934" spans="1:12" x14ac:dyDescent="0.3">
      <c r="A1934">
        <v>18</v>
      </c>
      <c r="B1934">
        <v>22</v>
      </c>
      <c r="C1934">
        <v>1</v>
      </c>
      <c r="D1934">
        <v>19</v>
      </c>
      <c r="E1934">
        <v>1</v>
      </c>
      <c r="F1934">
        <v>0</v>
      </c>
      <c r="G1934">
        <v>11</v>
      </c>
      <c r="H1934" t="s">
        <v>30</v>
      </c>
      <c r="I1934" t="s">
        <v>82</v>
      </c>
      <c r="J1934">
        <v>476</v>
      </c>
      <c r="K1934" s="3">
        <v>9.1999999999999993</v>
      </c>
      <c r="L1934">
        <v>4379.2</v>
      </c>
    </row>
    <row r="1935" spans="1:12" x14ac:dyDescent="0.3">
      <c r="A1935">
        <v>6</v>
      </c>
      <c r="B1935">
        <v>18</v>
      </c>
      <c r="C1935">
        <v>0</v>
      </c>
      <c r="D1935">
        <v>0</v>
      </c>
      <c r="E1935">
        <v>1</v>
      </c>
      <c r="F1935">
        <v>0</v>
      </c>
      <c r="G1935">
        <v>6</v>
      </c>
      <c r="H1935" t="s">
        <v>369</v>
      </c>
      <c r="I1935" t="s">
        <v>89</v>
      </c>
      <c r="J1935">
        <v>341</v>
      </c>
      <c r="K1935" s="3">
        <v>9.3000000000000007</v>
      </c>
      <c r="L1935">
        <v>3171.3</v>
      </c>
    </row>
    <row r="1936" spans="1:12" x14ac:dyDescent="0.3">
      <c r="A1936">
        <v>9</v>
      </c>
      <c r="B1936">
        <v>21</v>
      </c>
      <c r="C1936">
        <v>1</v>
      </c>
      <c r="D1936">
        <v>9</v>
      </c>
      <c r="E1936">
        <v>1</v>
      </c>
      <c r="F1936">
        <v>0</v>
      </c>
      <c r="G1936">
        <v>0</v>
      </c>
      <c r="H1936" t="s">
        <v>52</v>
      </c>
      <c r="I1936" t="s">
        <v>71</v>
      </c>
      <c r="J1936">
        <v>474</v>
      </c>
      <c r="K1936" s="3">
        <v>0</v>
      </c>
      <c r="L1936">
        <v>4408.2</v>
      </c>
    </row>
    <row r="1937" spans="1:12" x14ac:dyDescent="0.3">
      <c r="A1937">
        <v>6</v>
      </c>
      <c r="B1937">
        <v>22</v>
      </c>
      <c r="C1937">
        <v>1</v>
      </c>
      <c r="D1937">
        <v>7</v>
      </c>
      <c r="E1937">
        <v>1</v>
      </c>
      <c r="F1937">
        <v>0</v>
      </c>
      <c r="G1937">
        <v>7</v>
      </c>
      <c r="H1937" t="s">
        <v>23</v>
      </c>
      <c r="I1937" t="s">
        <v>126</v>
      </c>
      <c r="J1937">
        <v>411</v>
      </c>
      <c r="K1937" s="3">
        <v>8.4</v>
      </c>
      <c r="L1937">
        <v>3452.4</v>
      </c>
    </row>
    <row r="1938" spans="1:12" x14ac:dyDescent="0.3">
      <c r="A1938">
        <v>7</v>
      </c>
      <c r="B1938">
        <v>20</v>
      </c>
      <c r="C1938">
        <v>1</v>
      </c>
      <c r="D1938">
        <v>16</v>
      </c>
      <c r="E1938">
        <v>1</v>
      </c>
      <c r="F1938">
        <v>0</v>
      </c>
      <c r="G1938">
        <v>12</v>
      </c>
      <c r="H1938" t="s">
        <v>36</v>
      </c>
      <c r="I1938" t="s">
        <v>82</v>
      </c>
      <c r="J1938">
        <v>412</v>
      </c>
      <c r="K1938" s="3">
        <v>8.8000000000000007</v>
      </c>
      <c r="L1938">
        <v>3625.6</v>
      </c>
    </row>
    <row r="1939" spans="1:12" x14ac:dyDescent="0.3">
      <c r="A1939">
        <v>21</v>
      </c>
      <c r="B1939">
        <v>23</v>
      </c>
      <c r="C1939">
        <v>2</v>
      </c>
      <c r="D1939">
        <v>8</v>
      </c>
      <c r="E1939">
        <v>1</v>
      </c>
      <c r="F1939">
        <v>0</v>
      </c>
      <c r="G1939">
        <v>11</v>
      </c>
      <c r="H1939" t="s">
        <v>16</v>
      </c>
      <c r="I1939" t="s">
        <v>95</v>
      </c>
      <c r="J1939">
        <v>521</v>
      </c>
      <c r="K1939" s="3">
        <v>8.9</v>
      </c>
      <c r="L1939">
        <v>4636.8999999999996</v>
      </c>
    </row>
    <row r="1940" spans="1:12" x14ac:dyDescent="0.3">
      <c r="A1940">
        <v>0</v>
      </c>
      <c r="B1940">
        <v>18</v>
      </c>
      <c r="C1940">
        <v>0</v>
      </c>
      <c r="D1940">
        <v>14</v>
      </c>
      <c r="E1940">
        <v>1</v>
      </c>
      <c r="F1940">
        <v>0</v>
      </c>
      <c r="G1940">
        <v>6</v>
      </c>
      <c r="H1940" t="s">
        <v>15</v>
      </c>
      <c r="I1940" t="s">
        <v>72</v>
      </c>
      <c r="J1940">
        <v>371</v>
      </c>
      <c r="K1940" s="3">
        <v>8.3000000000000007</v>
      </c>
      <c r="L1940">
        <v>3079.3</v>
      </c>
    </row>
    <row r="1941" spans="1:12" x14ac:dyDescent="0.3">
      <c r="A1941">
        <v>9</v>
      </c>
      <c r="B1941">
        <v>21</v>
      </c>
      <c r="C1941">
        <v>3</v>
      </c>
      <c r="D1941">
        <v>15</v>
      </c>
      <c r="E1941">
        <v>1</v>
      </c>
      <c r="F1941">
        <v>0</v>
      </c>
      <c r="G1941">
        <v>6</v>
      </c>
      <c r="H1941" t="s">
        <v>30</v>
      </c>
      <c r="I1941" t="s">
        <v>73</v>
      </c>
      <c r="J1941">
        <v>399</v>
      </c>
      <c r="K1941" s="3">
        <v>9.1999999999999993</v>
      </c>
      <c r="L1941">
        <v>3670.7999999999902</v>
      </c>
    </row>
    <row r="1942" spans="1:12" x14ac:dyDescent="0.3">
      <c r="A1942">
        <v>9</v>
      </c>
      <c r="B1942">
        <v>18</v>
      </c>
      <c r="C1942">
        <v>3</v>
      </c>
      <c r="D1942">
        <v>0</v>
      </c>
      <c r="E1942">
        <v>0</v>
      </c>
      <c r="F1942">
        <v>0</v>
      </c>
      <c r="G1942">
        <v>7</v>
      </c>
      <c r="H1942" t="s">
        <v>30</v>
      </c>
      <c r="I1942" t="s">
        <v>113</v>
      </c>
      <c r="J1942">
        <v>353</v>
      </c>
      <c r="K1942" s="3">
        <v>9.1999999999999993</v>
      </c>
      <c r="L1942">
        <v>3247.6</v>
      </c>
    </row>
    <row r="1943" spans="1:12" x14ac:dyDescent="0.3">
      <c r="A1943">
        <v>14</v>
      </c>
      <c r="B1943">
        <v>23</v>
      </c>
      <c r="C1943">
        <v>0</v>
      </c>
      <c r="D1943">
        <v>21</v>
      </c>
      <c r="E1943">
        <v>1</v>
      </c>
      <c r="F1943">
        <v>0</v>
      </c>
      <c r="G1943">
        <v>12</v>
      </c>
      <c r="H1943" t="s">
        <v>30</v>
      </c>
      <c r="I1943" t="s">
        <v>72</v>
      </c>
      <c r="J1943">
        <v>0</v>
      </c>
      <c r="K1943" s="3">
        <v>9.1999999999999993</v>
      </c>
      <c r="L1943">
        <v>4416</v>
      </c>
    </row>
    <row r="1944" spans="1:12" x14ac:dyDescent="0.3">
      <c r="A1944">
        <v>19</v>
      </c>
      <c r="B1944">
        <v>23</v>
      </c>
      <c r="C1944">
        <v>0</v>
      </c>
      <c r="D1944">
        <v>7</v>
      </c>
      <c r="E1944">
        <v>1</v>
      </c>
      <c r="F1944">
        <v>0</v>
      </c>
      <c r="G1944">
        <v>9</v>
      </c>
      <c r="H1944" t="s">
        <v>25</v>
      </c>
      <c r="I1944" t="s">
        <v>75</v>
      </c>
      <c r="J1944">
        <v>350</v>
      </c>
      <c r="K1944">
        <v>8.1</v>
      </c>
      <c r="L1944">
        <v>2835</v>
      </c>
    </row>
    <row r="1945" spans="1:12" x14ac:dyDescent="0.3">
      <c r="A1945">
        <v>13</v>
      </c>
      <c r="B1945">
        <v>23</v>
      </c>
      <c r="C1945">
        <v>3</v>
      </c>
      <c r="D1945">
        <v>7</v>
      </c>
      <c r="E1945">
        <v>1</v>
      </c>
      <c r="F1945">
        <v>0</v>
      </c>
      <c r="G1945">
        <v>12</v>
      </c>
      <c r="H1945" t="s">
        <v>20</v>
      </c>
      <c r="I1945" t="s">
        <v>76</v>
      </c>
      <c r="J1945">
        <v>605</v>
      </c>
      <c r="K1945" s="3">
        <v>9.1</v>
      </c>
      <c r="L1945">
        <v>5505.5</v>
      </c>
    </row>
    <row r="1946" spans="1:12" x14ac:dyDescent="0.3">
      <c r="A1946">
        <v>0</v>
      </c>
      <c r="B1946">
        <v>22</v>
      </c>
      <c r="C1946">
        <v>2</v>
      </c>
      <c r="D1946">
        <v>14</v>
      </c>
      <c r="E1946">
        <v>1</v>
      </c>
      <c r="F1946">
        <v>0</v>
      </c>
      <c r="G1946">
        <v>6</v>
      </c>
      <c r="H1946" t="s">
        <v>24</v>
      </c>
      <c r="I1946" t="s">
        <v>78</v>
      </c>
      <c r="J1946">
        <v>593</v>
      </c>
      <c r="K1946" s="3">
        <v>7.9</v>
      </c>
      <c r="L1946">
        <v>4684.7</v>
      </c>
    </row>
    <row r="1947" spans="1:12" x14ac:dyDescent="0.3">
      <c r="A1947">
        <v>11</v>
      </c>
      <c r="B1947">
        <v>22</v>
      </c>
      <c r="C1947">
        <v>3</v>
      </c>
      <c r="D1947">
        <v>3</v>
      </c>
      <c r="E1947">
        <v>1</v>
      </c>
      <c r="F1947">
        <v>0</v>
      </c>
      <c r="G1947">
        <v>12</v>
      </c>
      <c r="H1947" t="s">
        <v>36</v>
      </c>
      <c r="I1947" t="s">
        <v>132</v>
      </c>
      <c r="J1947">
        <v>409</v>
      </c>
      <c r="K1947" s="3">
        <v>8.8000000000000007</v>
      </c>
      <c r="L1947">
        <v>3599.2</v>
      </c>
    </row>
    <row r="1948" spans="1:12" x14ac:dyDescent="0.3">
      <c r="A1948">
        <v>6</v>
      </c>
      <c r="B1948">
        <v>23</v>
      </c>
      <c r="C1948">
        <v>3</v>
      </c>
      <c r="D1948">
        <v>13</v>
      </c>
      <c r="E1948">
        <v>1</v>
      </c>
      <c r="F1948">
        <v>0</v>
      </c>
      <c r="G1948">
        <v>5</v>
      </c>
      <c r="H1948" t="s">
        <v>36</v>
      </c>
      <c r="I1948" t="s">
        <v>76</v>
      </c>
      <c r="J1948">
        <v>477</v>
      </c>
      <c r="K1948" s="3">
        <v>8.8000000000000007</v>
      </c>
      <c r="L1948">
        <v>4197.6000000000004</v>
      </c>
    </row>
    <row r="1949" spans="1:12" x14ac:dyDescent="0.3">
      <c r="A1949">
        <v>23</v>
      </c>
      <c r="B1949">
        <v>23</v>
      </c>
      <c r="C1949">
        <v>0</v>
      </c>
      <c r="D1949">
        <v>13</v>
      </c>
      <c r="E1949">
        <v>1</v>
      </c>
      <c r="F1949">
        <v>0</v>
      </c>
      <c r="G1949">
        <v>6</v>
      </c>
      <c r="H1949" t="s">
        <v>25</v>
      </c>
      <c r="I1949" t="s">
        <v>76</v>
      </c>
      <c r="J1949">
        <v>662</v>
      </c>
      <c r="K1949" s="3">
        <v>8.1</v>
      </c>
      <c r="L1949">
        <v>5362.2</v>
      </c>
    </row>
    <row r="1950" spans="1:12" x14ac:dyDescent="0.3">
      <c r="A1950">
        <v>21</v>
      </c>
      <c r="B1950">
        <v>22</v>
      </c>
      <c r="C1950">
        <v>0</v>
      </c>
      <c r="D1950">
        <v>12</v>
      </c>
      <c r="E1950">
        <v>1</v>
      </c>
      <c r="F1950">
        <v>0</v>
      </c>
      <c r="G1950">
        <v>4</v>
      </c>
      <c r="H1950" t="s">
        <v>24</v>
      </c>
      <c r="I1950" t="s">
        <v>84</v>
      </c>
      <c r="J1950">
        <v>0</v>
      </c>
      <c r="K1950" s="3">
        <v>7.9</v>
      </c>
      <c r="L1950">
        <v>3602.4</v>
      </c>
    </row>
    <row r="1951" spans="1:12" x14ac:dyDescent="0.3">
      <c r="A1951">
        <v>9</v>
      </c>
      <c r="B1951">
        <v>20</v>
      </c>
      <c r="C1951">
        <v>2</v>
      </c>
      <c r="D1951">
        <v>17</v>
      </c>
      <c r="E1951">
        <v>1</v>
      </c>
      <c r="F1951">
        <v>0</v>
      </c>
      <c r="G1951">
        <v>12</v>
      </c>
      <c r="H1951" t="s">
        <v>38</v>
      </c>
      <c r="I1951" t="s">
        <v>368</v>
      </c>
      <c r="J1951">
        <v>0</v>
      </c>
      <c r="K1951" s="3">
        <v>7.4</v>
      </c>
      <c r="L1951">
        <v>4403</v>
      </c>
    </row>
    <row r="1952" spans="1:12" x14ac:dyDescent="0.3">
      <c r="A1952">
        <v>22</v>
      </c>
      <c r="B1952">
        <v>22</v>
      </c>
      <c r="C1952">
        <v>3</v>
      </c>
      <c r="D1952">
        <v>11</v>
      </c>
      <c r="E1952">
        <v>1</v>
      </c>
      <c r="F1952">
        <v>0</v>
      </c>
      <c r="G1952">
        <v>10</v>
      </c>
      <c r="H1952" t="s">
        <v>14</v>
      </c>
      <c r="I1952" t="s">
        <v>85</v>
      </c>
      <c r="J1952">
        <v>726</v>
      </c>
      <c r="K1952" s="3">
        <v>8.9</v>
      </c>
      <c r="L1952">
        <v>6461.4</v>
      </c>
    </row>
    <row r="1953" spans="1:12" x14ac:dyDescent="0.3">
      <c r="A1953">
        <v>9</v>
      </c>
      <c r="B1953">
        <v>23</v>
      </c>
      <c r="C1953">
        <v>3</v>
      </c>
      <c r="D1953">
        <v>6</v>
      </c>
      <c r="E1953">
        <v>1</v>
      </c>
      <c r="F1953">
        <v>0</v>
      </c>
      <c r="G1953">
        <v>8</v>
      </c>
      <c r="H1953" t="s">
        <v>25</v>
      </c>
      <c r="I1953" t="s">
        <v>105</v>
      </c>
      <c r="J1953">
        <v>532</v>
      </c>
      <c r="K1953" s="3">
        <v>8.1</v>
      </c>
      <c r="L1953">
        <v>4309.2</v>
      </c>
    </row>
    <row r="1954" spans="1:12" x14ac:dyDescent="0.3">
      <c r="A1954">
        <v>8</v>
      </c>
      <c r="B1954">
        <v>21</v>
      </c>
      <c r="C1954">
        <v>2</v>
      </c>
      <c r="D1954">
        <v>18</v>
      </c>
      <c r="E1954">
        <v>1</v>
      </c>
      <c r="F1954">
        <v>0</v>
      </c>
      <c r="G1954">
        <v>2</v>
      </c>
      <c r="H1954" t="s">
        <v>30</v>
      </c>
      <c r="I1954" t="s">
        <v>107</v>
      </c>
      <c r="J1954">
        <v>347</v>
      </c>
      <c r="K1954" s="3">
        <v>9.1999999999999993</v>
      </c>
      <c r="L1954">
        <v>3192.3999999999901</v>
      </c>
    </row>
    <row r="1955" spans="1:12" x14ac:dyDescent="0.3">
      <c r="A1955">
        <v>15</v>
      </c>
      <c r="B1955">
        <v>22</v>
      </c>
      <c r="C1955">
        <v>2</v>
      </c>
      <c r="D1955">
        <v>6</v>
      </c>
      <c r="E1955">
        <v>1</v>
      </c>
      <c r="F1955">
        <v>0</v>
      </c>
      <c r="G1955">
        <v>8</v>
      </c>
      <c r="H1955" t="s">
        <v>52</v>
      </c>
      <c r="I1955" t="s">
        <v>87</v>
      </c>
      <c r="J1955">
        <v>543</v>
      </c>
      <c r="K1955" s="3">
        <v>9.3000000000000007</v>
      </c>
      <c r="L1955">
        <v>5049.8999999999996</v>
      </c>
    </row>
    <row r="1956" spans="1:12" x14ac:dyDescent="0.3">
      <c r="A1956">
        <v>8</v>
      </c>
      <c r="B1956">
        <v>19</v>
      </c>
      <c r="C1956">
        <v>2</v>
      </c>
      <c r="D1956">
        <v>7</v>
      </c>
      <c r="E1956">
        <v>7</v>
      </c>
      <c r="F1956">
        <v>0</v>
      </c>
      <c r="G1956">
        <v>8</v>
      </c>
      <c r="H1956" t="s">
        <v>35</v>
      </c>
      <c r="I1956" t="s">
        <v>72</v>
      </c>
      <c r="J1956">
        <v>494</v>
      </c>
      <c r="K1956" s="3">
        <v>8.1999999999999993</v>
      </c>
      <c r="L1956">
        <v>4050.7999999999902</v>
      </c>
    </row>
    <row r="1957" spans="1:12" x14ac:dyDescent="0.3">
      <c r="A1957">
        <v>21</v>
      </c>
      <c r="B1957">
        <v>22</v>
      </c>
      <c r="C1957">
        <v>0</v>
      </c>
      <c r="D1957">
        <v>5</v>
      </c>
      <c r="E1957">
        <v>1</v>
      </c>
      <c r="F1957">
        <v>0</v>
      </c>
      <c r="G1957">
        <v>4</v>
      </c>
      <c r="H1957" t="s">
        <v>32</v>
      </c>
      <c r="I1957" t="s">
        <v>71</v>
      </c>
      <c r="J1957">
        <v>0</v>
      </c>
      <c r="K1957" s="3">
        <v>7.6</v>
      </c>
      <c r="L1957">
        <v>2910.7999999999902</v>
      </c>
    </row>
    <row r="1958" spans="1:12" x14ac:dyDescent="0.3">
      <c r="A1958">
        <v>8</v>
      </c>
      <c r="B1958">
        <v>22</v>
      </c>
      <c r="C1958">
        <v>3</v>
      </c>
      <c r="D1958">
        <v>11</v>
      </c>
      <c r="E1958">
        <v>1</v>
      </c>
      <c r="F1958">
        <v>0</v>
      </c>
      <c r="G1958">
        <v>10</v>
      </c>
      <c r="H1958" t="s">
        <v>22</v>
      </c>
      <c r="I1958" t="s">
        <v>88</v>
      </c>
      <c r="J1958">
        <v>600</v>
      </c>
      <c r="K1958" s="3">
        <v>7.8</v>
      </c>
      <c r="L1958">
        <v>4680</v>
      </c>
    </row>
    <row r="1959" spans="1:12" x14ac:dyDescent="0.3">
      <c r="A1959">
        <v>12</v>
      </c>
      <c r="B1959">
        <v>23</v>
      </c>
      <c r="C1959">
        <v>3</v>
      </c>
      <c r="D1959">
        <v>21</v>
      </c>
      <c r="E1959">
        <v>1</v>
      </c>
      <c r="F1959">
        <v>0</v>
      </c>
      <c r="G1959">
        <v>9</v>
      </c>
      <c r="H1959" t="s">
        <v>21</v>
      </c>
      <c r="I1959" t="s">
        <v>92</v>
      </c>
      <c r="J1959">
        <v>490</v>
      </c>
      <c r="K1959" s="3">
        <v>8.6999999999999993</v>
      </c>
      <c r="L1959">
        <v>4263</v>
      </c>
    </row>
    <row r="1960" spans="1:12" x14ac:dyDescent="0.3">
      <c r="A1960">
        <v>15</v>
      </c>
      <c r="B1960">
        <v>23</v>
      </c>
      <c r="C1960">
        <v>0</v>
      </c>
      <c r="D1960">
        <v>6</v>
      </c>
      <c r="E1960">
        <v>1</v>
      </c>
      <c r="F1960">
        <v>0</v>
      </c>
      <c r="G1960">
        <v>7</v>
      </c>
      <c r="H1960" t="s">
        <v>15</v>
      </c>
      <c r="I1960" t="s">
        <v>87</v>
      </c>
      <c r="J1960">
        <v>530</v>
      </c>
      <c r="K1960" s="3">
        <v>8.3000000000000007</v>
      </c>
      <c r="L1960">
        <v>4399</v>
      </c>
    </row>
    <row r="1961" spans="1:12" x14ac:dyDescent="0.3">
      <c r="A1961">
        <v>11</v>
      </c>
      <c r="B1961">
        <v>22</v>
      </c>
      <c r="C1961">
        <v>2</v>
      </c>
      <c r="D1961">
        <v>12</v>
      </c>
      <c r="E1961">
        <v>0</v>
      </c>
      <c r="F1961">
        <v>0</v>
      </c>
      <c r="G1961">
        <v>7</v>
      </c>
      <c r="H1961" t="s">
        <v>25</v>
      </c>
      <c r="I1961" t="s">
        <v>88</v>
      </c>
      <c r="J1961">
        <v>0</v>
      </c>
      <c r="K1961" s="3">
        <v>8.1</v>
      </c>
      <c r="L1961">
        <v>5726.7</v>
      </c>
    </row>
    <row r="1962" spans="1:12" x14ac:dyDescent="0.3">
      <c r="A1962">
        <v>15</v>
      </c>
      <c r="B1962">
        <v>22</v>
      </c>
      <c r="C1962">
        <v>3</v>
      </c>
      <c r="D1962">
        <v>17</v>
      </c>
      <c r="E1962">
        <v>1</v>
      </c>
      <c r="F1962">
        <v>0</v>
      </c>
      <c r="G1962">
        <v>2</v>
      </c>
      <c r="H1962" t="s">
        <v>24</v>
      </c>
      <c r="I1962" t="s">
        <v>83</v>
      </c>
      <c r="J1962">
        <v>418</v>
      </c>
      <c r="K1962" s="3">
        <v>7.9</v>
      </c>
      <c r="L1962">
        <v>3302.2</v>
      </c>
    </row>
    <row r="1963" spans="1:12" x14ac:dyDescent="0.3">
      <c r="A1963">
        <v>9</v>
      </c>
      <c r="B1963">
        <v>20</v>
      </c>
      <c r="C1963">
        <v>0</v>
      </c>
      <c r="D1963">
        <v>17</v>
      </c>
      <c r="E1963">
        <v>1</v>
      </c>
      <c r="F1963">
        <v>0</v>
      </c>
      <c r="G1963">
        <v>9</v>
      </c>
      <c r="H1963" t="s">
        <v>18</v>
      </c>
      <c r="I1963" t="s">
        <v>78</v>
      </c>
      <c r="J1963">
        <v>543</v>
      </c>
      <c r="K1963" s="3">
        <v>7.7</v>
      </c>
      <c r="L1963">
        <v>4181.1000000000004</v>
      </c>
    </row>
    <row r="1964" spans="1:12" x14ac:dyDescent="0.3">
      <c r="A1964">
        <v>0</v>
      </c>
      <c r="B1964">
        <v>0</v>
      </c>
      <c r="C1964">
        <v>3</v>
      </c>
      <c r="D1964">
        <v>12</v>
      </c>
      <c r="E1964">
        <v>0</v>
      </c>
      <c r="F1964">
        <v>0</v>
      </c>
      <c r="G1964">
        <v>5</v>
      </c>
      <c r="H1964" t="s">
        <v>23</v>
      </c>
      <c r="I1964" t="s">
        <v>88</v>
      </c>
      <c r="J1964">
        <v>623</v>
      </c>
      <c r="K1964" s="3">
        <v>8.4</v>
      </c>
      <c r="L1964">
        <v>5233.2</v>
      </c>
    </row>
    <row r="1965" spans="1:12" x14ac:dyDescent="0.3">
      <c r="A1965">
        <v>11</v>
      </c>
      <c r="B1965">
        <v>23</v>
      </c>
      <c r="C1965">
        <v>2</v>
      </c>
      <c r="D1965">
        <v>18</v>
      </c>
      <c r="E1965">
        <v>1</v>
      </c>
      <c r="F1965">
        <v>0</v>
      </c>
      <c r="G1965">
        <v>9</v>
      </c>
      <c r="H1965" t="s">
        <v>26</v>
      </c>
      <c r="I1965" t="s">
        <v>72</v>
      </c>
      <c r="J1965">
        <v>421</v>
      </c>
      <c r="K1965" s="3">
        <v>8.5</v>
      </c>
      <c r="L1965">
        <v>3578.5</v>
      </c>
    </row>
    <row r="1966" spans="1:12" x14ac:dyDescent="0.3">
      <c r="A1966">
        <v>8</v>
      </c>
      <c r="B1966">
        <v>19</v>
      </c>
      <c r="C1966">
        <v>1</v>
      </c>
      <c r="D1966">
        <v>10</v>
      </c>
      <c r="E1966">
        <v>1</v>
      </c>
      <c r="F1966">
        <v>0</v>
      </c>
      <c r="G1966">
        <v>12</v>
      </c>
      <c r="H1966" t="s">
        <v>54</v>
      </c>
      <c r="I1966" t="s">
        <v>91</v>
      </c>
      <c r="J1966">
        <v>445</v>
      </c>
      <c r="K1966" s="3">
        <v>9.1999999999999993</v>
      </c>
      <c r="L1966">
        <v>4093.99999999999</v>
      </c>
    </row>
    <row r="1967" spans="1:12" x14ac:dyDescent="0.3">
      <c r="A1967">
        <v>6</v>
      </c>
      <c r="B1967">
        <v>20</v>
      </c>
      <c r="C1967">
        <v>0</v>
      </c>
      <c r="D1967">
        <v>10</v>
      </c>
      <c r="E1967">
        <v>1</v>
      </c>
      <c r="F1967">
        <v>0</v>
      </c>
      <c r="G1967">
        <v>9</v>
      </c>
      <c r="H1967" t="s">
        <v>21</v>
      </c>
      <c r="I1967" t="s">
        <v>70</v>
      </c>
      <c r="J1967">
        <v>284</v>
      </c>
      <c r="K1967" s="3">
        <v>8.6999999999999993</v>
      </c>
      <c r="L1967">
        <v>2470.7999999999902</v>
      </c>
    </row>
    <row r="1968" spans="1:12" x14ac:dyDescent="0.3">
      <c r="A1968">
        <v>20</v>
      </c>
      <c r="B1968">
        <v>0</v>
      </c>
      <c r="C1968">
        <v>2</v>
      </c>
      <c r="D1968">
        <v>20</v>
      </c>
      <c r="E1968">
        <v>1</v>
      </c>
      <c r="F1968">
        <v>0</v>
      </c>
      <c r="G1968">
        <v>4</v>
      </c>
      <c r="H1968" t="s">
        <v>24</v>
      </c>
      <c r="I1968" t="s">
        <v>90</v>
      </c>
      <c r="J1968">
        <v>619</v>
      </c>
      <c r="K1968" s="3">
        <v>7.9</v>
      </c>
      <c r="L1968">
        <v>4890.1000000000004</v>
      </c>
    </row>
    <row r="1969" spans="1:12" x14ac:dyDescent="0.3">
      <c r="A1969">
        <v>12</v>
      </c>
      <c r="B1969">
        <v>23</v>
      </c>
      <c r="C1969">
        <v>3</v>
      </c>
      <c r="D1969">
        <v>0</v>
      </c>
      <c r="E1969">
        <v>1</v>
      </c>
      <c r="F1969">
        <v>0</v>
      </c>
      <c r="G1969">
        <v>2</v>
      </c>
      <c r="H1969" t="s">
        <v>37</v>
      </c>
      <c r="I1969" t="s">
        <v>72</v>
      </c>
      <c r="J1969">
        <v>496</v>
      </c>
      <c r="K1969" s="3">
        <v>0</v>
      </c>
      <c r="L1969">
        <v>4116.8</v>
      </c>
    </row>
    <row r="1970" spans="1:12" x14ac:dyDescent="0.3">
      <c r="A1970">
        <v>8</v>
      </c>
      <c r="B1970">
        <v>18</v>
      </c>
      <c r="C1970">
        <v>3</v>
      </c>
      <c r="D1970">
        <v>18</v>
      </c>
      <c r="E1970">
        <v>1</v>
      </c>
      <c r="F1970">
        <v>0</v>
      </c>
      <c r="G1970">
        <v>8</v>
      </c>
      <c r="H1970" t="s">
        <v>34</v>
      </c>
      <c r="I1970" t="s">
        <v>91</v>
      </c>
      <c r="J1970">
        <v>565</v>
      </c>
      <c r="K1970" s="3">
        <v>7.6</v>
      </c>
      <c r="L1970">
        <v>4294</v>
      </c>
    </row>
    <row r="1971" spans="1:12" x14ac:dyDescent="0.3">
      <c r="A1971">
        <v>20</v>
      </c>
      <c r="B1971">
        <v>0</v>
      </c>
      <c r="C1971">
        <v>2</v>
      </c>
      <c r="D1971">
        <v>6</v>
      </c>
      <c r="E1971">
        <v>1</v>
      </c>
      <c r="F1971">
        <v>0</v>
      </c>
      <c r="G1971">
        <v>1</v>
      </c>
      <c r="H1971" t="s">
        <v>35</v>
      </c>
      <c r="I1971" t="s">
        <v>121</v>
      </c>
      <c r="J1971">
        <v>650</v>
      </c>
      <c r="K1971" s="3">
        <v>8.1999999999999993</v>
      </c>
      <c r="L1971">
        <v>5329.99999999999</v>
      </c>
    </row>
    <row r="1972" spans="1:12" x14ac:dyDescent="0.3">
      <c r="A1972">
        <v>15</v>
      </c>
      <c r="B1972">
        <v>22</v>
      </c>
      <c r="C1972">
        <v>0</v>
      </c>
      <c r="D1972">
        <v>0</v>
      </c>
      <c r="E1972">
        <v>1</v>
      </c>
      <c r="F1972">
        <v>0</v>
      </c>
      <c r="G1972">
        <v>1</v>
      </c>
      <c r="H1972" t="s">
        <v>24</v>
      </c>
      <c r="I1972" t="s">
        <v>84</v>
      </c>
      <c r="J1972">
        <v>384</v>
      </c>
      <c r="K1972" s="3">
        <v>7.9</v>
      </c>
      <c r="L1972">
        <v>3033.6</v>
      </c>
    </row>
    <row r="1973" spans="1:12" x14ac:dyDescent="0.3">
      <c r="A1973">
        <v>20</v>
      </c>
      <c r="B1973">
        <v>23</v>
      </c>
      <c r="C1973">
        <v>0</v>
      </c>
      <c r="D1973">
        <v>4</v>
      </c>
      <c r="E1973">
        <v>12</v>
      </c>
      <c r="F1973">
        <v>0</v>
      </c>
      <c r="G1973">
        <v>3</v>
      </c>
      <c r="H1973" t="s">
        <v>23</v>
      </c>
      <c r="I1973" t="s">
        <v>73</v>
      </c>
      <c r="J1973">
        <v>640</v>
      </c>
      <c r="K1973">
        <v>8.4</v>
      </c>
      <c r="L1973">
        <v>99999</v>
      </c>
    </row>
    <row r="1974" spans="1:12" x14ac:dyDescent="0.3">
      <c r="A1974">
        <v>7</v>
      </c>
      <c r="B1974">
        <v>18</v>
      </c>
      <c r="C1974">
        <v>0</v>
      </c>
      <c r="D1974">
        <v>10</v>
      </c>
      <c r="E1974">
        <v>0</v>
      </c>
      <c r="F1974">
        <v>0</v>
      </c>
      <c r="G1974">
        <v>3</v>
      </c>
      <c r="H1974" t="s">
        <v>369</v>
      </c>
      <c r="I1974" t="s">
        <v>83</v>
      </c>
      <c r="J1974">
        <v>514</v>
      </c>
      <c r="K1974" s="3">
        <v>8.3000000000000007</v>
      </c>
      <c r="L1974">
        <v>4266.2</v>
      </c>
    </row>
    <row r="1975" spans="1:12" x14ac:dyDescent="0.3">
      <c r="A1975">
        <v>23</v>
      </c>
      <c r="B1975">
        <v>23</v>
      </c>
      <c r="C1975">
        <v>3</v>
      </c>
      <c r="D1975">
        <v>14</v>
      </c>
      <c r="E1975">
        <v>12</v>
      </c>
      <c r="F1975">
        <v>0</v>
      </c>
      <c r="G1975">
        <v>9</v>
      </c>
      <c r="H1975" t="s">
        <v>23</v>
      </c>
      <c r="I1975" t="s">
        <v>80</v>
      </c>
      <c r="J1975">
        <v>0</v>
      </c>
      <c r="K1975" s="3">
        <v>8.4</v>
      </c>
      <c r="L1975">
        <v>5140.8</v>
      </c>
    </row>
    <row r="1976" spans="1:12" x14ac:dyDescent="0.3">
      <c r="A1976">
        <v>7</v>
      </c>
      <c r="B1976">
        <v>19</v>
      </c>
      <c r="C1976">
        <v>0</v>
      </c>
      <c r="D1976">
        <v>16</v>
      </c>
      <c r="E1976">
        <v>1</v>
      </c>
      <c r="F1976">
        <v>0</v>
      </c>
      <c r="G1976">
        <v>2</v>
      </c>
      <c r="H1976" t="s">
        <v>21</v>
      </c>
      <c r="I1976" t="s">
        <v>368</v>
      </c>
      <c r="J1976">
        <v>453</v>
      </c>
      <c r="K1976" s="3">
        <v>8.6999999999999993</v>
      </c>
      <c r="L1976">
        <v>3941.0999999999899</v>
      </c>
    </row>
    <row r="1977" spans="1:12" x14ac:dyDescent="0.3">
      <c r="A1977">
        <v>20</v>
      </c>
      <c r="B1977">
        <v>23</v>
      </c>
      <c r="C1977">
        <v>2</v>
      </c>
      <c r="D1977">
        <v>16</v>
      </c>
      <c r="E1977">
        <v>12</v>
      </c>
      <c r="F1977">
        <v>0</v>
      </c>
      <c r="G1977">
        <v>3</v>
      </c>
      <c r="H1977" t="s">
        <v>36</v>
      </c>
      <c r="I1977" t="s">
        <v>93</v>
      </c>
      <c r="J1977">
        <v>753</v>
      </c>
      <c r="K1977" s="3">
        <v>8.8000000000000007</v>
      </c>
      <c r="L1977">
        <v>6626.4</v>
      </c>
    </row>
    <row r="1978" spans="1:12" x14ac:dyDescent="0.3">
      <c r="A1978">
        <v>14</v>
      </c>
      <c r="B1978">
        <v>0</v>
      </c>
      <c r="C1978">
        <v>3</v>
      </c>
      <c r="D1978">
        <v>16</v>
      </c>
      <c r="E1978">
        <v>1</v>
      </c>
      <c r="F1978">
        <v>0</v>
      </c>
      <c r="G1978">
        <v>0</v>
      </c>
      <c r="H1978" t="s">
        <v>24</v>
      </c>
      <c r="I1978" t="s">
        <v>77</v>
      </c>
      <c r="J1978">
        <v>580</v>
      </c>
      <c r="K1978" s="3">
        <v>7.9</v>
      </c>
      <c r="L1978">
        <v>4582</v>
      </c>
    </row>
    <row r="1979" spans="1:12" x14ac:dyDescent="0.3">
      <c r="A1979">
        <v>14</v>
      </c>
      <c r="B1979">
        <v>23</v>
      </c>
      <c r="C1979">
        <v>0</v>
      </c>
      <c r="D1979">
        <v>18</v>
      </c>
      <c r="E1979">
        <v>1</v>
      </c>
      <c r="F1979">
        <v>0</v>
      </c>
      <c r="G1979">
        <v>12</v>
      </c>
      <c r="H1979" t="s">
        <v>33</v>
      </c>
      <c r="I1979" t="s">
        <v>100</v>
      </c>
      <c r="J1979">
        <v>524</v>
      </c>
      <c r="K1979" s="3">
        <v>9.3000000000000007</v>
      </c>
      <c r="L1979">
        <v>4873.2</v>
      </c>
    </row>
    <row r="1980" spans="1:12" x14ac:dyDescent="0.3">
      <c r="A1980">
        <v>6</v>
      </c>
      <c r="B1980">
        <v>22</v>
      </c>
      <c r="C1980">
        <v>1</v>
      </c>
      <c r="D1980">
        <v>9</v>
      </c>
      <c r="E1980">
        <v>1</v>
      </c>
      <c r="F1980">
        <v>0</v>
      </c>
      <c r="G1980">
        <v>3</v>
      </c>
      <c r="H1980" t="s">
        <v>15</v>
      </c>
      <c r="I1980" t="s">
        <v>106</v>
      </c>
      <c r="J1980">
        <v>355</v>
      </c>
      <c r="K1980" s="3">
        <v>8.3000000000000007</v>
      </c>
      <c r="L1980">
        <v>2946.5</v>
      </c>
    </row>
    <row r="1981" spans="1:12" x14ac:dyDescent="0.3">
      <c r="A1981">
        <v>5</v>
      </c>
      <c r="B1981">
        <v>21</v>
      </c>
      <c r="C1981">
        <v>3</v>
      </c>
      <c r="D1981">
        <v>17</v>
      </c>
      <c r="E1981">
        <v>1</v>
      </c>
      <c r="F1981">
        <v>0</v>
      </c>
      <c r="G1981">
        <v>10</v>
      </c>
      <c r="H1981" t="s">
        <v>369</v>
      </c>
      <c r="I1981" t="s">
        <v>113</v>
      </c>
      <c r="J1981">
        <v>447</v>
      </c>
      <c r="K1981" s="3">
        <v>9.1</v>
      </c>
      <c r="L1981">
        <v>4067.7</v>
      </c>
    </row>
    <row r="1982" spans="1:12" x14ac:dyDescent="0.3">
      <c r="A1982">
        <v>16</v>
      </c>
      <c r="B1982">
        <v>22</v>
      </c>
      <c r="C1982">
        <v>1</v>
      </c>
      <c r="D1982">
        <v>15</v>
      </c>
      <c r="E1982">
        <v>1</v>
      </c>
      <c r="F1982">
        <v>0</v>
      </c>
      <c r="G1982">
        <v>1</v>
      </c>
      <c r="H1982" t="s">
        <v>20</v>
      </c>
      <c r="I1982" t="s">
        <v>72</v>
      </c>
      <c r="J1982">
        <v>640</v>
      </c>
      <c r="K1982" s="3">
        <v>9.1</v>
      </c>
      <c r="L1982">
        <v>5824</v>
      </c>
    </row>
    <row r="1983" spans="1:12" x14ac:dyDescent="0.3">
      <c r="A1983">
        <v>11</v>
      </c>
      <c r="B1983">
        <v>23</v>
      </c>
      <c r="C1983">
        <v>0</v>
      </c>
      <c r="D1983">
        <v>8</v>
      </c>
      <c r="E1983">
        <v>1</v>
      </c>
      <c r="F1983">
        <v>0</v>
      </c>
      <c r="G1983">
        <v>5</v>
      </c>
      <c r="H1983" t="s">
        <v>22</v>
      </c>
      <c r="I1983" t="s">
        <v>93</v>
      </c>
      <c r="J1983">
        <v>444</v>
      </c>
      <c r="K1983" s="3">
        <v>7.8</v>
      </c>
      <c r="L1983">
        <v>3463.2</v>
      </c>
    </row>
    <row r="1984" spans="1:12" x14ac:dyDescent="0.3">
      <c r="A1984">
        <v>5</v>
      </c>
      <c r="B1984">
        <v>20</v>
      </c>
      <c r="C1984">
        <v>3</v>
      </c>
      <c r="D1984">
        <v>7</v>
      </c>
      <c r="E1984">
        <v>1</v>
      </c>
      <c r="F1984">
        <v>0</v>
      </c>
      <c r="G1984">
        <v>3</v>
      </c>
      <c r="H1984" t="s">
        <v>19</v>
      </c>
      <c r="I1984" t="s">
        <v>72</v>
      </c>
      <c r="J1984">
        <v>294</v>
      </c>
      <c r="K1984" s="3">
        <v>0</v>
      </c>
      <c r="L1984">
        <v>2616.6</v>
      </c>
    </row>
    <row r="1985" spans="1:12" x14ac:dyDescent="0.3">
      <c r="A1985">
        <v>22</v>
      </c>
      <c r="B1985">
        <v>22</v>
      </c>
      <c r="C1985">
        <v>1</v>
      </c>
      <c r="D1985">
        <v>16</v>
      </c>
      <c r="E1985">
        <v>1</v>
      </c>
      <c r="F1985">
        <v>0</v>
      </c>
      <c r="G1985">
        <v>1</v>
      </c>
      <c r="H1985" t="s">
        <v>369</v>
      </c>
      <c r="I1985" t="s">
        <v>97</v>
      </c>
      <c r="J1985">
        <v>699</v>
      </c>
      <c r="K1985" s="3">
        <v>9.1</v>
      </c>
      <c r="L1985">
        <v>6360.9</v>
      </c>
    </row>
    <row r="1986" spans="1:12" x14ac:dyDescent="0.3">
      <c r="A1986">
        <v>12</v>
      </c>
      <c r="B1986">
        <v>23</v>
      </c>
      <c r="C1986">
        <v>1</v>
      </c>
      <c r="D1986">
        <v>20</v>
      </c>
      <c r="E1986">
        <v>1</v>
      </c>
      <c r="F1986">
        <v>0</v>
      </c>
      <c r="G1986">
        <v>3</v>
      </c>
      <c r="H1986" t="s">
        <v>16</v>
      </c>
      <c r="I1986" t="s">
        <v>87</v>
      </c>
      <c r="J1986">
        <v>577</v>
      </c>
      <c r="K1986" s="3">
        <v>0</v>
      </c>
      <c r="L1986">
        <v>5135.3</v>
      </c>
    </row>
    <row r="1987" spans="1:12" x14ac:dyDescent="0.3">
      <c r="A1987">
        <v>7</v>
      </c>
      <c r="B1987">
        <v>18</v>
      </c>
      <c r="C1987">
        <v>2</v>
      </c>
      <c r="D1987">
        <v>19</v>
      </c>
      <c r="E1987">
        <v>1</v>
      </c>
      <c r="F1987">
        <v>0</v>
      </c>
      <c r="G1987">
        <v>3</v>
      </c>
      <c r="H1987" t="s">
        <v>33</v>
      </c>
      <c r="I1987" t="s">
        <v>132</v>
      </c>
      <c r="J1987">
        <v>486</v>
      </c>
      <c r="K1987" s="3">
        <v>9.3000000000000007</v>
      </c>
      <c r="L1987">
        <v>4519.8</v>
      </c>
    </row>
    <row r="1988" spans="1:12" x14ac:dyDescent="0.3">
      <c r="A1988">
        <v>11</v>
      </c>
      <c r="B1988">
        <v>22</v>
      </c>
      <c r="C1988">
        <v>3</v>
      </c>
      <c r="D1988">
        <v>21</v>
      </c>
      <c r="E1988">
        <v>1</v>
      </c>
      <c r="F1988">
        <v>0</v>
      </c>
      <c r="G1988">
        <v>6</v>
      </c>
      <c r="H1988" t="s">
        <v>37</v>
      </c>
      <c r="I1988" t="s">
        <v>368</v>
      </c>
      <c r="J1988">
        <v>596</v>
      </c>
      <c r="K1988" s="3">
        <v>8.3000000000000007</v>
      </c>
      <c r="L1988">
        <v>4946.8</v>
      </c>
    </row>
    <row r="1989" spans="1:12" x14ac:dyDescent="0.3">
      <c r="A1989">
        <v>17</v>
      </c>
      <c r="B1989">
        <v>22</v>
      </c>
      <c r="C1989">
        <v>1</v>
      </c>
      <c r="D1989">
        <v>6</v>
      </c>
      <c r="E1989">
        <v>1</v>
      </c>
      <c r="F1989">
        <v>0</v>
      </c>
      <c r="G1989">
        <v>0</v>
      </c>
      <c r="H1989" t="s">
        <v>18</v>
      </c>
      <c r="I1989" t="s">
        <v>84</v>
      </c>
      <c r="J1989">
        <v>561</v>
      </c>
      <c r="K1989" s="3">
        <v>7.7</v>
      </c>
      <c r="L1989">
        <v>4319.7</v>
      </c>
    </row>
    <row r="1990" spans="1:12" x14ac:dyDescent="0.3">
      <c r="A1990">
        <v>18</v>
      </c>
      <c r="B1990">
        <v>22</v>
      </c>
      <c r="C1990">
        <v>1</v>
      </c>
      <c r="D1990">
        <v>0</v>
      </c>
      <c r="E1990">
        <v>12</v>
      </c>
      <c r="F1990">
        <v>0</v>
      </c>
      <c r="G1990">
        <v>11</v>
      </c>
      <c r="H1990" t="s">
        <v>16</v>
      </c>
      <c r="I1990" t="s">
        <v>70</v>
      </c>
      <c r="J1990">
        <v>757</v>
      </c>
      <c r="K1990" s="3">
        <v>8.9</v>
      </c>
      <c r="L1990">
        <v>6737.3</v>
      </c>
    </row>
    <row r="1991" spans="1:12" x14ac:dyDescent="0.3">
      <c r="A1991">
        <v>14</v>
      </c>
      <c r="B1991">
        <v>22</v>
      </c>
      <c r="C1991">
        <v>3</v>
      </c>
      <c r="D1991">
        <v>6</v>
      </c>
      <c r="E1991">
        <v>1</v>
      </c>
      <c r="F1991">
        <v>0</v>
      </c>
      <c r="G1991">
        <v>7</v>
      </c>
      <c r="H1991" t="s">
        <v>52</v>
      </c>
      <c r="I1991" t="s">
        <v>93</v>
      </c>
      <c r="J1991">
        <v>560</v>
      </c>
      <c r="K1991" s="3">
        <v>9.3000000000000007</v>
      </c>
      <c r="L1991">
        <v>0</v>
      </c>
    </row>
    <row r="1992" spans="1:12" x14ac:dyDescent="0.3">
      <c r="A1992">
        <v>17</v>
      </c>
      <c r="B1992">
        <v>23</v>
      </c>
      <c r="C1992">
        <v>2</v>
      </c>
      <c r="D1992">
        <v>18</v>
      </c>
      <c r="E1992">
        <v>1</v>
      </c>
      <c r="F1992">
        <v>0</v>
      </c>
      <c r="G1992">
        <v>4</v>
      </c>
      <c r="H1992" t="s">
        <v>22</v>
      </c>
      <c r="I1992" t="s">
        <v>71</v>
      </c>
      <c r="J1992">
        <v>703</v>
      </c>
      <c r="K1992" s="3">
        <v>7.8</v>
      </c>
      <c r="L1992">
        <v>5483.4</v>
      </c>
    </row>
    <row r="1993" spans="1:12" x14ac:dyDescent="0.3">
      <c r="A1993">
        <v>21</v>
      </c>
      <c r="B1993">
        <v>22</v>
      </c>
      <c r="C1993">
        <v>3</v>
      </c>
      <c r="D1993">
        <v>17</v>
      </c>
      <c r="E1993">
        <v>0</v>
      </c>
      <c r="F1993">
        <v>0</v>
      </c>
      <c r="G1993">
        <v>11</v>
      </c>
      <c r="H1993" t="s">
        <v>18</v>
      </c>
      <c r="I1993" t="s">
        <v>91</v>
      </c>
      <c r="J1993">
        <v>512</v>
      </c>
      <c r="K1993" s="3">
        <v>7.7</v>
      </c>
      <c r="L1993">
        <v>3942.4</v>
      </c>
    </row>
    <row r="1994" spans="1:12" x14ac:dyDescent="0.3">
      <c r="A1994">
        <v>20</v>
      </c>
      <c r="B1994">
        <v>22</v>
      </c>
      <c r="C1994">
        <v>3</v>
      </c>
      <c r="D1994">
        <v>5</v>
      </c>
      <c r="E1994">
        <v>1</v>
      </c>
      <c r="F1994">
        <v>0</v>
      </c>
      <c r="G1994">
        <v>12</v>
      </c>
      <c r="H1994" t="s">
        <v>38</v>
      </c>
      <c r="I1994" t="s">
        <v>95</v>
      </c>
      <c r="J1994">
        <v>612</v>
      </c>
      <c r="K1994" s="3">
        <v>7.4</v>
      </c>
      <c r="L1994">
        <v>4528.8</v>
      </c>
    </row>
    <row r="1995" spans="1:12" x14ac:dyDescent="0.3">
      <c r="A1995">
        <v>21</v>
      </c>
      <c r="B1995">
        <v>23</v>
      </c>
      <c r="C1995">
        <v>2</v>
      </c>
      <c r="D1995">
        <v>5</v>
      </c>
      <c r="E1995">
        <v>1</v>
      </c>
      <c r="F1995">
        <v>0</v>
      </c>
      <c r="G1995">
        <v>0</v>
      </c>
      <c r="H1995" t="s">
        <v>27</v>
      </c>
      <c r="I1995" t="s">
        <v>83</v>
      </c>
      <c r="J1995">
        <v>417</v>
      </c>
      <c r="K1995" s="3">
        <v>8.4</v>
      </c>
      <c r="L1995">
        <v>0</v>
      </c>
    </row>
    <row r="1996" spans="1:12" x14ac:dyDescent="0.3">
      <c r="A1996">
        <v>11</v>
      </c>
      <c r="B1996">
        <v>22</v>
      </c>
      <c r="C1996">
        <v>3</v>
      </c>
      <c r="D1996">
        <v>0</v>
      </c>
      <c r="E1996">
        <v>1</v>
      </c>
      <c r="F1996">
        <v>0</v>
      </c>
      <c r="G1996">
        <v>11</v>
      </c>
      <c r="H1996" t="s">
        <v>24</v>
      </c>
      <c r="I1996" t="s">
        <v>91</v>
      </c>
      <c r="J1996">
        <v>565</v>
      </c>
      <c r="K1996">
        <v>7.9</v>
      </c>
      <c r="L1996">
        <v>4463.5</v>
      </c>
    </row>
    <row r="1997" spans="1:12" x14ac:dyDescent="0.3">
      <c r="A1997">
        <v>11</v>
      </c>
      <c r="B1997">
        <v>23</v>
      </c>
      <c r="C1997">
        <v>2</v>
      </c>
      <c r="D1997">
        <v>9</v>
      </c>
      <c r="E1997">
        <v>1</v>
      </c>
      <c r="F1997">
        <v>0</v>
      </c>
      <c r="G1997">
        <v>12</v>
      </c>
      <c r="H1997" t="s">
        <v>32</v>
      </c>
      <c r="I1997" t="s">
        <v>91</v>
      </c>
      <c r="J1997">
        <v>509</v>
      </c>
      <c r="K1997" s="3">
        <v>7.6</v>
      </c>
      <c r="L1997">
        <v>3868.3999999999901</v>
      </c>
    </row>
    <row r="1998" spans="1:12" x14ac:dyDescent="0.3">
      <c r="A1998">
        <v>12</v>
      </c>
      <c r="B1998">
        <v>22</v>
      </c>
      <c r="C1998">
        <v>1</v>
      </c>
      <c r="D1998">
        <v>4</v>
      </c>
      <c r="E1998">
        <v>1</v>
      </c>
      <c r="F1998">
        <v>0</v>
      </c>
      <c r="G1998">
        <v>7</v>
      </c>
      <c r="H1998" t="s">
        <v>36</v>
      </c>
      <c r="I1998" t="s">
        <v>84</v>
      </c>
      <c r="J1998">
        <v>518</v>
      </c>
      <c r="K1998" s="3">
        <v>8.8000000000000007</v>
      </c>
      <c r="L1998">
        <v>4558.3999999999996</v>
      </c>
    </row>
    <row r="1999" spans="1:12" x14ac:dyDescent="0.3">
      <c r="A1999">
        <v>5</v>
      </c>
      <c r="B1999">
        <v>19</v>
      </c>
      <c r="C1999">
        <v>2</v>
      </c>
      <c r="D1999">
        <v>4</v>
      </c>
      <c r="E1999">
        <v>1</v>
      </c>
      <c r="F1999">
        <v>0</v>
      </c>
      <c r="G1999">
        <v>7</v>
      </c>
      <c r="H1999" t="s">
        <v>32</v>
      </c>
      <c r="I1999" t="s">
        <v>104</v>
      </c>
      <c r="J1999">
        <v>236</v>
      </c>
      <c r="K1999" s="3">
        <v>7.6</v>
      </c>
      <c r="L1999">
        <v>1793.6</v>
      </c>
    </row>
    <row r="2000" spans="1:12" x14ac:dyDescent="0.3">
      <c r="A2000">
        <v>16</v>
      </c>
      <c r="B2000">
        <v>22</v>
      </c>
      <c r="C2000">
        <v>1</v>
      </c>
      <c r="D2000">
        <v>11</v>
      </c>
      <c r="E2000">
        <v>0</v>
      </c>
      <c r="F2000">
        <v>0</v>
      </c>
      <c r="G2000">
        <v>3</v>
      </c>
      <c r="H2000" t="s">
        <v>15</v>
      </c>
      <c r="I2000" t="s">
        <v>126</v>
      </c>
      <c r="J2000">
        <v>622</v>
      </c>
      <c r="K2000" s="3">
        <v>8.3000000000000007</v>
      </c>
      <c r="L2000">
        <v>5162.6000000000004</v>
      </c>
    </row>
    <row r="2001" spans="1:12" x14ac:dyDescent="0.3">
      <c r="A2001">
        <v>7</v>
      </c>
      <c r="B2001">
        <v>17</v>
      </c>
      <c r="C2001">
        <v>3</v>
      </c>
      <c r="D2001">
        <v>14</v>
      </c>
      <c r="E2001">
        <v>1</v>
      </c>
      <c r="F2001">
        <v>0</v>
      </c>
      <c r="G2001">
        <v>8</v>
      </c>
      <c r="H2001" t="s">
        <v>30</v>
      </c>
      <c r="I2001" t="s">
        <v>94</v>
      </c>
      <c r="J2001">
        <v>325</v>
      </c>
      <c r="K2001" s="3">
        <v>9.1999999999999993</v>
      </c>
      <c r="L2001">
        <v>2989.99999999999</v>
      </c>
    </row>
    <row r="2002" spans="1:12" x14ac:dyDescent="0.3">
      <c r="A2002">
        <v>0</v>
      </c>
      <c r="B2002">
        <v>17</v>
      </c>
      <c r="C2002">
        <v>0</v>
      </c>
      <c r="D2002">
        <v>12</v>
      </c>
      <c r="E2002">
        <v>0</v>
      </c>
      <c r="F2002">
        <v>0</v>
      </c>
      <c r="G2002">
        <v>2</v>
      </c>
      <c r="H2002" t="s">
        <v>19</v>
      </c>
      <c r="I2002" t="s">
        <v>114</v>
      </c>
      <c r="J2002">
        <v>389</v>
      </c>
      <c r="K2002" s="3">
        <v>8.9</v>
      </c>
      <c r="L2002">
        <v>3462.1</v>
      </c>
    </row>
    <row r="2003" spans="1:12" x14ac:dyDescent="0.3">
      <c r="A2003">
        <v>23</v>
      </c>
      <c r="B2003">
        <v>0</v>
      </c>
      <c r="C2003">
        <v>0</v>
      </c>
      <c r="D2003">
        <v>15</v>
      </c>
      <c r="E2003">
        <v>1</v>
      </c>
      <c r="F2003">
        <v>0</v>
      </c>
      <c r="G2003">
        <v>8</v>
      </c>
      <c r="H2003" t="s">
        <v>30</v>
      </c>
      <c r="I2003" t="s">
        <v>85</v>
      </c>
      <c r="J2003">
        <v>476</v>
      </c>
      <c r="K2003" s="3">
        <v>9.1999999999999993</v>
      </c>
      <c r="L2003">
        <v>4379.2</v>
      </c>
    </row>
    <row r="2004" spans="1:12" x14ac:dyDescent="0.3">
      <c r="A2004">
        <v>12</v>
      </c>
      <c r="B2004">
        <v>22</v>
      </c>
      <c r="C2004">
        <v>2</v>
      </c>
      <c r="D2004">
        <v>11</v>
      </c>
      <c r="E2004">
        <v>1</v>
      </c>
      <c r="F2004">
        <v>0</v>
      </c>
      <c r="G2004">
        <v>11</v>
      </c>
      <c r="H2004" t="s">
        <v>18</v>
      </c>
      <c r="I2004" t="s">
        <v>124</v>
      </c>
      <c r="J2004">
        <v>465</v>
      </c>
      <c r="K2004" s="3">
        <v>7.7</v>
      </c>
      <c r="L2004">
        <v>3580.5</v>
      </c>
    </row>
    <row r="2005" spans="1:12" x14ac:dyDescent="0.3">
      <c r="A2005">
        <v>22</v>
      </c>
      <c r="B2005">
        <v>22</v>
      </c>
      <c r="C2005">
        <v>2</v>
      </c>
      <c r="D2005">
        <v>12</v>
      </c>
      <c r="E2005">
        <v>1</v>
      </c>
      <c r="F2005">
        <v>0</v>
      </c>
      <c r="G2005">
        <v>5</v>
      </c>
      <c r="H2005" t="s">
        <v>18</v>
      </c>
      <c r="I2005" t="s">
        <v>114</v>
      </c>
      <c r="J2005">
        <v>666</v>
      </c>
      <c r="K2005" s="3">
        <v>7.7</v>
      </c>
      <c r="L2005">
        <v>5128.2</v>
      </c>
    </row>
    <row r="2006" spans="1:12" x14ac:dyDescent="0.3">
      <c r="A2006">
        <v>17</v>
      </c>
      <c r="B2006">
        <v>22</v>
      </c>
      <c r="C2006">
        <v>0</v>
      </c>
      <c r="D2006">
        <v>8</v>
      </c>
      <c r="E2006">
        <v>1</v>
      </c>
      <c r="F2006">
        <v>0</v>
      </c>
      <c r="G2006">
        <v>12</v>
      </c>
      <c r="H2006" t="s">
        <v>20</v>
      </c>
      <c r="I2006" t="s">
        <v>102</v>
      </c>
      <c r="J2006">
        <v>511</v>
      </c>
      <c r="K2006" s="3">
        <v>9.1</v>
      </c>
      <c r="L2006">
        <v>4650.0999999999904</v>
      </c>
    </row>
    <row r="2007" spans="1:12" x14ac:dyDescent="0.3">
      <c r="A2007">
        <v>7</v>
      </c>
      <c r="B2007">
        <v>18</v>
      </c>
      <c r="C2007">
        <v>3</v>
      </c>
      <c r="D2007">
        <v>9</v>
      </c>
      <c r="E2007">
        <v>7</v>
      </c>
      <c r="F2007">
        <v>0</v>
      </c>
      <c r="G2007">
        <v>4</v>
      </c>
      <c r="H2007" t="s">
        <v>30</v>
      </c>
      <c r="I2007" t="s">
        <v>99</v>
      </c>
      <c r="J2007">
        <v>480</v>
      </c>
      <c r="K2007" s="3">
        <v>9.1999999999999993</v>
      </c>
      <c r="L2007">
        <v>4416</v>
      </c>
    </row>
    <row r="2008" spans="1:12" x14ac:dyDescent="0.3">
      <c r="A2008">
        <v>13</v>
      </c>
      <c r="B2008">
        <v>22</v>
      </c>
      <c r="C2008">
        <v>0</v>
      </c>
      <c r="D2008">
        <v>10</v>
      </c>
      <c r="E2008">
        <v>12</v>
      </c>
      <c r="F2008">
        <v>0</v>
      </c>
      <c r="G2008">
        <v>1</v>
      </c>
      <c r="H2008" t="s">
        <v>16</v>
      </c>
      <c r="I2008" t="s">
        <v>81</v>
      </c>
      <c r="J2008">
        <v>449</v>
      </c>
      <c r="K2008" s="3">
        <v>8.9</v>
      </c>
      <c r="L2008">
        <v>3996.1</v>
      </c>
    </row>
    <row r="2009" spans="1:12" x14ac:dyDescent="0.3">
      <c r="A2009">
        <v>23</v>
      </c>
      <c r="B2009">
        <v>23</v>
      </c>
      <c r="C2009">
        <v>2</v>
      </c>
      <c r="D2009">
        <v>12</v>
      </c>
      <c r="E2009">
        <v>1</v>
      </c>
      <c r="F2009">
        <v>0</v>
      </c>
      <c r="G2009">
        <v>12</v>
      </c>
      <c r="H2009" t="s">
        <v>14</v>
      </c>
      <c r="I2009" t="s">
        <v>77</v>
      </c>
      <c r="J2009">
        <v>579</v>
      </c>
      <c r="K2009" s="3">
        <v>8.9</v>
      </c>
      <c r="L2009">
        <v>5153.1000000000004</v>
      </c>
    </row>
    <row r="2010" spans="1:12" x14ac:dyDescent="0.3">
      <c r="A2010">
        <v>16</v>
      </c>
      <c r="B2010">
        <v>23</v>
      </c>
      <c r="C2010">
        <v>1</v>
      </c>
      <c r="D2010">
        <v>9</v>
      </c>
      <c r="E2010">
        <v>1</v>
      </c>
      <c r="F2010">
        <v>0</v>
      </c>
      <c r="G2010">
        <v>2</v>
      </c>
      <c r="H2010" t="s">
        <v>49</v>
      </c>
      <c r="I2010" t="s">
        <v>368</v>
      </c>
      <c r="J2010">
        <v>560</v>
      </c>
      <c r="K2010" s="3">
        <v>8.5</v>
      </c>
      <c r="L2010">
        <v>4760</v>
      </c>
    </row>
    <row r="2011" spans="1:12" x14ac:dyDescent="0.3">
      <c r="A2011">
        <v>22</v>
      </c>
      <c r="B2011">
        <v>23</v>
      </c>
      <c r="C2011">
        <v>0</v>
      </c>
      <c r="D2011">
        <v>6</v>
      </c>
      <c r="E2011">
        <v>1</v>
      </c>
      <c r="F2011">
        <v>0</v>
      </c>
      <c r="G2011">
        <v>11</v>
      </c>
      <c r="H2011" t="s">
        <v>15</v>
      </c>
      <c r="I2011" t="s">
        <v>88</v>
      </c>
      <c r="J2011">
        <v>548</v>
      </c>
      <c r="K2011" s="3">
        <v>8.3000000000000007</v>
      </c>
      <c r="L2011">
        <v>4548.3999999999996</v>
      </c>
    </row>
    <row r="2012" spans="1:12" x14ac:dyDescent="0.3">
      <c r="A2012">
        <v>15</v>
      </c>
      <c r="B2012">
        <v>22</v>
      </c>
      <c r="C2012">
        <v>2</v>
      </c>
      <c r="D2012">
        <v>4</v>
      </c>
      <c r="E2012">
        <v>1</v>
      </c>
      <c r="F2012">
        <v>0</v>
      </c>
      <c r="G2012">
        <v>5</v>
      </c>
      <c r="H2012" t="s">
        <v>35</v>
      </c>
      <c r="I2012" t="s">
        <v>94</v>
      </c>
      <c r="J2012">
        <v>525</v>
      </c>
      <c r="K2012" s="3">
        <v>8.1999999999999993</v>
      </c>
      <c r="L2012">
        <v>4305</v>
      </c>
    </row>
    <row r="2013" spans="1:12" x14ac:dyDescent="0.3">
      <c r="A2013">
        <v>16</v>
      </c>
      <c r="B2013">
        <v>23</v>
      </c>
      <c r="C2013">
        <v>2</v>
      </c>
      <c r="D2013">
        <v>16</v>
      </c>
      <c r="E2013">
        <v>1</v>
      </c>
      <c r="F2013">
        <v>0</v>
      </c>
      <c r="G2013">
        <v>6</v>
      </c>
      <c r="H2013" t="s">
        <v>26</v>
      </c>
      <c r="I2013" t="s">
        <v>71</v>
      </c>
      <c r="J2013">
        <v>685</v>
      </c>
      <c r="K2013" s="3">
        <v>8.5</v>
      </c>
      <c r="L2013">
        <v>5822.5</v>
      </c>
    </row>
    <row r="2014" spans="1:12" x14ac:dyDescent="0.3">
      <c r="A2014">
        <v>11</v>
      </c>
      <c r="B2014">
        <v>22</v>
      </c>
      <c r="C2014">
        <v>2</v>
      </c>
      <c r="D2014">
        <v>13</v>
      </c>
      <c r="E2014">
        <v>1</v>
      </c>
      <c r="F2014">
        <v>0</v>
      </c>
      <c r="G2014">
        <v>9</v>
      </c>
      <c r="H2014" t="s">
        <v>30</v>
      </c>
      <c r="I2014" t="s">
        <v>95</v>
      </c>
      <c r="J2014">
        <v>385</v>
      </c>
      <c r="K2014" s="3">
        <v>9.1999999999999993</v>
      </c>
      <c r="L2014">
        <v>3541.99999999999</v>
      </c>
    </row>
    <row r="2015" spans="1:12" x14ac:dyDescent="0.3">
      <c r="A2015">
        <v>7</v>
      </c>
      <c r="B2015">
        <v>19</v>
      </c>
      <c r="C2015">
        <v>0</v>
      </c>
      <c r="D2015">
        <v>14</v>
      </c>
      <c r="E2015">
        <v>1</v>
      </c>
      <c r="F2015">
        <v>0</v>
      </c>
      <c r="G2015">
        <v>4</v>
      </c>
      <c r="H2015" t="s">
        <v>52</v>
      </c>
      <c r="I2015" t="s">
        <v>83</v>
      </c>
      <c r="J2015">
        <v>559</v>
      </c>
      <c r="K2015" s="3">
        <v>9.3000000000000007</v>
      </c>
      <c r="L2015">
        <v>5198.7</v>
      </c>
    </row>
    <row r="2016" spans="1:12" x14ac:dyDescent="0.3">
      <c r="A2016">
        <v>23</v>
      </c>
      <c r="B2016">
        <v>22</v>
      </c>
      <c r="C2016">
        <v>2</v>
      </c>
      <c r="D2016">
        <v>20</v>
      </c>
      <c r="E2016">
        <v>1</v>
      </c>
      <c r="F2016">
        <v>0</v>
      </c>
      <c r="G2016">
        <v>11</v>
      </c>
      <c r="H2016" t="s">
        <v>33</v>
      </c>
      <c r="I2016" t="s">
        <v>97</v>
      </c>
      <c r="J2016">
        <v>545</v>
      </c>
      <c r="K2016" s="3">
        <v>9.3000000000000007</v>
      </c>
      <c r="L2016">
        <v>5068.5</v>
      </c>
    </row>
    <row r="2017" spans="1:12" x14ac:dyDescent="0.3">
      <c r="A2017">
        <v>21</v>
      </c>
      <c r="B2017">
        <v>22</v>
      </c>
      <c r="C2017">
        <v>0</v>
      </c>
      <c r="D2017">
        <v>3</v>
      </c>
      <c r="E2017">
        <v>1</v>
      </c>
      <c r="F2017">
        <v>0</v>
      </c>
      <c r="G2017">
        <v>5</v>
      </c>
      <c r="H2017" t="s">
        <v>32</v>
      </c>
      <c r="I2017" t="s">
        <v>77</v>
      </c>
      <c r="J2017">
        <v>462</v>
      </c>
      <c r="K2017" s="3">
        <v>7.6</v>
      </c>
      <c r="L2017">
        <v>3511.2</v>
      </c>
    </row>
    <row r="2018" spans="1:12" x14ac:dyDescent="0.3">
      <c r="A2018">
        <v>23</v>
      </c>
      <c r="B2018">
        <v>0</v>
      </c>
      <c r="C2018">
        <v>1</v>
      </c>
      <c r="D2018">
        <v>12</v>
      </c>
      <c r="E2018">
        <v>1</v>
      </c>
      <c r="F2018">
        <v>0</v>
      </c>
      <c r="G2018">
        <v>12</v>
      </c>
      <c r="H2018" t="s">
        <v>32</v>
      </c>
      <c r="I2018" t="s">
        <v>81</v>
      </c>
      <c r="J2018">
        <v>582</v>
      </c>
      <c r="K2018" s="3">
        <v>7.6</v>
      </c>
      <c r="L2018">
        <v>4423.2</v>
      </c>
    </row>
    <row r="2019" spans="1:12" x14ac:dyDescent="0.3">
      <c r="A2019">
        <v>12</v>
      </c>
      <c r="B2019">
        <v>22</v>
      </c>
      <c r="C2019">
        <v>1</v>
      </c>
      <c r="D2019">
        <v>15</v>
      </c>
      <c r="E2019">
        <v>1</v>
      </c>
      <c r="F2019">
        <v>0</v>
      </c>
      <c r="G2019">
        <v>6</v>
      </c>
      <c r="H2019" t="s">
        <v>36</v>
      </c>
      <c r="I2019" t="s">
        <v>82</v>
      </c>
      <c r="J2019">
        <v>517</v>
      </c>
      <c r="K2019" s="3">
        <v>8.8000000000000007</v>
      </c>
      <c r="L2019">
        <v>4549.6000000000004</v>
      </c>
    </row>
    <row r="2020" spans="1:12" x14ac:dyDescent="0.3">
      <c r="A2020">
        <v>20</v>
      </c>
      <c r="B2020">
        <v>22</v>
      </c>
      <c r="C2020">
        <v>3</v>
      </c>
      <c r="D2020">
        <v>7</v>
      </c>
      <c r="E2020">
        <v>12</v>
      </c>
      <c r="F2020">
        <v>0</v>
      </c>
      <c r="G2020">
        <v>2</v>
      </c>
      <c r="H2020" t="s">
        <v>38</v>
      </c>
      <c r="I2020" t="s">
        <v>84</v>
      </c>
      <c r="J2020">
        <v>659</v>
      </c>
      <c r="K2020" s="3">
        <v>7.4</v>
      </c>
      <c r="L2020">
        <v>4876.6000000000004</v>
      </c>
    </row>
    <row r="2021" spans="1:12" x14ac:dyDescent="0.3">
      <c r="A2021">
        <v>13</v>
      </c>
      <c r="B2021">
        <v>22</v>
      </c>
      <c r="C2021">
        <v>3</v>
      </c>
      <c r="D2021">
        <v>10</v>
      </c>
      <c r="E2021">
        <v>1</v>
      </c>
      <c r="F2021">
        <v>0</v>
      </c>
      <c r="G2021">
        <v>8</v>
      </c>
      <c r="H2021" t="s">
        <v>16</v>
      </c>
      <c r="I2021" t="s">
        <v>91</v>
      </c>
      <c r="J2021">
        <v>0</v>
      </c>
      <c r="K2021" s="3">
        <v>8.9</v>
      </c>
      <c r="L2021">
        <v>4912.8</v>
      </c>
    </row>
    <row r="2022" spans="1:12" x14ac:dyDescent="0.3">
      <c r="A2022">
        <v>6</v>
      </c>
      <c r="B2022">
        <v>19</v>
      </c>
      <c r="C2022">
        <v>2</v>
      </c>
      <c r="D2022">
        <v>10</v>
      </c>
      <c r="E2022">
        <v>1</v>
      </c>
      <c r="F2022">
        <v>0</v>
      </c>
      <c r="G2022">
        <v>9</v>
      </c>
      <c r="H2022" t="s">
        <v>23</v>
      </c>
      <c r="I2022" t="s">
        <v>88</v>
      </c>
      <c r="J2022">
        <v>475</v>
      </c>
      <c r="K2022" s="3">
        <v>8.4</v>
      </c>
      <c r="L2022">
        <v>3990</v>
      </c>
    </row>
    <row r="2023" spans="1:12" x14ac:dyDescent="0.3">
      <c r="A2023">
        <v>14</v>
      </c>
      <c r="B2023">
        <v>22</v>
      </c>
      <c r="C2023">
        <v>3</v>
      </c>
      <c r="D2023">
        <v>16</v>
      </c>
      <c r="E2023">
        <v>1</v>
      </c>
      <c r="F2023">
        <v>0</v>
      </c>
      <c r="G2023">
        <v>12</v>
      </c>
      <c r="H2023" t="s">
        <v>25</v>
      </c>
      <c r="I2023" t="s">
        <v>106</v>
      </c>
      <c r="J2023">
        <v>678</v>
      </c>
      <c r="K2023" s="3">
        <v>8.1</v>
      </c>
      <c r="L2023">
        <v>0</v>
      </c>
    </row>
    <row r="2024" spans="1:12" x14ac:dyDescent="0.3">
      <c r="A2024">
        <v>17</v>
      </c>
      <c r="B2024">
        <v>22</v>
      </c>
      <c r="C2024">
        <v>0</v>
      </c>
      <c r="D2024">
        <v>7</v>
      </c>
      <c r="E2024">
        <v>12</v>
      </c>
      <c r="F2024">
        <v>0</v>
      </c>
      <c r="G2024">
        <v>10</v>
      </c>
      <c r="H2024" t="s">
        <v>28</v>
      </c>
      <c r="I2024" t="s">
        <v>72</v>
      </c>
      <c r="J2024">
        <v>618</v>
      </c>
      <c r="K2024" s="3">
        <v>7.7</v>
      </c>
      <c r="L2024">
        <v>4758.6000000000004</v>
      </c>
    </row>
    <row r="2025" spans="1:12" x14ac:dyDescent="0.3">
      <c r="A2025">
        <v>11</v>
      </c>
      <c r="B2025">
        <v>22</v>
      </c>
      <c r="C2025">
        <v>0</v>
      </c>
      <c r="D2025">
        <v>0</v>
      </c>
      <c r="E2025">
        <v>12</v>
      </c>
      <c r="F2025">
        <v>0</v>
      </c>
      <c r="G2025">
        <v>7</v>
      </c>
      <c r="H2025" t="s">
        <v>35</v>
      </c>
      <c r="I2025" t="s">
        <v>82</v>
      </c>
      <c r="J2025">
        <v>642</v>
      </c>
      <c r="K2025" s="3">
        <v>8.1999999999999993</v>
      </c>
      <c r="L2025">
        <v>5264.4</v>
      </c>
    </row>
    <row r="2026" spans="1:12" x14ac:dyDescent="0.3">
      <c r="A2026">
        <v>23</v>
      </c>
      <c r="B2026">
        <v>22</v>
      </c>
      <c r="C2026">
        <v>1</v>
      </c>
      <c r="D2026">
        <v>4</v>
      </c>
      <c r="E2026">
        <v>1</v>
      </c>
      <c r="F2026">
        <v>0</v>
      </c>
      <c r="G2026">
        <v>7</v>
      </c>
      <c r="H2026" t="s">
        <v>24</v>
      </c>
      <c r="I2026" t="s">
        <v>70</v>
      </c>
      <c r="J2026">
        <v>461</v>
      </c>
      <c r="K2026" s="3">
        <v>7.9</v>
      </c>
      <c r="L2026">
        <v>3641.9</v>
      </c>
    </row>
    <row r="2027" spans="1:12" x14ac:dyDescent="0.3">
      <c r="A2027">
        <v>0</v>
      </c>
      <c r="B2027">
        <v>18</v>
      </c>
      <c r="C2027">
        <v>1</v>
      </c>
      <c r="D2027">
        <v>12</v>
      </c>
      <c r="E2027">
        <v>1</v>
      </c>
      <c r="F2027">
        <v>0</v>
      </c>
      <c r="G2027">
        <v>2</v>
      </c>
      <c r="H2027" t="s">
        <v>60</v>
      </c>
      <c r="I2027" t="s">
        <v>107</v>
      </c>
      <c r="J2027">
        <v>407</v>
      </c>
      <c r="K2027" s="3">
        <v>9.1</v>
      </c>
      <c r="L2027">
        <v>3703.7</v>
      </c>
    </row>
    <row r="2028" spans="1:12" x14ac:dyDescent="0.3">
      <c r="A2028">
        <v>20</v>
      </c>
      <c r="B2028">
        <v>22</v>
      </c>
      <c r="C2028">
        <v>3</v>
      </c>
      <c r="D2028">
        <v>20</v>
      </c>
      <c r="E2028">
        <v>12</v>
      </c>
      <c r="F2028">
        <v>0</v>
      </c>
      <c r="G2028">
        <v>9</v>
      </c>
      <c r="H2028" t="s">
        <v>25</v>
      </c>
      <c r="I2028" t="s">
        <v>85</v>
      </c>
      <c r="J2028">
        <v>662</v>
      </c>
      <c r="K2028" s="3">
        <v>8.1</v>
      </c>
      <c r="L2028">
        <v>5362.2</v>
      </c>
    </row>
    <row r="2029" spans="1:12" x14ac:dyDescent="0.3">
      <c r="A2029">
        <v>16</v>
      </c>
      <c r="B2029">
        <v>23</v>
      </c>
      <c r="C2029">
        <v>0</v>
      </c>
      <c r="D2029">
        <v>15</v>
      </c>
      <c r="E2029">
        <v>1</v>
      </c>
      <c r="F2029">
        <v>0</v>
      </c>
      <c r="G2029">
        <v>3</v>
      </c>
      <c r="H2029" t="s">
        <v>26</v>
      </c>
      <c r="I2029" t="s">
        <v>74</v>
      </c>
      <c r="J2029">
        <v>646</v>
      </c>
      <c r="K2029" s="3">
        <v>8.5</v>
      </c>
      <c r="L2029">
        <v>5491</v>
      </c>
    </row>
    <row r="2030" spans="1:12" x14ac:dyDescent="0.3">
      <c r="A2030">
        <v>21</v>
      </c>
      <c r="B2030">
        <v>23</v>
      </c>
      <c r="C2030">
        <v>2</v>
      </c>
      <c r="D2030">
        <v>11</v>
      </c>
      <c r="E2030">
        <v>1</v>
      </c>
      <c r="F2030">
        <v>0</v>
      </c>
      <c r="G2030">
        <v>7</v>
      </c>
      <c r="H2030" t="s">
        <v>15</v>
      </c>
      <c r="I2030" t="s">
        <v>71</v>
      </c>
      <c r="J2030">
        <v>584</v>
      </c>
      <c r="K2030" s="3">
        <v>8.3000000000000007</v>
      </c>
      <c r="L2030">
        <v>0</v>
      </c>
    </row>
    <row r="2031" spans="1:12" x14ac:dyDescent="0.3">
      <c r="A2031">
        <v>23</v>
      </c>
      <c r="B2031">
        <v>22</v>
      </c>
      <c r="C2031">
        <v>0</v>
      </c>
      <c r="D2031">
        <v>7</v>
      </c>
      <c r="E2031">
        <v>1</v>
      </c>
      <c r="F2031">
        <v>0</v>
      </c>
      <c r="G2031">
        <v>5</v>
      </c>
      <c r="H2031" t="s">
        <v>16</v>
      </c>
      <c r="I2031" t="s">
        <v>90</v>
      </c>
      <c r="J2031">
        <v>469</v>
      </c>
      <c r="K2031" s="3">
        <v>8.9</v>
      </c>
      <c r="L2031">
        <v>4174.1000000000004</v>
      </c>
    </row>
    <row r="2032" spans="1:12" x14ac:dyDescent="0.3">
      <c r="A2032">
        <v>18</v>
      </c>
      <c r="B2032">
        <v>22</v>
      </c>
      <c r="C2032">
        <v>1</v>
      </c>
      <c r="D2032">
        <v>21</v>
      </c>
      <c r="E2032">
        <v>1</v>
      </c>
      <c r="F2032">
        <v>0</v>
      </c>
      <c r="G2032">
        <v>0</v>
      </c>
      <c r="H2032" t="s">
        <v>15</v>
      </c>
      <c r="I2032" t="s">
        <v>105</v>
      </c>
      <c r="J2032">
        <v>552</v>
      </c>
      <c r="K2032" s="3">
        <v>8.3000000000000007</v>
      </c>
      <c r="L2032">
        <v>4581.6000000000004</v>
      </c>
    </row>
    <row r="2033" spans="1:12" x14ac:dyDescent="0.3">
      <c r="A2033">
        <v>7</v>
      </c>
      <c r="B2033">
        <v>22</v>
      </c>
      <c r="C2033">
        <v>0</v>
      </c>
      <c r="D2033">
        <v>7</v>
      </c>
      <c r="E2033">
        <v>0</v>
      </c>
      <c r="F2033">
        <v>0</v>
      </c>
      <c r="G2033">
        <v>1</v>
      </c>
      <c r="H2033" t="s">
        <v>36</v>
      </c>
      <c r="I2033" t="s">
        <v>73</v>
      </c>
      <c r="J2033">
        <v>302</v>
      </c>
      <c r="K2033" s="3">
        <v>8.8000000000000007</v>
      </c>
      <c r="L2033">
        <v>0</v>
      </c>
    </row>
    <row r="2034" spans="1:12" x14ac:dyDescent="0.3">
      <c r="A2034">
        <v>0</v>
      </c>
      <c r="B2034">
        <v>0</v>
      </c>
      <c r="C2034">
        <v>1</v>
      </c>
      <c r="D2034">
        <v>8</v>
      </c>
      <c r="E2034">
        <v>0</v>
      </c>
      <c r="F2034">
        <v>0</v>
      </c>
      <c r="G2034">
        <v>0</v>
      </c>
      <c r="H2034" t="s">
        <v>48</v>
      </c>
      <c r="I2034" t="s">
        <v>106</v>
      </c>
      <c r="J2034">
        <v>427</v>
      </c>
      <c r="K2034" s="3">
        <v>8.6999999999999993</v>
      </c>
      <c r="L2034">
        <v>3714.8999999999901</v>
      </c>
    </row>
    <row r="2035" spans="1:12" x14ac:dyDescent="0.3">
      <c r="A2035">
        <v>14</v>
      </c>
      <c r="B2035">
        <v>23</v>
      </c>
      <c r="C2035">
        <v>0</v>
      </c>
      <c r="D2035">
        <v>6</v>
      </c>
      <c r="E2035">
        <v>1</v>
      </c>
      <c r="F2035">
        <v>0</v>
      </c>
      <c r="G2035">
        <v>10</v>
      </c>
      <c r="H2035" t="s">
        <v>38</v>
      </c>
      <c r="I2035" t="s">
        <v>125</v>
      </c>
      <c r="J2035">
        <v>488</v>
      </c>
      <c r="K2035" s="3">
        <v>7.4</v>
      </c>
      <c r="L2035">
        <v>3611.2</v>
      </c>
    </row>
    <row r="2036" spans="1:12" x14ac:dyDescent="0.3">
      <c r="A2036">
        <v>21</v>
      </c>
      <c r="B2036">
        <v>22</v>
      </c>
      <c r="C2036">
        <v>0</v>
      </c>
      <c r="D2036">
        <v>22</v>
      </c>
      <c r="E2036">
        <v>1</v>
      </c>
      <c r="F2036">
        <v>0</v>
      </c>
      <c r="G2036">
        <v>3</v>
      </c>
      <c r="H2036" t="s">
        <v>18</v>
      </c>
      <c r="I2036" t="s">
        <v>85</v>
      </c>
      <c r="J2036">
        <v>487</v>
      </c>
      <c r="K2036" s="3">
        <v>7.7</v>
      </c>
      <c r="L2036">
        <v>3749.9</v>
      </c>
    </row>
    <row r="2037" spans="1:12" x14ac:dyDescent="0.3">
      <c r="A2037">
        <v>18</v>
      </c>
      <c r="B2037">
        <v>22</v>
      </c>
      <c r="C2037">
        <v>1</v>
      </c>
      <c r="D2037">
        <v>5</v>
      </c>
      <c r="E2037">
        <v>12</v>
      </c>
      <c r="F2037">
        <v>0</v>
      </c>
      <c r="G2037">
        <v>4</v>
      </c>
      <c r="H2037" t="s">
        <v>39</v>
      </c>
      <c r="I2037" t="s">
        <v>95</v>
      </c>
      <c r="J2037">
        <v>626</v>
      </c>
      <c r="K2037" s="3">
        <v>8.8000000000000007</v>
      </c>
      <c r="L2037">
        <v>5508.8</v>
      </c>
    </row>
    <row r="2038" spans="1:12" x14ac:dyDescent="0.3">
      <c r="K2038"/>
    </row>
    <row r="2039" spans="1:12" x14ac:dyDescent="0.3">
      <c r="K2039"/>
    </row>
    <row r="2040" spans="1:12" x14ac:dyDescent="0.3">
      <c r="K2040"/>
    </row>
    <row r="2041" spans="1:12" x14ac:dyDescent="0.3">
      <c r="K2041"/>
    </row>
    <row r="2042" spans="1:12" x14ac:dyDescent="0.3">
      <c r="K2042"/>
    </row>
    <row r="2043" spans="1:12" x14ac:dyDescent="0.3">
      <c r="K2043"/>
    </row>
    <row r="2044" spans="1:12" x14ac:dyDescent="0.3">
      <c r="K2044"/>
    </row>
    <row r="2045" spans="1:12" x14ac:dyDescent="0.3">
      <c r="K2045"/>
    </row>
    <row r="2046" spans="1:12" x14ac:dyDescent="0.3">
      <c r="K2046"/>
    </row>
    <row r="2047" spans="1:12" x14ac:dyDescent="0.3">
      <c r="K2047"/>
    </row>
    <row r="2048" spans="1:12" x14ac:dyDescent="0.3">
      <c r="K2048"/>
    </row>
    <row r="2049" spans="11:11" x14ac:dyDescent="0.3">
      <c r="K2049"/>
    </row>
    <row r="2050" spans="11:11" x14ac:dyDescent="0.3">
      <c r="K2050"/>
    </row>
    <row r="2051" spans="11:11" x14ac:dyDescent="0.3">
      <c r="K2051"/>
    </row>
    <row r="2052" spans="11:11" x14ac:dyDescent="0.3">
      <c r="K2052"/>
    </row>
    <row r="2053" spans="11:11" x14ac:dyDescent="0.3">
      <c r="K2053"/>
    </row>
    <row r="2054" spans="11:11" x14ac:dyDescent="0.3">
      <c r="K2054"/>
    </row>
    <row r="2055" spans="11:11" x14ac:dyDescent="0.3">
      <c r="K2055"/>
    </row>
    <row r="2056" spans="11:11" x14ac:dyDescent="0.3">
      <c r="K2056"/>
    </row>
    <row r="2057" spans="11:11" x14ac:dyDescent="0.3">
      <c r="K2057"/>
    </row>
    <row r="2058" spans="11:11" x14ac:dyDescent="0.3">
      <c r="K2058"/>
    </row>
    <row r="2059" spans="11:11" x14ac:dyDescent="0.3">
      <c r="K2059"/>
    </row>
    <row r="2060" spans="11:11" x14ac:dyDescent="0.3">
      <c r="K2060"/>
    </row>
    <row r="2061" spans="11:11" x14ac:dyDescent="0.3">
      <c r="K2061"/>
    </row>
    <row r="2062" spans="11:11" x14ac:dyDescent="0.3">
      <c r="K2062"/>
    </row>
    <row r="2063" spans="11:11" x14ac:dyDescent="0.3">
      <c r="K2063"/>
    </row>
    <row r="2064" spans="11:11" x14ac:dyDescent="0.3">
      <c r="K2064"/>
    </row>
    <row r="2065" spans="11:11" x14ac:dyDescent="0.3">
      <c r="K2065"/>
    </row>
    <row r="2066" spans="11:11" x14ac:dyDescent="0.3">
      <c r="K2066"/>
    </row>
    <row r="2067" spans="11:11" x14ac:dyDescent="0.3">
      <c r="K2067"/>
    </row>
    <row r="2068" spans="11:11" x14ac:dyDescent="0.3">
      <c r="K2068"/>
    </row>
    <row r="2069" spans="11:11" x14ac:dyDescent="0.3">
      <c r="K2069"/>
    </row>
    <row r="2070" spans="11:11" x14ac:dyDescent="0.3">
      <c r="K2070"/>
    </row>
    <row r="2071" spans="11:11" x14ac:dyDescent="0.3">
      <c r="K2071"/>
    </row>
    <row r="2072" spans="11:11" x14ac:dyDescent="0.3">
      <c r="K2072"/>
    </row>
    <row r="2073" spans="11:11" x14ac:dyDescent="0.3">
      <c r="K2073"/>
    </row>
    <row r="2074" spans="11:11" x14ac:dyDescent="0.3">
      <c r="K2074"/>
    </row>
    <row r="2075" spans="11:11" x14ac:dyDescent="0.3">
      <c r="K2075"/>
    </row>
    <row r="2076" spans="11:11" x14ac:dyDescent="0.3">
      <c r="K207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13561-E713-4D66-8C7F-C6B488CAAB45}">
  <dimension ref="A3:H39"/>
  <sheetViews>
    <sheetView workbookViewId="0"/>
  </sheetViews>
  <sheetFormatPr defaultRowHeight="14.4" x14ac:dyDescent="0.3"/>
  <cols>
    <col min="1" max="1" width="58.88671875" customWidth="1"/>
    <col min="2" max="2" width="21.44140625" style="3" bestFit="1" customWidth="1"/>
    <col min="3" max="3" width="28.5546875" bestFit="1" customWidth="1"/>
    <col min="4" max="4" width="5.33203125" bestFit="1" customWidth="1"/>
    <col min="5" max="5" width="18.88671875" bestFit="1" customWidth="1"/>
    <col min="6" max="6" width="12.88671875" bestFit="1" customWidth="1"/>
    <col min="7" max="7" width="15.33203125" bestFit="1" customWidth="1"/>
    <col min="8" max="8" width="15.6640625" bestFit="1" customWidth="1"/>
    <col min="9" max="9" width="14.44140625" bestFit="1" customWidth="1"/>
    <col min="10" max="10" width="13.33203125" bestFit="1" customWidth="1"/>
    <col min="11" max="11" width="15" bestFit="1" customWidth="1"/>
    <col min="12" max="12" width="15.6640625" bestFit="1" customWidth="1"/>
    <col min="13" max="13" width="28.33203125" bestFit="1" customWidth="1"/>
    <col min="14" max="14" width="60.33203125" bestFit="1" customWidth="1"/>
    <col min="15" max="15" width="4.33203125" bestFit="1" customWidth="1"/>
    <col min="16" max="16" width="32.33203125" bestFit="1" customWidth="1"/>
    <col min="17" max="17" width="5.6640625" bestFit="1" customWidth="1"/>
    <col min="18" max="18" width="9" bestFit="1" customWidth="1"/>
    <col min="19" max="19" width="13.109375" bestFit="1" customWidth="1"/>
    <col min="20" max="20" width="43.44140625" bestFit="1" customWidth="1"/>
    <col min="21" max="21" width="11.6640625" bestFit="1" customWidth="1"/>
    <col min="22" max="22" width="14.6640625" bestFit="1" customWidth="1"/>
    <col min="23" max="23" width="36.6640625" bestFit="1" customWidth="1"/>
    <col min="24" max="24" width="14.33203125" bestFit="1" customWidth="1"/>
    <col min="25" max="25" width="13.88671875" bestFit="1" customWidth="1"/>
    <col min="26" max="26" width="39.109375" bestFit="1" customWidth="1"/>
    <col min="27" max="27" width="8.88671875" bestFit="1" customWidth="1"/>
    <col min="28" max="28" width="27.5546875" bestFit="1" customWidth="1"/>
    <col min="29" max="29" width="14.5546875" bestFit="1" customWidth="1"/>
    <col min="30" max="30" width="23" bestFit="1" customWidth="1"/>
    <col min="31" max="31" width="16.6640625" bestFit="1" customWidth="1"/>
    <col min="32" max="32" width="52.88671875" bestFit="1" customWidth="1"/>
    <col min="33" max="33" width="15.6640625" bestFit="1" customWidth="1"/>
    <col min="34" max="34" width="28.6640625" bestFit="1" customWidth="1"/>
    <col min="35" max="35" width="9" bestFit="1" customWidth="1"/>
    <col min="36" max="36" width="7" bestFit="1" customWidth="1"/>
    <col min="37" max="37" width="10.6640625" bestFit="1" customWidth="1"/>
    <col min="38" max="39" width="5" bestFit="1" customWidth="1"/>
    <col min="40" max="49" width="7" bestFit="1" customWidth="1"/>
    <col min="50" max="50" width="5" bestFit="1" customWidth="1"/>
    <col min="51" max="51" width="7" bestFit="1" customWidth="1"/>
    <col min="52" max="52" width="5" bestFit="1" customWidth="1"/>
    <col min="53" max="59" width="7" bestFit="1" customWidth="1"/>
    <col min="60" max="60" width="5" bestFit="1" customWidth="1"/>
    <col min="61" max="67" width="7" bestFit="1" customWidth="1"/>
    <col min="68" max="68" width="5" bestFit="1" customWidth="1"/>
    <col min="69" max="79" width="7" bestFit="1" customWidth="1"/>
    <col min="80" max="80" width="5" bestFit="1" customWidth="1"/>
    <col min="81" max="85" width="7" bestFit="1" customWidth="1"/>
    <col min="86" max="86" width="5" bestFit="1" customWidth="1"/>
    <col min="87" max="87" width="7" bestFit="1" customWidth="1"/>
    <col min="88" max="88" width="5" bestFit="1" customWidth="1"/>
    <col min="89" max="113" width="7" bestFit="1" customWidth="1"/>
    <col min="114" max="114" width="5" bestFit="1" customWidth="1"/>
    <col min="115" max="115" width="7" bestFit="1" customWidth="1"/>
    <col min="116" max="116" width="5" bestFit="1" customWidth="1"/>
    <col min="117" max="121" width="7" bestFit="1" customWidth="1"/>
    <col min="122" max="122" width="5" bestFit="1" customWidth="1"/>
    <col min="123" max="125" width="7" bestFit="1" customWidth="1"/>
    <col min="126" max="126" width="5" bestFit="1" customWidth="1"/>
    <col min="127" max="127" width="7" bestFit="1" customWidth="1"/>
    <col min="128" max="129" width="5" bestFit="1" customWidth="1"/>
    <col min="130" max="137" width="7" bestFit="1" customWidth="1"/>
    <col min="138" max="138" width="5" bestFit="1" customWidth="1"/>
    <col min="139" max="139" width="7" bestFit="1" customWidth="1"/>
    <col min="140" max="140" width="5" bestFit="1" customWidth="1"/>
    <col min="141" max="141" width="7" bestFit="1" customWidth="1"/>
    <col min="142" max="142" width="5" bestFit="1" customWidth="1"/>
    <col min="143" max="151" width="7" bestFit="1" customWidth="1"/>
    <col min="152" max="152" width="5" bestFit="1" customWidth="1"/>
    <col min="153" max="166" width="7" bestFit="1" customWidth="1"/>
    <col min="167" max="167" width="5" bestFit="1" customWidth="1"/>
    <col min="168" max="172" width="7" bestFit="1" customWidth="1"/>
    <col min="173" max="173" width="5" bestFit="1" customWidth="1"/>
    <col min="174" max="193" width="7" bestFit="1" customWidth="1"/>
    <col min="194" max="194" width="5" bestFit="1" customWidth="1"/>
    <col min="195" max="199" width="7" bestFit="1" customWidth="1"/>
    <col min="200" max="200" width="5" bestFit="1" customWidth="1"/>
    <col min="201" max="209" width="7" bestFit="1" customWidth="1"/>
    <col min="210" max="210" width="5" bestFit="1" customWidth="1"/>
    <col min="211" max="219" width="7" bestFit="1" customWidth="1"/>
    <col min="220" max="220" width="5" bestFit="1" customWidth="1"/>
    <col min="221" max="229" width="7" bestFit="1" customWidth="1"/>
    <col min="230" max="230" width="5" bestFit="1" customWidth="1"/>
    <col min="231" max="235" width="7" bestFit="1" customWidth="1"/>
    <col min="236" max="236" width="5" bestFit="1" customWidth="1"/>
    <col min="237" max="237" width="7" bestFit="1" customWidth="1"/>
    <col min="238" max="238" width="5" bestFit="1" customWidth="1"/>
    <col min="239" max="247" width="7" bestFit="1" customWidth="1"/>
    <col min="248" max="249" width="5" bestFit="1" customWidth="1"/>
    <col min="250" max="265" width="7" bestFit="1" customWidth="1"/>
    <col min="266" max="266" width="5" bestFit="1" customWidth="1"/>
    <col min="267" max="294" width="7" bestFit="1" customWidth="1"/>
    <col min="295" max="295" width="5" bestFit="1" customWidth="1"/>
    <col min="296" max="299" width="7" bestFit="1" customWidth="1"/>
    <col min="300" max="300" width="5" bestFit="1" customWidth="1"/>
    <col min="301" max="311" width="7" bestFit="1" customWidth="1"/>
    <col min="312" max="312" width="5" bestFit="1" customWidth="1"/>
    <col min="313" max="324" width="7" bestFit="1" customWidth="1"/>
    <col min="325" max="325" width="5" bestFit="1" customWidth="1"/>
    <col min="326" max="333" width="7" bestFit="1" customWidth="1"/>
    <col min="334" max="334" width="5" bestFit="1" customWidth="1"/>
    <col min="335" max="337" width="7" bestFit="1" customWidth="1"/>
    <col min="338" max="338" width="5" bestFit="1" customWidth="1"/>
    <col min="339" max="343" width="7" bestFit="1" customWidth="1"/>
    <col min="344" max="344" width="5" bestFit="1" customWidth="1"/>
    <col min="345" max="350" width="7" bestFit="1" customWidth="1"/>
    <col min="351" max="351" width="5" bestFit="1" customWidth="1"/>
    <col min="352" max="352" width="7" bestFit="1" customWidth="1"/>
    <col min="353" max="354" width="5" bestFit="1" customWidth="1"/>
    <col min="355" max="356" width="7" bestFit="1" customWidth="1"/>
    <col min="357" max="357" width="5" bestFit="1" customWidth="1"/>
    <col min="358" max="364" width="7" bestFit="1" customWidth="1"/>
    <col min="365" max="365" width="5" bestFit="1" customWidth="1"/>
    <col min="366" max="366" width="7" bestFit="1" customWidth="1"/>
    <col min="367" max="367" width="5" bestFit="1" customWidth="1"/>
    <col min="368" max="369" width="7" bestFit="1" customWidth="1"/>
    <col min="370" max="370" width="5" bestFit="1" customWidth="1"/>
    <col min="371" max="371" width="7" bestFit="1" customWidth="1"/>
    <col min="372" max="372" width="5" bestFit="1" customWidth="1"/>
    <col min="373" max="389" width="7" bestFit="1" customWidth="1"/>
    <col min="390" max="390" width="5" bestFit="1" customWidth="1"/>
    <col min="391" max="401" width="7" bestFit="1" customWidth="1"/>
    <col min="402" max="402" width="5" bestFit="1" customWidth="1"/>
    <col min="403" max="414" width="7" bestFit="1" customWidth="1"/>
    <col min="415" max="416" width="5" bestFit="1" customWidth="1"/>
    <col min="417" max="426" width="7" bestFit="1" customWidth="1"/>
    <col min="427" max="427" width="5" bestFit="1" customWidth="1"/>
    <col min="428" max="436" width="7" bestFit="1" customWidth="1"/>
    <col min="437" max="437" width="5" bestFit="1" customWidth="1"/>
    <col min="438" max="438" width="7" bestFit="1" customWidth="1"/>
    <col min="439" max="440" width="5" bestFit="1" customWidth="1"/>
    <col min="441" max="447" width="7" bestFit="1" customWidth="1"/>
    <col min="448" max="448" width="5" bestFit="1" customWidth="1"/>
    <col min="449" max="454" width="7" bestFit="1" customWidth="1"/>
    <col min="455" max="455" width="5" bestFit="1" customWidth="1"/>
    <col min="456" max="456" width="7" bestFit="1" customWidth="1"/>
    <col min="457" max="457" width="5" bestFit="1" customWidth="1"/>
    <col min="458" max="463" width="7" bestFit="1" customWidth="1"/>
    <col min="464" max="464" width="5" bestFit="1" customWidth="1"/>
    <col min="465" max="465" width="7" bestFit="1" customWidth="1"/>
    <col min="466" max="466" width="5" bestFit="1" customWidth="1"/>
    <col min="467" max="470" width="7" bestFit="1" customWidth="1"/>
    <col min="471" max="471" width="5" bestFit="1" customWidth="1"/>
    <col min="472" max="474" width="7" bestFit="1" customWidth="1"/>
    <col min="475" max="475" width="5" bestFit="1" customWidth="1"/>
    <col min="476" max="477" width="7" bestFit="1" customWidth="1"/>
    <col min="478" max="478" width="5" bestFit="1" customWidth="1"/>
    <col min="479" max="481" width="7" bestFit="1" customWidth="1"/>
    <col min="482" max="482" width="5" bestFit="1" customWidth="1"/>
    <col min="483" max="484" width="7" bestFit="1" customWidth="1"/>
    <col min="485" max="485" width="5" bestFit="1" customWidth="1"/>
    <col min="486" max="493" width="7" bestFit="1" customWidth="1"/>
    <col min="494" max="494" width="5" bestFit="1" customWidth="1"/>
    <col min="495" max="495" width="7" bestFit="1" customWidth="1"/>
    <col min="496" max="499" width="5" bestFit="1" customWidth="1"/>
    <col min="500" max="503" width="7" bestFit="1" customWidth="1"/>
    <col min="504" max="504" width="5" bestFit="1" customWidth="1"/>
    <col min="505" max="506" width="7" bestFit="1" customWidth="1"/>
    <col min="507" max="507" width="5" bestFit="1" customWidth="1"/>
    <col min="508" max="509" width="7" bestFit="1" customWidth="1"/>
    <col min="510" max="510" width="5" bestFit="1" customWidth="1"/>
    <col min="511" max="519" width="7" bestFit="1" customWidth="1"/>
    <col min="520" max="520" width="5" bestFit="1" customWidth="1"/>
    <col min="521" max="525" width="7" bestFit="1" customWidth="1"/>
    <col min="526" max="526" width="5" bestFit="1" customWidth="1"/>
    <col min="527" max="531" width="7" bestFit="1" customWidth="1"/>
    <col min="532" max="532" width="5" bestFit="1" customWidth="1"/>
    <col min="533" max="537" width="7" bestFit="1" customWidth="1"/>
    <col min="538" max="538" width="5" bestFit="1" customWidth="1"/>
    <col min="539" max="546" width="7" bestFit="1" customWidth="1"/>
    <col min="547" max="547" width="5" bestFit="1" customWidth="1"/>
    <col min="548" max="557" width="7" bestFit="1" customWidth="1"/>
    <col min="558" max="558" width="5" bestFit="1" customWidth="1"/>
    <col min="559" max="566" width="7" bestFit="1" customWidth="1"/>
    <col min="567" max="567" width="5" bestFit="1" customWidth="1"/>
    <col min="568" max="573" width="7" bestFit="1" customWidth="1"/>
    <col min="574" max="574" width="5" bestFit="1" customWidth="1"/>
    <col min="575" max="580" width="7" bestFit="1" customWidth="1"/>
    <col min="581" max="581" width="5" bestFit="1" customWidth="1"/>
    <col min="582" max="582" width="7" bestFit="1" customWidth="1"/>
    <col min="583" max="583" width="5" bestFit="1" customWidth="1"/>
    <col min="584" max="595" width="7" bestFit="1" customWidth="1"/>
    <col min="596" max="596" width="5" bestFit="1" customWidth="1"/>
    <col min="597" max="603" width="7" bestFit="1" customWidth="1"/>
    <col min="604" max="604" width="5" bestFit="1" customWidth="1"/>
    <col min="605" max="607" width="7" bestFit="1" customWidth="1"/>
    <col min="608" max="608" width="5" bestFit="1" customWidth="1"/>
    <col min="609" max="613" width="7" bestFit="1" customWidth="1"/>
    <col min="614" max="614" width="5" bestFit="1" customWidth="1"/>
    <col min="615" max="618" width="7" bestFit="1" customWidth="1"/>
    <col min="619" max="619" width="5" bestFit="1" customWidth="1"/>
    <col min="620" max="623" width="7" bestFit="1" customWidth="1"/>
    <col min="624" max="624" width="5" bestFit="1" customWidth="1"/>
    <col min="625" max="630" width="7" bestFit="1" customWidth="1"/>
    <col min="631" max="631" width="5" bestFit="1" customWidth="1"/>
    <col min="632" max="637" width="7" bestFit="1" customWidth="1"/>
    <col min="638" max="638" width="5" bestFit="1" customWidth="1"/>
    <col min="639" max="642" width="7" bestFit="1" customWidth="1"/>
    <col min="643" max="643" width="5" bestFit="1" customWidth="1"/>
    <col min="644" max="647" width="7" bestFit="1" customWidth="1"/>
    <col min="648" max="648" width="5" bestFit="1" customWidth="1"/>
    <col min="649" max="660" width="7" bestFit="1" customWidth="1"/>
    <col min="661" max="663" width="5" bestFit="1" customWidth="1"/>
    <col min="664" max="671" width="7" bestFit="1" customWidth="1"/>
    <col min="672" max="673" width="5" bestFit="1" customWidth="1"/>
    <col min="674" max="675" width="7" bestFit="1" customWidth="1"/>
    <col min="676" max="676" width="5" bestFit="1" customWidth="1"/>
    <col min="677" max="679" width="7" bestFit="1" customWidth="1"/>
    <col min="680" max="680" width="5" bestFit="1" customWidth="1"/>
    <col min="681" max="682" width="7" bestFit="1" customWidth="1"/>
    <col min="683" max="683" width="5" bestFit="1" customWidth="1"/>
    <col min="684" max="685" width="7" bestFit="1" customWidth="1"/>
    <col min="686" max="686" width="5" bestFit="1" customWidth="1"/>
    <col min="687" max="699" width="7" bestFit="1" customWidth="1"/>
    <col min="700" max="701" width="5" bestFit="1" customWidth="1"/>
    <col min="702" max="706" width="7" bestFit="1" customWidth="1"/>
    <col min="707" max="707" width="5" bestFit="1" customWidth="1"/>
    <col min="708" max="714" width="7" bestFit="1" customWidth="1"/>
    <col min="715" max="715" width="5" bestFit="1" customWidth="1"/>
    <col min="716" max="726" width="7" bestFit="1" customWidth="1"/>
    <col min="727" max="728" width="5" bestFit="1" customWidth="1"/>
    <col min="729" max="736" width="7" bestFit="1" customWidth="1"/>
    <col min="737" max="737" width="5" bestFit="1" customWidth="1"/>
    <col min="738" max="740" width="7" bestFit="1" customWidth="1"/>
    <col min="741" max="741" width="5" bestFit="1" customWidth="1"/>
    <col min="742" max="752" width="7" bestFit="1" customWidth="1"/>
    <col min="753" max="753" width="5" bestFit="1" customWidth="1"/>
    <col min="754" max="754" width="7" bestFit="1" customWidth="1"/>
    <col min="755" max="755" width="5" bestFit="1" customWidth="1"/>
    <col min="756" max="763" width="7" bestFit="1" customWidth="1"/>
    <col min="764" max="764" width="5" bestFit="1" customWidth="1"/>
    <col min="765" max="786" width="7" bestFit="1" customWidth="1"/>
    <col min="787" max="787" width="5" bestFit="1" customWidth="1"/>
    <col min="788" max="791" width="7" bestFit="1" customWidth="1"/>
    <col min="792" max="792" width="5" bestFit="1" customWidth="1"/>
    <col min="793" max="796" width="7" bestFit="1" customWidth="1"/>
    <col min="797" max="797" width="5" bestFit="1" customWidth="1"/>
    <col min="798" max="799" width="7" bestFit="1" customWidth="1"/>
    <col min="800" max="800" width="5" bestFit="1" customWidth="1"/>
    <col min="801" max="804" width="7" bestFit="1" customWidth="1"/>
    <col min="805" max="805" width="5" bestFit="1" customWidth="1"/>
    <col min="806" max="809" width="7" bestFit="1" customWidth="1"/>
    <col min="810" max="811" width="5" bestFit="1" customWidth="1"/>
    <col min="812" max="819" width="7" bestFit="1" customWidth="1"/>
    <col min="820" max="820" width="5" bestFit="1" customWidth="1"/>
    <col min="821" max="821" width="7" bestFit="1" customWidth="1"/>
    <col min="822" max="823" width="5" bestFit="1" customWidth="1"/>
    <col min="824" max="827" width="7" bestFit="1" customWidth="1"/>
    <col min="828" max="828" width="5" bestFit="1" customWidth="1"/>
    <col min="829" max="831" width="7" bestFit="1" customWidth="1"/>
    <col min="832" max="832" width="5" bestFit="1" customWidth="1"/>
    <col min="833" max="838" width="7" bestFit="1" customWidth="1"/>
    <col min="839" max="839" width="5" bestFit="1" customWidth="1"/>
    <col min="840" max="843" width="7" bestFit="1" customWidth="1"/>
    <col min="844" max="844" width="5" bestFit="1" customWidth="1"/>
    <col min="845" max="859" width="7" bestFit="1" customWidth="1"/>
    <col min="860" max="860" width="5" bestFit="1" customWidth="1"/>
    <col min="861" max="865" width="7" bestFit="1" customWidth="1"/>
    <col min="866" max="866" width="5" bestFit="1" customWidth="1"/>
    <col min="867" max="868" width="7" bestFit="1" customWidth="1"/>
    <col min="869" max="869" width="5" bestFit="1" customWidth="1"/>
    <col min="870" max="870" width="7" bestFit="1" customWidth="1"/>
    <col min="871" max="871" width="5" bestFit="1" customWidth="1"/>
    <col min="872" max="872" width="7" bestFit="1" customWidth="1"/>
    <col min="873" max="873" width="5" bestFit="1" customWidth="1"/>
    <col min="874" max="878" width="7" bestFit="1" customWidth="1"/>
    <col min="879" max="879" width="5" bestFit="1" customWidth="1"/>
    <col min="880" max="888" width="7" bestFit="1" customWidth="1"/>
    <col min="889" max="890" width="5" bestFit="1" customWidth="1"/>
    <col min="891" max="892" width="7" bestFit="1" customWidth="1"/>
    <col min="893" max="893" width="5" bestFit="1" customWidth="1"/>
    <col min="894" max="896" width="7" bestFit="1" customWidth="1"/>
    <col min="897" max="897" width="5" bestFit="1" customWidth="1"/>
    <col min="898" max="900" width="7" bestFit="1" customWidth="1"/>
    <col min="901" max="901" width="5" bestFit="1" customWidth="1"/>
    <col min="902" max="906" width="7" bestFit="1" customWidth="1"/>
    <col min="907" max="907" width="5" bestFit="1" customWidth="1"/>
    <col min="908" max="909" width="7" bestFit="1" customWidth="1"/>
    <col min="910" max="910" width="5" bestFit="1" customWidth="1"/>
    <col min="911" max="914" width="7" bestFit="1" customWidth="1"/>
    <col min="915" max="915" width="5" bestFit="1" customWidth="1"/>
    <col min="916" max="921" width="7" bestFit="1" customWidth="1"/>
    <col min="922" max="925" width="5" bestFit="1" customWidth="1"/>
    <col min="926" max="931" width="7" bestFit="1" customWidth="1"/>
    <col min="932" max="932" width="5" bestFit="1" customWidth="1"/>
    <col min="933" max="938" width="7" bestFit="1" customWidth="1"/>
    <col min="939" max="940" width="5" bestFit="1" customWidth="1"/>
    <col min="941" max="941" width="7" bestFit="1" customWidth="1"/>
    <col min="942" max="942" width="5" bestFit="1" customWidth="1"/>
    <col min="943" max="945" width="7" bestFit="1" customWidth="1"/>
    <col min="946" max="946" width="5" bestFit="1" customWidth="1"/>
    <col min="947" max="955" width="7" bestFit="1" customWidth="1"/>
    <col min="956" max="956" width="5" bestFit="1" customWidth="1"/>
    <col min="957" max="970" width="7" bestFit="1" customWidth="1"/>
    <col min="971" max="971" width="5" bestFit="1" customWidth="1"/>
    <col min="972" max="973" width="7" bestFit="1" customWidth="1"/>
    <col min="974" max="974" width="5" bestFit="1" customWidth="1"/>
    <col min="975" max="975" width="7" bestFit="1" customWidth="1"/>
    <col min="976" max="976" width="5" bestFit="1" customWidth="1"/>
    <col min="977" max="977" width="7" bestFit="1" customWidth="1"/>
    <col min="978" max="978" width="5" bestFit="1" customWidth="1"/>
    <col min="979" max="982" width="7" bestFit="1" customWidth="1"/>
    <col min="983" max="983" width="5" bestFit="1" customWidth="1"/>
    <col min="984" max="984" width="7" bestFit="1" customWidth="1"/>
    <col min="985" max="985" width="5" bestFit="1" customWidth="1"/>
    <col min="986" max="991" width="7" bestFit="1" customWidth="1"/>
    <col min="992" max="992" width="5" bestFit="1" customWidth="1"/>
    <col min="993" max="1003" width="7" bestFit="1" customWidth="1"/>
    <col min="1004" max="1004" width="5" bestFit="1" customWidth="1"/>
    <col min="1005" max="1006" width="7" bestFit="1" customWidth="1"/>
    <col min="1007" max="1007" width="5" bestFit="1" customWidth="1"/>
    <col min="1008" max="1011" width="7" bestFit="1" customWidth="1"/>
    <col min="1012" max="1012" width="5" bestFit="1" customWidth="1"/>
    <col min="1013" max="1021" width="7" bestFit="1" customWidth="1"/>
    <col min="1022" max="1022" width="5" bestFit="1" customWidth="1"/>
    <col min="1023" max="1032" width="7" bestFit="1" customWidth="1"/>
    <col min="1033" max="1033" width="5" bestFit="1" customWidth="1"/>
    <col min="1034" max="1036" width="7" bestFit="1" customWidth="1"/>
    <col min="1037" max="1037" width="5" bestFit="1" customWidth="1"/>
    <col min="1038" max="1044" width="7" bestFit="1" customWidth="1"/>
    <col min="1045" max="1045" width="5" bestFit="1" customWidth="1"/>
    <col min="1046" max="1046" width="7" bestFit="1" customWidth="1"/>
    <col min="1047" max="1047" width="5" bestFit="1" customWidth="1"/>
    <col min="1048" max="1065" width="7" bestFit="1" customWidth="1"/>
    <col min="1066" max="1066" width="5" bestFit="1" customWidth="1"/>
    <col min="1067" max="1068" width="7" bestFit="1" customWidth="1"/>
    <col min="1069" max="1069" width="5" bestFit="1" customWidth="1"/>
    <col min="1070" max="1077" width="7" bestFit="1" customWidth="1"/>
    <col min="1078" max="1078" width="5" bestFit="1" customWidth="1"/>
    <col min="1079" max="1083" width="7" bestFit="1" customWidth="1"/>
    <col min="1084" max="1084" width="5" bestFit="1" customWidth="1"/>
    <col min="1085" max="1088" width="7" bestFit="1" customWidth="1"/>
    <col min="1089" max="1089" width="5" bestFit="1" customWidth="1"/>
    <col min="1090" max="1093" width="7" bestFit="1" customWidth="1"/>
    <col min="1094" max="1094" width="5" bestFit="1" customWidth="1"/>
    <col min="1095" max="1096" width="7" bestFit="1" customWidth="1"/>
    <col min="1097" max="1097" width="5" bestFit="1" customWidth="1"/>
    <col min="1098" max="1112" width="7" bestFit="1" customWidth="1"/>
    <col min="1113" max="1113" width="5" bestFit="1" customWidth="1"/>
    <col min="1114" max="1115" width="7" bestFit="1" customWidth="1"/>
    <col min="1116" max="1116" width="5" bestFit="1" customWidth="1"/>
    <col min="1117" max="1119" width="7" bestFit="1" customWidth="1"/>
    <col min="1120" max="1120" width="5" bestFit="1" customWidth="1"/>
    <col min="1121" max="1123" width="7" bestFit="1" customWidth="1"/>
    <col min="1124" max="1124" width="5" bestFit="1" customWidth="1"/>
    <col min="1125" max="1128" width="7" bestFit="1" customWidth="1"/>
    <col min="1129" max="1129" width="5" bestFit="1" customWidth="1"/>
    <col min="1130" max="1133" width="7" bestFit="1" customWidth="1"/>
    <col min="1134" max="1134" width="5" bestFit="1" customWidth="1"/>
    <col min="1135" max="1145" width="7" bestFit="1" customWidth="1"/>
    <col min="1146" max="1146" width="5" bestFit="1" customWidth="1"/>
    <col min="1147" max="1154" width="7" bestFit="1" customWidth="1"/>
    <col min="1155" max="1155" width="5" bestFit="1" customWidth="1"/>
    <col min="1156" max="1164" width="7" bestFit="1" customWidth="1"/>
    <col min="1165" max="1165" width="5" bestFit="1" customWidth="1"/>
    <col min="1166" max="1171" width="7" bestFit="1" customWidth="1"/>
    <col min="1172" max="1172" width="5" bestFit="1" customWidth="1"/>
    <col min="1173" max="1183" width="7" bestFit="1" customWidth="1"/>
    <col min="1184" max="1184" width="5" bestFit="1" customWidth="1"/>
    <col min="1185" max="1186" width="7" bestFit="1" customWidth="1"/>
    <col min="1187" max="1187" width="5" bestFit="1" customWidth="1"/>
    <col min="1188" max="1201" width="7" bestFit="1" customWidth="1"/>
    <col min="1202" max="1202" width="5" bestFit="1" customWidth="1"/>
    <col min="1203" max="1218" width="7" bestFit="1" customWidth="1"/>
    <col min="1219" max="1219" width="5" bestFit="1" customWidth="1"/>
    <col min="1220" max="1222" width="7" bestFit="1" customWidth="1"/>
    <col min="1223" max="1223" width="5" bestFit="1" customWidth="1"/>
    <col min="1224" max="1227" width="7" bestFit="1" customWidth="1"/>
    <col min="1228" max="1229" width="5" bestFit="1" customWidth="1"/>
    <col min="1230" max="1230" width="7" bestFit="1" customWidth="1"/>
    <col min="1231" max="1231" width="5" bestFit="1" customWidth="1"/>
    <col min="1232" max="1232" width="7" bestFit="1" customWidth="1"/>
    <col min="1233" max="1234" width="5" bestFit="1" customWidth="1"/>
    <col min="1235" max="1243" width="7" bestFit="1" customWidth="1"/>
    <col min="1244" max="1244" width="5" bestFit="1" customWidth="1"/>
    <col min="1245" max="1257" width="7" bestFit="1" customWidth="1"/>
    <col min="1258" max="1259" width="5" bestFit="1" customWidth="1"/>
    <col min="1260" max="1284" width="7" bestFit="1" customWidth="1"/>
    <col min="1285" max="1285" width="5" bestFit="1" customWidth="1"/>
    <col min="1286" max="1287" width="7" bestFit="1" customWidth="1"/>
    <col min="1288" max="1289" width="5" bestFit="1" customWidth="1"/>
    <col min="1290" max="1293" width="7" bestFit="1" customWidth="1"/>
    <col min="1294" max="1294" width="5" bestFit="1" customWidth="1"/>
    <col min="1295" max="1334" width="7" bestFit="1" customWidth="1"/>
    <col min="1335" max="1335" width="5" bestFit="1" customWidth="1"/>
    <col min="1336" max="1339" width="7" bestFit="1" customWidth="1"/>
    <col min="1340" max="1340" width="5" bestFit="1" customWidth="1"/>
    <col min="1341" max="1347" width="7" bestFit="1" customWidth="1"/>
    <col min="1348" max="1349" width="5" bestFit="1" customWidth="1"/>
    <col min="1350" max="1354" width="7" bestFit="1" customWidth="1"/>
    <col min="1355" max="1355" width="5" bestFit="1" customWidth="1"/>
    <col min="1356" max="1363" width="7" bestFit="1" customWidth="1"/>
    <col min="1364" max="1365" width="5" bestFit="1" customWidth="1"/>
    <col min="1366" max="1366" width="7" bestFit="1" customWidth="1"/>
    <col min="1367" max="1368" width="5" bestFit="1" customWidth="1"/>
    <col min="1369" max="1373" width="7" bestFit="1" customWidth="1"/>
    <col min="1374" max="1374" width="5" bestFit="1" customWidth="1"/>
    <col min="1375" max="1380" width="7" bestFit="1" customWidth="1"/>
    <col min="1381" max="1381" width="5" bestFit="1" customWidth="1"/>
    <col min="1382" max="1383" width="7" bestFit="1" customWidth="1"/>
    <col min="1384" max="1384" width="5" bestFit="1" customWidth="1"/>
    <col min="1385" max="1387" width="7" bestFit="1" customWidth="1"/>
    <col min="1388" max="1388" width="5" bestFit="1" customWidth="1"/>
    <col min="1389" max="1390" width="7" bestFit="1" customWidth="1"/>
    <col min="1391" max="1391" width="5" bestFit="1" customWidth="1"/>
    <col min="1392" max="1399" width="7" bestFit="1" customWidth="1"/>
    <col min="1400" max="1400" width="5" bestFit="1" customWidth="1"/>
    <col min="1401" max="1401" width="7" bestFit="1" customWidth="1"/>
    <col min="1402" max="1402" width="5" bestFit="1" customWidth="1"/>
    <col min="1403" max="1409" width="7" bestFit="1" customWidth="1"/>
    <col min="1410" max="1410" width="5" bestFit="1" customWidth="1"/>
    <col min="1411" max="1412" width="7" bestFit="1" customWidth="1"/>
    <col min="1413" max="1413" width="5" bestFit="1" customWidth="1"/>
    <col min="1414" max="1415" width="7" bestFit="1" customWidth="1"/>
    <col min="1416" max="1416" width="5" bestFit="1" customWidth="1"/>
    <col min="1417" max="1424" width="7" bestFit="1" customWidth="1"/>
    <col min="1425" max="1425" width="5" bestFit="1" customWidth="1"/>
    <col min="1426" max="1427" width="7" bestFit="1" customWidth="1"/>
    <col min="1428" max="1428" width="5" bestFit="1" customWidth="1"/>
    <col min="1429" max="1443" width="7" bestFit="1" customWidth="1"/>
    <col min="1444" max="1444" width="5" bestFit="1" customWidth="1"/>
    <col min="1445" max="1445" width="7" bestFit="1" customWidth="1"/>
    <col min="1446" max="1446" width="5" bestFit="1" customWidth="1"/>
    <col min="1447" max="1448" width="7" bestFit="1" customWidth="1"/>
    <col min="1449" max="1449" width="5" bestFit="1" customWidth="1"/>
    <col min="1450" max="1454" width="7" bestFit="1" customWidth="1"/>
    <col min="1455" max="1455" width="5" bestFit="1" customWidth="1"/>
    <col min="1456" max="1460" width="7" bestFit="1" customWidth="1"/>
    <col min="1461" max="1461" width="5" bestFit="1" customWidth="1"/>
    <col min="1462" max="1465" width="7" bestFit="1" customWidth="1"/>
    <col min="1466" max="1466" width="5" bestFit="1" customWidth="1"/>
    <col min="1467" max="1467" width="7" bestFit="1" customWidth="1"/>
    <col min="1468" max="1468" width="5" bestFit="1" customWidth="1"/>
    <col min="1469" max="1469" width="7" bestFit="1" customWidth="1"/>
    <col min="1470" max="1470" width="5" bestFit="1" customWidth="1"/>
    <col min="1471" max="1475" width="7" bestFit="1" customWidth="1"/>
    <col min="1476" max="1476" width="5" bestFit="1" customWidth="1"/>
    <col min="1477" max="1487" width="7" bestFit="1" customWidth="1"/>
    <col min="1488" max="1488" width="5" bestFit="1" customWidth="1"/>
    <col min="1489" max="1490" width="7" bestFit="1" customWidth="1"/>
    <col min="1491" max="1491" width="5" bestFit="1" customWidth="1"/>
    <col min="1492" max="1500" width="7" bestFit="1" customWidth="1"/>
    <col min="1501" max="1501" width="5" bestFit="1" customWidth="1"/>
    <col min="1502" max="1502" width="7" bestFit="1" customWidth="1"/>
    <col min="1503" max="1503" width="5" bestFit="1" customWidth="1"/>
    <col min="1504" max="1506" width="7" bestFit="1" customWidth="1"/>
    <col min="1507" max="1507" width="5" bestFit="1" customWidth="1"/>
    <col min="1508" max="1513" width="7" bestFit="1" customWidth="1"/>
    <col min="1514" max="1514" width="5" bestFit="1" customWidth="1"/>
    <col min="1515" max="1520" width="7" bestFit="1" customWidth="1"/>
    <col min="1521" max="1521" width="5" bestFit="1" customWidth="1"/>
    <col min="1522" max="1524" width="7" bestFit="1" customWidth="1"/>
    <col min="1525" max="1525" width="5" bestFit="1" customWidth="1"/>
    <col min="1526" max="1527" width="7" bestFit="1" customWidth="1"/>
    <col min="1528" max="1528" width="5" bestFit="1" customWidth="1"/>
    <col min="1529" max="1531" width="7" bestFit="1" customWidth="1"/>
    <col min="1532" max="1533" width="5" bestFit="1" customWidth="1"/>
    <col min="1534" max="1541" width="7" bestFit="1" customWidth="1"/>
    <col min="1542" max="1542" width="5" bestFit="1" customWidth="1"/>
    <col min="1543" max="1543" width="7" bestFit="1" customWidth="1"/>
    <col min="1544" max="1544" width="5" bestFit="1" customWidth="1"/>
    <col min="1545" max="1557" width="7" bestFit="1" customWidth="1"/>
    <col min="1558" max="1558" width="5" bestFit="1" customWidth="1"/>
    <col min="1559" max="1560" width="7" bestFit="1" customWidth="1"/>
    <col min="1561" max="1561" width="5" bestFit="1" customWidth="1"/>
    <col min="1562" max="1562" width="7" bestFit="1" customWidth="1"/>
    <col min="1563" max="1563" width="5" bestFit="1" customWidth="1"/>
    <col min="1564" max="1565" width="7" bestFit="1" customWidth="1"/>
    <col min="1566" max="1566" width="5" bestFit="1" customWidth="1"/>
    <col min="1567" max="1574" width="7" bestFit="1" customWidth="1"/>
    <col min="1575" max="1575" width="5" bestFit="1" customWidth="1"/>
    <col min="1576" max="1580" width="7" bestFit="1" customWidth="1"/>
    <col min="1581" max="1582" width="5" bestFit="1" customWidth="1"/>
    <col min="1583" max="1584" width="7" bestFit="1" customWidth="1"/>
    <col min="1585" max="1585" width="5" bestFit="1" customWidth="1"/>
    <col min="1586" max="1587" width="7" bestFit="1" customWidth="1"/>
    <col min="1588" max="1588" width="5" bestFit="1" customWidth="1"/>
    <col min="1589" max="1593" width="7" bestFit="1" customWidth="1"/>
    <col min="1594" max="1594" width="5" bestFit="1" customWidth="1"/>
    <col min="1595" max="1596" width="7" bestFit="1" customWidth="1"/>
    <col min="1597" max="1597" width="5" bestFit="1" customWidth="1"/>
    <col min="1598" max="1624" width="7" bestFit="1" customWidth="1"/>
    <col min="1625" max="1625" width="5" bestFit="1" customWidth="1"/>
    <col min="1626" max="1632" width="7" bestFit="1" customWidth="1"/>
    <col min="1633" max="1633" width="5" bestFit="1" customWidth="1"/>
    <col min="1634" max="1634" width="7" bestFit="1" customWidth="1"/>
    <col min="1635" max="1635" width="5" bestFit="1" customWidth="1"/>
    <col min="1636" max="1644" width="7" bestFit="1" customWidth="1"/>
    <col min="1645" max="1645" width="6" bestFit="1" customWidth="1"/>
    <col min="1646" max="1646" width="4.6640625" bestFit="1" customWidth="1"/>
    <col min="1647" max="1647" width="7" bestFit="1" customWidth="1"/>
    <col min="1648" max="1648" width="10.6640625" bestFit="1" customWidth="1"/>
  </cols>
  <sheetData>
    <row r="3" spans="1:8" x14ac:dyDescent="0.3">
      <c r="A3" s="4" t="s">
        <v>370</v>
      </c>
      <c r="B3" s="3" t="s">
        <v>380</v>
      </c>
      <c r="D3" s="4" t="s">
        <v>370</v>
      </c>
      <c r="E3" t="s">
        <v>380</v>
      </c>
    </row>
    <row r="4" spans="1:8" x14ac:dyDescent="0.3">
      <c r="A4" s="5" t="s">
        <v>104</v>
      </c>
      <c r="B4" s="3">
        <v>3991.0614035087688</v>
      </c>
      <c r="D4" s="5" t="s">
        <v>45</v>
      </c>
      <c r="E4">
        <v>3682.2777777777778</v>
      </c>
    </row>
    <row r="5" spans="1:8" x14ac:dyDescent="0.3">
      <c r="A5" s="5" t="s">
        <v>105</v>
      </c>
      <c r="B5" s="3">
        <v>4428.29607843137</v>
      </c>
      <c r="D5" s="5" t="s">
        <v>51</v>
      </c>
      <c r="E5">
        <v>9218.0095238095237</v>
      </c>
      <c r="G5" s="4" t="s">
        <v>370</v>
      </c>
      <c r="H5" t="s">
        <v>380</v>
      </c>
    </row>
    <row r="6" spans="1:8" x14ac:dyDescent="0.3">
      <c r="A6" s="5" t="s">
        <v>77</v>
      </c>
      <c r="B6" s="3">
        <v>4041.1294117647049</v>
      </c>
      <c r="D6" s="5" t="s">
        <v>43</v>
      </c>
      <c r="E6">
        <v>3429.6727272727276</v>
      </c>
      <c r="G6" s="5">
        <v>0</v>
      </c>
      <c r="H6">
        <v>4386.0156862745071</v>
      </c>
    </row>
    <row r="7" spans="1:8" x14ac:dyDescent="0.3">
      <c r="A7" s="5" t="s">
        <v>107</v>
      </c>
      <c r="B7" s="3">
        <v>3599.875925925925</v>
      </c>
      <c r="D7" s="5" t="s">
        <v>59</v>
      </c>
      <c r="E7">
        <v>3882.2142857142831</v>
      </c>
      <c r="G7" s="5">
        <v>1</v>
      </c>
      <c r="H7">
        <v>3959.5181249999978</v>
      </c>
    </row>
    <row r="8" spans="1:8" x14ac:dyDescent="0.3">
      <c r="A8" s="5" t="s">
        <v>93</v>
      </c>
      <c r="B8" s="3">
        <v>3974.3883333333315</v>
      </c>
      <c r="D8" s="5" t="s">
        <v>37</v>
      </c>
      <c r="E8">
        <v>4257.9000000000005</v>
      </c>
      <c r="G8" s="5">
        <v>2</v>
      </c>
      <c r="H8">
        <v>4512.1254901960765</v>
      </c>
    </row>
    <row r="9" spans="1:8" x14ac:dyDescent="0.3">
      <c r="A9" s="5" t="s">
        <v>91</v>
      </c>
      <c r="B9" s="3">
        <v>4013.8018181818147</v>
      </c>
      <c r="D9" s="5" t="s">
        <v>27</v>
      </c>
      <c r="E9">
        <v>4001.9</v>
      </c>
      <c r="G9" s="5">
        <v>3</v>
      </c>
      <c r="H9">
        <v>4991.3</v>
      </c>
    </row>
    <row r="10" spans="1:8" x14ac:dyDescent="0.3">
      <c r="A10" s="5" t="s">
        <v>79</v>
      </c>
      <c r="B10" s="3">
        <v>5727.1303571428562</v>
      </c>
      <c r="D10" s="5" t="s">
        <v>29</v>
      </c>
      <c r="E10">
        <v>4265.6769230769169</v>
      </c>
      <c r="G10" s="5">
        <v>4</v>
      </c>
      <c r="H10">
        <v>4656.3437125748496</v>
      </c>
    </row>
    <row r="11" spans="1:8" x14ac:dyDescent="0.3">
      <c r="A11" s="5" t="s">
        <v>83</v>
      </c>
      <c r="B11" s="3">
        <v>4001.0508474576263</v>
      </c>
      <c r="D11" s="5" t="s">
        <v>57</v>
      </c>
      <c r="E11">
        <v>5012.4666666666644</v>
      </c>
      <c r="G11" s="5">
        <v>5</v>
      </c>
      <c r="H11">
        <v>4263.431446540877</v>
      </c>
    </row>
    <row r="12" spans="1:8" x14ac:dyDescent="0.3">
      <c r="A12" s="5" t="s">
        <v>78</v>
      </c>
      <c r="B12" s="3">
        <v>4364.7230769230764</v>
      </c>
      <c r="D12" s="5" t="s">
        <v>14</v>
      </c>
      <c r="E12">
        <v>4610.8846153846152</v>
      </c>
      <c r="G12" s="5">
        <v>6</v>
      </c>
      <c r="H12">
        <v>4098.1846153846127</v>
      </c>
    </row>
    <row r="13" spans="1:8" x14ac:dyDescent="0.3">
      <c r="A13" s="5" t="s">
        <v>96</v>
      </c>
      <c r="B13" s="3">
        <v>4146.5895522388037</v>
      </c>
      <c r="D13" s="5" t="s">
        <v>41</v>
      </c>
      <c r="E13">
        <v>3855.246153846153</v>
      </c>
      <c r="G13" s="5">
        <v>7</v>
      </c>
      <c r="H13">
        <v>4819.360377358491</v>
      </c>
    </row>
    <row r="14" spans="1:8" x14ac:dyDescent="0.3">
      <c r="A14" s="5" t="s">
        <v>71</v>
      </c>
      <c r="B14" s="3">
        <v>4360.8159420289849</v>
      </c>
      <c r="D14" s="5" t="s">
        <v>52</v>
      </c>
      <c r="E14">
        <v>4187.9368421052623</v>
      </c>
      <c r="G14" s="5">
        <v>8</v>
      </c>
      <c r="H14">
        <v>5784.2046511627896</v>
      </c>
    </row>
    <row r="15" spans="1:8" x14ac:dyDescent="0.3">
      <c r="A15" s="5" t="s">
        <v>84</v>
      </c>
      <c r="B15" s="3">
        <v>5630.6705882352926</v>
      </c>
      <c r="D15" s="5" t="s">
        <v>56</v>
      </c>
      <c r="E15">
        <v>3749.35</v>
      </c>
      <c r="G15" s="5">
        <v>9</v>
      </c>
      <c r="H15">
        <v>4101.8597560975604</v>
      </c>
    </row>
    <row r="16" spans="1:8" x14ac:dyDescent="0.3">
      <c r="A16" s="5" t="s">
        <v>70</v>
      </c>
      <c r="B16" s="3">
        <v>5709.3338235294095</v>
      </c>
      <c r="D16" s="5" t="s">
        <v>44</v>
      </c>
      <c r="E16">
        <v>4313.1999999999935</v>
      </c>
      <c r="G16" s="5">
        <v>10</v>
      </c>
      <c r="H16">
        <v>5090.7550724637676</v>
      </c>
    </row>
    <row r="17" spans="1:8" x14ac:dyDescent="0.3">
      <c r="A17" s="5" t="s">
        <v>123</v>
      </c>
      <c r="B17" s="3">
        <v>3665.2857142857138</v>
      </c>
      <c r="D17" s="5" t="s">
        <v>60</v>
      </c>
      <c r="E17">
        <v>4532.6272727272681</v>
      </c>
      <c r="G17" s="5">
        <v>11</v>
      </c>
      <c r="H17">
        <v>4054.6291208791222</v>
      </c>
    </row>
    <row r="18" spans="1:8" x14ac:dyDescent="0.3">
      <c r="A18" s="5" t="s">
        <v>73</v>
      </c>
      <c r="B18" s="3">
        <v>5482.3430769230754</v>
      </c>
      <c r="D18" s="5" t="s">
        <v>40</v>
      </c>
      <c r="E18">
        <v>3506.12</v>
      </c>
      <c r="G18" s="5">
        <v>12</v>
      </c>
      <c r="H18">
        <v>4071.9284090909064</v>
      </c>
    </row>
    <row r="19" spans="1:8" x14ac:dyDescent="0.3">
      <c r="A19" s="5" t="s">
        <v>92</v>
      </c>
      <c r="B19" s="3">
        <v>4107.6833333333325</v>
      </c>
      <c r="D19" s="5" t="s">
        <v>53</v>
      </c>
      <c r="E19">
        <v>3334.1000000000008</v>
      </c>
      <c r="G19" s="5" t="s">
        <v>371</v>
      </c>
      <c r="H19">
        <v>4515.4170359428726</v>
      </c>
    </row>
    <row r="20" spans="1:8" x14ac:dyDescent="0.3">
      <c r="A20" s="5" t="s">
        <v>89</v>
      </c>
      <c r="B20" s="3">
        <v>4155.6122448979568</v>
      </c>
      <c r="D20" s="5" t="s">
        <v>42</v>
      </c>
      <c r="E20">
        <v>4296.9333333333298</v>
      </c>
    </row>
    <row r="21" spans="1:8" x14ac:dyDescent="0.3">
      <c r="A21" s="5" t="s">
        <v>97</v>
      </c>
      <c r="B21" s="3">
        <v>3987.7113207547163</v>
      </c>
      <c r="D21" s="5" t="s">
        <v>24</v>
      </c>
      <c r="E21">
        <v>4717.9273504273497</v>
      </c>
    </row>
    <row r="22" spans="1:8" x14ac:dyDescent="0.3">
      <c r="A22" s="5" t="s">
        <v>75</v>
      </c>
      <c r="B22" s="3">
        <v>4154.4111111111088</v>
      </c>
      <c r="D22" s="5" t="s">
        <v>36</v>
      </c>
      <c r="E22">
        <v>4367.7871559633031</v>
      </c>
    </row>
    <row r="23" spans="1:8" x14ac:dyDescent="0.3">
      <c r="A23" s="5" t="s">
        <v>87</v>
      </c>
      <c r="B23" s="3">
        <v>5464.2189189189194</v>
      </c>
      <c r="D23" s="5" t="s">
        <v>32</v>
      </c>
      <c r="E23">
        <v>3569.9009523809477</v>
      </c>
    </row>
    <row r="24" spans="1:8" x14ac:dyDescent="0.3">
      <c r="A24" s="5" t="s">
        <v>80</v>
      </c>
      <c r="B24" s="3">
        <v>4044.2803278688507</v>
      </c>
      <c r="D24" s="5" t="s">
        <v>12</v>
      </c>
      <c r="E24">
        <v>4920.7932692307668</v>
      </c>
      <c r="G24" t="s">
        <v>378</v>
      </c>
      <c r="H24" t="s">
        <v>379</v>
      </c>
    </row>
    <row r="25" spans="1:8" x14ac:dyDescent="0.3">
      <c r="A25" s="5" t="s">
        <v>109</v>
      </c>
      <c r="B25" s="3">
        <v>4096.3672413793092</v>
      </c>
      <c r="D25" s="5" t="s">
        <v>13</v>
      </c>
      <c r="E25">
        <v>4903.1017699115046</v>
      </c>
      <c r="G25" t="s">
        <v>373</v>
      </c>
      <c r="H25">
        <f>SUM('Cleaned Data'!A2:A2037)</f>
        <v>27112</v>
      </c>
    </row>
    <row r="26" spans="1:8" x14ac:dyDescent="0.3">
      <c r="A26" s="5" t="s">
        <v>95</v>
      </c>
      <c r="B26" s="3">
        <v>4201.0220338983036</v>
      </c>
      <c r="D26" s="5" t="s">
        <v>23</v>
      </c>
      <c r="E26">
        <v>5531.7580645161288</v>
      </c>
      <c r="G26" t="s">
        <v>374</v>
      </c>
      <c r="H26">
        <f>SUM('Cleaned Data'!B3:B2037)</f>
        <v>41928</v>
      </c>
    </row>
    <row r="27" spans="1:8" x14ac:dyDescent="0.3">
      <c r="A27" s="5" t="s">
        <v>88</v>
      </c>
      <c r="B27" s="3">
        <v>4250.2407407407409</v>
      </c>
      <c r="D27" s="5" t="s">
        <v>17</v>
      </c>
      <c r="E27">
        <v>4313.894999999995</v>
      </c>
      <c r="G27" t="s">
        <v>375</v>
      </c>
      <c r="H27">
        <f>SUM('Cleaned Data'!C3:C2039)</f>
        <v>2952</v>
      </c>
    </row>
    <row r="28" spans="1:8" x14ac:dyDescent="0.3">
      <c r="A28" s="5" t="s">
        <v>72</v>
      </c>
      <c r="B28" s="3">
        <v>6631.8363636363601</v>
      </c>
      <c r="D28" s="5" t="s">
        <v>30</v>
      </c>
      <c r="E28">
        <v>5421.4186915887822</v>
      </c>
      <c r="G28" t="s">
        <v>376</v>
      </c>
      <c r="H28">
        <f>SUM('Cleaned Data'!D5:D2040)</f>
        <v>23820</v>
      </c>
    </row>
    <row r="29" spans="1:8" x14ac:dyDescent="0.3">
      <c r="A29" s="5" t="s">
        <v>81</v>
      </c>
      <c r="B29" s="3">
        <v>4363.6959183673462</v>
      </c>
      <c r="D29" s="5" t="s">
        <v>16</v>
      </c>
      <c r="E29">
        <v>4371.7078125000016</v>
      </c>
      <c r="G29" t="s">
        <v>377</v>
      </c>
      <c r="H29">
        <f>SUM('Cleaned Data'!E6:E2041)</f>
        <v>5622</v>
      </c>
    </row>
    <row r="30" spans="1:8" x14ac:dyDescent="0.3">
      <c r="A30" s="5" t="s">
        <v>85</v>
      </c>
      <c r="B30" s="3">
        <v>3892.1109374999978</v>
      </c>
      <c r="D30" s="5" t="s">
        <v>46</v>
      </c>
      <c r="E30">
        <v>4322.7142857142844</v>
      </c>
    </row>
    <row r="31" spans="1:8" x14ac:dyDescent="0.3">
      <c r="A31" s="5" t="s">
        <v>106</v>
      </c>
      <c r="B31" s="3">
        <v>4158.9043478260846</v>
      </c>
      <c r="D31" s="5" t="s">
        <v>33</v>
      </c>
      <c r="E31">
        <v>4838.1882352941193</v>
      </c>
    </row>
    <row r="32" spans="1:8" x14ac:dyDescent="0.3">
      <c r="A32" s="5" t="s">
        <v>76</v>
      </c>
      <c r="B32" s="3">
        <v>5872.7909090909061</v>
      </c>
      <c r="D32" s="5" t="s">
        <v>26</v>
      </c>
      <c r="E32">
        <v>4285.5044247787609</v>
      </c>
    </row>
    <row r="33" spans="1:5" x14ac:dyDescent="0.3">
      <c r="A33" s="5" t="s">
        <v>94</v>
      </c>
      <c r="B33" s="3">
        <v>4383.410526315788</v>
      </c>
      <c r="D33" s="5" t="s">
        <v>35</v>
      </c>
      <c r="E33">
        <v>3914.3549549549493</v>
      </c>
    </row>
    <row r="34" spans="1:5" x14ac:dyDescent="0.3">
      <c r="A34" s="5" t="s">
        <v>74</v>
      </c>
      <c r="B34" s="3">
        <v>4112.731884057971</v>
      </c>
      <c r="D34" s="5" t="s">
        <v>20</v>
      </c>
      <c r="E34">
        <v>4555.0959999999977</v>
      </c>
    </row>
    <row r="35" spans="1:5" x14ac:dyDescent="0.3">
      <c r="A35" s="5" t="s">
        <v>82</v>
      </c>
      <c r="B35" s="3">
        <v>4219.149206349206</v>
      </c>
      <c r="D35" s="5" t="s">
        <v>38</v>
      </c>
      <c r="E35">
        <v>4843.0282352941167</v>
      </c>
    </row>
    <row r="36" spans="1:5" x14ac:dyDescent="0.3">
      <c r="A36" s="5" t="s">
        <v>90</v>
      </c>
      <c r="B36" s="3">
        <v>4092.2566666666658</v>
      </c>
      <c r="D36" s="5" t="s">
        <v>18</v>
      </c>
      <c r="E36">
        <v>3903.5333333333338</v>
      </c>
    </row>
    <row r="37" spans="1:5" x14ac:dyDescent="0.3">
      <c r="A37" s="5" t="s">
        <v>368</v>
      </c>
      <c r="B37" s="3">
        <v>4309.8978723404243</v>
      </c>
      <c r="D37" s="5" t="s">
        <v>369</v>
      </c>
      <c r="E37">
        <v>4163.3756097560954</v>
      </c>
    </row>
    <row r="38" spans="1:5" x14ac:dyDescent="0.3">
      <c r="A38" s="5" t="s">
        <v>372</v>
      </c>
      <c r="D38" s="5" t="s">
        <v>22</v>
      </c>
      <c r="E38">
        <v>3891.8517857142847</v>
      </c>
    </row>
    <row r="39" spans="1:5" x14ac:dyDescent="0.3">
      <c r="A39" s="5" t="s">
        <v>371</v>
      </c>
      <c r="B39" s="3">
        <v>4515.4170359428836</v>
      </c>
      <c r="D39" s="5" t="s">
        <v>371</v>
      </c>
      <c r="E39">
        <v>4515.4170359428854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77AC-7749-4135-85A6-1BDB8407118D}">
  <dimension ref="B2:X37"/>
  <sheetViews>
    <sheetView showGridLines="0" zoomScale="54" workbookViewId="0"/>
  </sheetViews>
  <sheetFormatPr defaultRowHeight="14.4" x14ac:dyDescent="0.3"/>
  <cols>
    <col min="2" max="2" width="31.33203125" bestFit="1" customWidth="1"/>
    <col min="9" max="9" width="12.6640625" bestFit="1" customWidth="1"/>
    <col min="10" max="10" width="21.44140625" bestFit="1" customWidth="1"/>
    <col min="15" max="15" width="12.5546875" bestFit="1" customWidth="1"/>
    <col min="16" max="16" width="21.44140625" bestFit="1" customWidth="1"/>
    <col min="17" max="17" width="45.109375" customWidth="1"/>
    <col min="18" max="18" width="29.44140625" customWidth="1"/>
    <col min="20" max="20" width="51.5546875" bestFit="1" customWidth="1"/>
    <col min="23" max="23" width="58.88671875" bestFit="1" customWidth="1"/>
    <col min="24" max="24" width="21.44140625" style="3" bestFit="1" customWidth="1"/>
  </cols>
  <sheetData>
    <row r="2" spans="2:24" ht="31.2" x14ac:dyDescent="0.6">
      <c r="B2" s="26" t="s">
        <v>427</v>
      </c>
      <c r="X2"/>
    </row>
    <row r="3" spans="2:24" x14ac:dyDescent="0.3">
      <c r="X3"/>
    </row>
    <row r="4" spans="2:24" x14ac:dyDescent="0.3">
      <c r="X4"/>
    </row>
    <row r="5" spans="2:24" x14ac:dyDescent="0.3">
      <c r="X5"/>
    </row>
    <row r="6" spans="2:24" ht="23.4" x14ac:dyDescent="0.45">
      <c r="Q6" s="38" t="s">
        <v>400</v>
      </c>
      <c r="R6" s="38"/>
      <c r="S6" s="38"/>
      <c r="T6" s="38"/>
      <c r="U6" s="38"/>
      <c r="V6" s="38"/>
      <c r="X6"/>
    </row>
    <row r="7" spans="2:24" ht="23.4" x14ac:dyDescent="0.45">
      <c r="R7" s="37" t="s">
        <v>394</v>
      </c>
      <c r="S7" s="37"/>
      <c r="T7" s="11">
        <f>SUM('Cleaned Data'!L2:L2037)</f>
        <v>9170811.9999999888</v>
      </c>
      <c r="X7"/>
    </row>
    <row r="8" spans="2:24" ht="23.4" x14ac:dyDescent="0.45">
      <c r="R8" s="37" t="s">
        <v>395</v>
      </c>
      <c r="S8" s="37"/>
      <c r="T8" s="11">
        <f>AVERAGE('Cleaned Data'!L2:L2038)</f>
        <v>4515.4170359428799</v>
      </c>
      <c r="X8"/>
    </row>
    <row r="9" spans="2:24" ht="23.4" x14ac:dyDescent="0.45">
      <c r="R9" s="37" t="s">
        <v>396</v>
      </c>
      <c r="S9" s="37"/>
      <c r="T9" s="11">
        <f>MAX('Cleaned Data'!L2:L2039)</f>
        <v>99999</v>
      </c>
      <c r="X9"/>
    </row>
    <row r="10" spans="2:24" ht="23.4" x14ac:dyDescent="0.45">
      <c r="R10" s="37" t="s">
        <v>397</v>
      </c>
      <c r="S10" s="37"/>
      <c r="T10" s="11">
        <f>_xlfn.MINIFS('Cleaned Data'!L2:L2037,'Cleaned Data'!L2:L2037,"&gt;0")</f>
        <v>1347.5</v>
      </c>
      <c r="X10"/>
    </row>
    <row r="11" spans="2:24" ht="23.4" x14ac:dyDescent="0.45">
      <c r="R11" s="37" t="s">
        <v>398</v>
      </c>
      <c r="S11" s="37"/>
      <c r="T11" s="11">
        <f>COUNTA('Cleaned Data'!H2:H2037)</f>
        <v>2036</v>
      </c>
      <c r="X11"/>
    </row>
    <row r="12" spans="2:24" ht="23.4" x14ac:dyDescent="0.45">
      <c r="R12" s="37" t="s">
        <v>399</v>
      </c>
      <c r="S12" s="37"/>
      <c r="T12" s="12">
        <f>AVERAGE('Cleaned Data'!K7:K2042)</f>
        <v>7.9963914977755604</v>
      </c>
      <c r="X12"/>
    </row>
    <row r="13" spans="2:24" ht="23.4" x14ac:dyDescent="0.45">
      <c r="R13" s="37" t="s">
        <v>425</v>
      </c>
      <c r="S13" s="37"/>
      <c r="T13" s="12" t="str">
        <f>INDEX('Cleaned Data'!I2:I2037,MATCH(MAX('Cleaned Data'!L2:L2037),'Cleaned Data'!L2:L2037,0))</f>
        <v>orient green</v>
      </c>
      <c r="X13"/>
    </row>
    <row r="14" spans="2:24" ht="23.4" x14ac:dyDescent="0.45">
      <c r="R14" s="37" t="s">
        <v>426</v>
      </c>
      <c r="S14" s="37"/>
      <c r="T14" s="12" t="str">
        <f>INDEX('Cleaned Data'!I2:I2037,MATCH(MIN('Cleaned Data'!L2:L2037),'Cleaned Data'!L2:L2037,0))</f>
        <v>neueon towers / sujana towers ltd.</v>
      </c>
      <c r="X14"/>
    </row>
    <row r="15" spans="2:24" x14ac:dyDescent="0.3">
      <c r="X15"/>
    </row>
    <row r="16" spans="2:24" x14ac:dyDescent="0.3">
      <c r="X16"/>
    </row>
    <row r="17" spans="24:24" x14ac:dyDescent="0.3">
      <c r="X17"/>
    </row>
    <row r="18" spans="24:24" x14ac:dyDescent="0.3">
      <c r="X18"/>
    </row>
    <row r="19" spans="24:24" x14ac:dyDescent="0.3">
      <c r="X19"/>
    </row>
    <row r="20" spans="24:24" x14ac:dyDescent="0.3">
      <c r="X20"/>
    </row>
    <row r="21" spans="24:24" x14ac:dyDescent="0.3">
      <c r="X21"/>
    </row>
    <row r="22" spans="24:24" x14ac:dyDescent="0.3">
      <c r="X22"/>
    </row>
    <row r="23" spans="24:24" x14ac:dyDescent="0.3">
      <c r="X23"/>
    </row>
    <row r="24" spans="24:24" x14ac:dyDescent="0.3">
      <c r="X24"/>
    </row>
    <row r="25" spans="24:24" x14ac:dyDescent="0.3">
      <c r="X25"/>
    </row>
    <row r="26" spans="24:24" x14ac:dyDescent="0.3">
      <c r="X26"/>
    </row>
    <row r="27" spans="24:24" x14ac:dyDescent="0.3">
      <c r="X27"/>
    </row>
    <row r="28" spans="24:24" x14ac:dyDescent="0.3">
      <c r="X28"/>
    </row>
    <row r="29" spans="24:24" x14ac:dyDescent="0.3">
      <c r="X29"/>
    </row>
    <row r="30" spans="24:24" x14ac:dyDescent="0.3">
      <c r="X30"/>
    </row>
    <row r="31" spans="24:24" x14ac:dyDescent="0.3">
      <c r="X31"/>
    </row>
    <row r="32" spans="24:24" x14ac:dyDescent="0.3">
      <c r="X32"/>
    </row>
    <row r="33" spans="24:24" x14ac:dyDescent="0.3">
      <c r="X33"/>
    </row>
    <row r="34" spans="24:24" x14ac:dyDescent="0.3">
      <c r="X34"/>
    </row>
    <row r="35" spans="24:24" x14ac:dyDescent="0.3">
      <c r="X35"/>
    </row>
    <row r="36" spans="24:24" x14ac:dyDescent="0.3">
      <c r="X36"/>
    </row>
    <row r="37" spans="24:24" x14ac:dyDescent="0.3">
      <c r="X37"/>
    </row>
  </sheetData>
  <mergeCells count="9">
    <mergeCell ref="R11:S11"/>
    <mergeCell ref="R12:S12"/>
    <mergeCell ref="R13:S13"/>
    <mergeCell ref="R14:S14"/>
    <mergeCell ref="Q6:V6"/>
    <mergeCell ref="R7:S7"/>
    <mergeCell ref="R8:S8"/>
    <mergeCell ref="R9:S9"/>
    <mergeCell ref="R10:S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3F9F-C9FD-4FFD-A0D1-031628936525}">
  <dimension ref="A1:B11"/>
  <sheetViews>
    <sheetView showGridLines="0" workbookViewId="0">
      <selection activeCell="B11" sqref="B11"/>
    </sheetView>
  </sheetViews>
  <sheetFormatPr defaultRowHeight="14.4" x14ac:dyDescent="0.3"/>
  <cols>
    <col min="1" max="1" width="26.77734375" customWidth="1"/>
    <col min="2" max="2" width="56.33203125" customWidth="1"/>
  </cols>
  <sheetData>
    <row r="1" spans="1:2" ht="21" x14ac:dyDescent="0.4">
      <c r="A1" s="27" t="s">
        <v>428</v>
      </c>
      <c r="B1" s="27" t="s">
        <v>429</v>
      </c>
    </row>
    <row r="2" spans="1:2" ht="15.6" x14ac:dyDescent="0.3">
      <c r="A2" s="28" t="s">
        <v>430</v>
      </c>
      <c r="B2" s="28" t="s">
        <v>435</v>
      </c>
    </row>
    <row r="3" spans="1:2" ht="15.6" x14ac:dyDescent="0.3">
      <c r="A3" s="28" t="s">
        <v>431</v>
      </c>
      <c r="B3" s="28" t="s">
        <v>436</v>
      </c>
    </row>
    <row r="4" spans="1:2" ht="15.6" x14ac:dyDescent="0.3">
      <c r="A4" s="28" t="s">
        <v>433</v>
      </c>
      <c r="B4" s="28" t="s">
        <v>437</v>
      </c>
    </row>
    <row r="5" spans="1:2" ht="15.6" x14ac:dyDescent="0.3">
      <c r="A5" s="28" t="s">
        <v>432</v>
      </c>
      <c r="B5" s="28" t="s">
        <v>438</v>
      </c>
    </row>
    <row r="6" spans="1:2" ht="15.6" x14ac:dyDescent="0.3">
      <c r="A6" s="28" t="s">
        <v>399</v>
      </c>
      <c r="B6" s="28" t="s">
        <v>439</v>
      </c>
    </row>
    <row r="7" spans="1:2" ht="15.6" x14ac:dyDescent="0.3">
      <c r="A7" s="28" t="s">
        <v>434</v>
      </c>
      <c r="B7" s="28" t="s">
        <v>440</v>
      </c>
    </row>
    <row r="11" spans="1:2" ht="25.8" x14ac:dyDescent="0.5">
      <c r="B11" s="2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13784-4A7C-45F8-9FFD-458B521F5A22}">
  <dimension ref="A1:D7"/>
  <sheetViews>
    <sheetView showGridLines="0" workbookViewId="0">
      <selection activeCell="D14" sqref="D14"/>
    </sheetView>
  </sheetViews>
  <sheetFormatPr defaultRowHeight="14.4" x14ac:dyDescent="0.3"/>
  <cols>
    <col min="1" max="1" width="30.88671875" customWidth="1"/>
    <col min="2" max="2" width="45.44140625" bestFit="1" customWidth="1"/>
  </cols>
  <sheetData>
    <row r="1" spans="1:4" ht="21" x14ac:dyDescent="0.4">
      <c r="A1" s="27" t="s">
        <v>441</v>
      </c>
      <c r="B1" s="27" t="s">
        <v>442</v>
      </c>
    </row>
    <row r="2" spans="1:4" ht="18" x14ac:dyDescent="0.35">
      <c r="A2" s="30" t="s">
        <v>443</v>
      </c>
      <c r="B2" s="30" t="s">
        <v>449</v>
      </c>
      <c r="C2" s="30"/>
      <c r="D2" s="30"/>
    </row>
    <row r="3" spans="1:4" ht="18" x14ac:dyDescent="0.35">
      <c r="A3" s="30" t="s">
        <v>444</v>
      </c>
      <c r="B3" s="30" t="s">
        <v>450</v>
      </c>
      <c r="C3" s="30"/>
      <c r="D3" s="30"/>
    </row>
    <row r="4" spans="1:4" ht="18" x14ac:dyDescent="0.35">
      <c r="A4" s="30" t="s">
        <v>445</v>
      </c>
      <c r="B4" s="30" t="s">
        <v>451</v>
      </c>
      <c r="C4" s="30"/>
      <c r="D4" s="30"/>
    </row>
    <row r="5" spans="1:4" ht="18" x14ac:dyDescent="0.35">
      <c r="A5" s="30" t="s">
        <v>446</v>
      </c>
      <c r="B5" s="30" t="s">
        <v>452</v>
      </c>
      <c r="C5" s="30"/>
      <c r="D5" s="30"/>
    </row>
    <row r="6" spans="1:4" ht="18" x14ac:dyDescent="0.35">
      <c r="A6" s="30" t="s">
        <v>447</v>
      </c>
      <c r="B6" s="30" t="s">
        <v>453</v>
      </c>
      <c r="C6" s="30"/>
      <c r="D6" s="30"/>
    </row>
    <row r="7" spans="1:4" ht="18" x14ac:dyDescent="0.35">
      <c r="A7" s="30" t="s">
        <v>448</v>
      </c>
      <c r="B7" s="30" t="s">
        <v>454</v>
      </c>
      <c r="C7" s="30"/>
      <c r="D7" s="3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Raw Data</vt:lpstr>
      <vt:lpstr>Cleaning task</vt:lpstr>
      <vt:lpstr>Cleaned Data</vt:lpstr>
      <vt:lpstr>Pivot_Table</vt:lpstr>
      <vt:lpstr>Dashboard</vt:lpstr>
      <vt:lpstr>Summary</vt:lpstr>
      <vt:lpstr>Solution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surajit2033@gmail.com</cp:lastModifiedBy>
  <dcterms:created xsi:type="dcterms:W3CDTF">2026-05-18T17:56:21Z</dcterms:created>
  <dcterms:modified xsi:type="dcterms:W3CDTF">2026-05-20T05:17:35Z</dcterms:modified>
</cp:coreProperties>
</file>